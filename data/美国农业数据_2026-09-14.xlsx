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'牛肉·活牛'!$A$5:$A$1408</f>
            </numRef>
          </cat>
          <val>
            <numRef>
              <f>'牛肉·活牛'!$D$5:$D$1408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'生猪'!$A$5:$A$1408</f>
            </numRef>
          </cat>
          <val>
            <numRef>
              <f>'生猪'!$D$5:$D$1408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'生鲜乳'!$A$5:$A$563</f>
            </numRef>
          </cat>
          <val>
            <numRef>
              <f>'生鲜乳'!$D$5:$D$563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'鸡蛋'!$A$5:$A$336</f>
            </numRef>
          </cat>
          <val>
            <numRef>
              <f>'鸡蛋'!$D$5:$D$336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'鸡肉'!$A$5:$A$431</f>
            </numRef>
          </cat>
          <val>
            <numRef>
              <f>'鸡肉'!$D$5:$D$431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'玉米'!$A$5:$A$1427</f>
            </numRef>
          </cat>
          <val>
            <numRef>
              <f>'玉米'!$D$5:$D$1427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'大豆'!$A$5:$A$1289</f>
            </numRef>
          </cat>
          <val>
            <numRef>
              <f>'大豆'!$D$5:$D$1289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导出日期：2026-09-14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1404</v>
      </c>
      <c r="C26" s="2" t="inlineStr">
        <is>
          <t>1909-08 ~ 2026-07  | 主:肉牛(≥500磅,≈活牛)</t>
        </is>
      </c>
    </row>
    <row r="27">
      <c r="A27" s="2" t="inlineStr">
        <is>
          <t>生猪</t>
        </is>
      </c>
      <c r="B27" s="2" t="n">
        <v>1404</v>
      </c>
      <c r="C27" s="2" t="inlineStr">
        <is>
          <t>1909-08 ~ 2026-07  | 主:生猪(全部)</t>
        </is>
      </c>
    </row>
    <row r="28">
      <c r="A28" s="2" t="inlineStr">
        <is>
          <t>生鲜乳</t>
        </is>
      </c>
      <c r="B28" s="2" t="n">
        <v>559</v>
      </c>
      <c r="C28" s="2" t="inlineStr">
        <is>
          <t>1980-01 ~ 2026-07  | 主:生鲜乳(全部)</t>
        </is>
      </c>
    </row>
    <row r="29">
      <c r="A29" s="2" t="inlineStr">
        <is>
          <t>鸡蛋</t>
        </is>
      </c>
      <c r="B29" s="2" t="n">
        <v>332</v>
      </c>
      <c r="C29" s="2" t="inlineStr">
        <is>
          <t>1998-12 ~ 2026-07  | 主:鸡蛋(全部)</t>
        </is>
      </c>
    </row>
    <row r="30">
      <c r="A30" s="2" t="inlineStr">
        <is>
          <t>鸡肉</t>
        </is>
      </c>
      <c r="B30" s="2" t="n">
        <v>427</v>
      </c>
      <c r="C30" s="2" t="inlineStr">
        <is>
          <t>1991-01 ~ 2026-07  | 主:肉鸡(Broilers)</t>
        </is>
      </c>
    </row>
    <row r="31">
      <c r="A31" s="2" t="inlineStr">
        <is>
          <t>玉米</t>
        </is>
      </c>
      <c r="B31" s="2" t="n">
        <v>1423</v>
      </c>
      <c r="C31" s="2" t="inlineStr">
        <is>
          <t>1908-01 ~ 2026-07  | 主:玉米(Corn grain)</t>
        </is>
      </c>
    </row>
    <row r="32">
      <c r="A32" s="2" t="inlineStr">
        <is>
          <t>大豆</t>
        </is>
      </c>
      <c r="B32" s="2" t="n">
        <v>1285</v>
      </c>
      <c r="C32" s="2" t="inlineStr">
        <is>
          <t>1913-10 ~ 2026-07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  <row r="1408">
      <c r="A1408" s="16" t="n">
        <v>46204</v>
      </c>
      <c r="B1408" s="17" t="n">
        <v>2026</v>
      </c>
      <c r="C1408" s="17" t="n">
        <v>7</v>
      </c>
      <c r="D1408" s="18" t="n">
        <v>246</v>
      </c>
      <c r="E1408" s="18" t="n">
        <v>249</v>
      </c>
      <c r="F1408" s="18" t="n">
        <v>482</v>
      </c>
      <c r="G1408" s="18" t="n">
        <v>175</v>
      </c>
      <c r="H1408" s="18">
        <f>IF(D1408="","",D1408*'参数与说明'!$B$6/45.3592)</f>
        <v/>
      </c>
      <c r="I1408" s="19">
        <f>IFERROR(IF(D1408="","",D1408/INDEX($D:$D,MATCH(EDATE($A1408,-1),$A:$A,0))-1),"")</f>
        <v/>
      </c>
      <c r="J1408" s="19">
        <f>IFERROR(IF(D1408="","",D1408/INDEX($D:$D,MATCH(EDATE($A1408,-12),$A:$A,0))-1),"")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  <row r="1408">
      <c r="A1408" s="16" t="n">
        <v>46204</v>
      </c>
      <c r="B1408" s="17" t="n">
        <v>2026</v>
      </c>
      <c r="C1408" s="17" t="n">
        <v>7</v>
      </c>
      <c r="D1408" s="18" t="n">
        <v>71</v>
      </c>
      <c r="E1408" s="18" t="n">
        <v>71.8</v>
      </c>
      <c r="F1408" s="18" t="n">
        <v>54.7</v>
      </c>
      <c r="G1408" s="18">
        <f>IF(D1408="","",D1408*'参数与说明'!$B$6/45.3592)</f>
        <v/>
      </c>
      <c r="H1408" s="19">
        <f>IFERROR(IF(D1408="","",D1408/INDEX($D:$D,MATCH(EDATE($A1408,-1),$A:$A,0))-1),"")</f>
        <v/>
      </c>
      <c r="I1408" s="19">
        <f>IFERROR(IF(D1408="","",D1408/INDEX($D:$D,MATCH(EDATE($A1408,-12),$A:$A,0))-1),"")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46204</v>
      </c>
      <c r="B563" s="13" t="n">
        <v>2026</v>
      </c>
      <c r="C563" s="13" t="n">
        <v>7</v>
      </c>
      <c r="D563" s="14" t="n">
        <v>20.3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  <row r="336">
      <c r="A336" s="16" t="n">
        <v>46204</v>
      </c>
      <c r="B336" s="17" t="n">
        <v>2026</v>
      </c>
      <c r="C336" s="17" t="n">
        <v>7</v>
      </c>
      <c r="D336" s="18" t="n">
        <v>1.05</v>
      </c>
      <c r="E336" s="18" t="n">
        <v>0.783</v>
      </c>
      <c r="F336" s="18">
        <f>IF(D336="","",D336*'参数与说明'!$B$6/0.68)</f>
        <v/>
      </c>
      <c r="G336" s="19">
        <f>IFERROR(IF(D336="","",D336/INDEX($D:$D,MATCH(EDATE($A336,-1),$A:$A,0))-1),"")</f>
        <v/>
      </c>
      <c r="H336" s="19">
        <f>IFERROR(IF(D336="","",D336/INDEX($D:$D,MATCH(EDATE($A336,-12),$A:$A,0))-1),"")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0.697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46204</v>
      </c>
      <c r="B431" s="13" t="n">
        <v>2026</v>
      </c>
      <c r="C431" s="13" t="n">
        <v>7</v>
      </c>
      <c r="D431" s="14" t="n">
        <v>0.662</v>
      </c>
      <c r="E431" s="14">
        <f>IF(D431="","",D431*'参数与说明'!$B$6/0.453592)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  <row r="1427">
      <c r="A1427" s="12" t="n">
        <v>46204</v>
      </c>
      <c r="B1427" s="13" t="n">
        <v>2026</v>
      </c>
      <c r="C1427" s="13" t="n">
        <v>7</v>
      </c>
      <c r="D1427" s="14" t="n">
        <v>4.26</v>
      </c>
      <c r="E1427" s="14">
        <f>IF(D1427="","",D1427*'参数与说明'!$B$6/25.4012)</f>
        <v/>
      </c>
      <c r="F1427" s="15">
        <f>IFERROR(IF(D1427="","",D1427/INDEX($D:$D,MATCH(EDATE($A1427,-1),$A:$A,0))-1),"")</f>
        <v/>
      </c>
      <c r="G1427" s="15">
        <f>IFERROR(IF(D1427="","",D1427/INDEX($D:$D,MATCH(EDATE($A1427,-12),$A:$A,0))-1),"")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46204</v>
      </c>
      <c r="B1289" s="13" t="n">
        <v>2026</v>
      </c>
      <c r="C1289" s="13" t="n">
        <v>7</v>
      </c>
      <c r="D1289" s="14" t="n">
        <v>11.6</v>
      </c>
      <c r="E1289" s="14">
        <f>IF(D1289="","",D1289*'参数与说明'!$B$6/27.2155)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2026-09-14T02:13:28Z</dcterms:created>
  <dcterms:modified xsi:type="dcterms:W3CDTF">2026-09-14T02:13:31Z</dcterms:modified>
</cp:coreProperties>
</file>