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与说明" sheetId="1" state="visible" r:id="rId1"/>
    <sheet xmlns:r="http://schemas.openxmlformats.org/officeDocument/2006/relationships" name="牛肉·活牛" sheetId="2" state="visible" r:id="rId2"/>
    <sheet xmlns:r="http://schemas.openxmlformats.org/officeDocument/2006/relationships" name="生猪" sheetId="3" state="visible" r:id="rId3"/>
    <sheet xmlns:r="http://schemas.openxmlformats.org/officeDocument/2006/relationships" name="生鲜乳" sheetId="4" state="visible" r:id="rId4"/>
    <sheet xmlns:r="http://schemas.openxmlformats.org/officeDocument/2006/relationships" name="鸡蛋" sheetId="5" state="visible" r:id="rId5"/>
    <sheet xmlns:r="http://schemas.openxmlformats.org/officeDocument/2006/relationships" name="鸡肉" sheetId="6" state="visible" r:id="rId6"/>
    <sheet xmlns:r="http://schemas.openxmlformats.org/officeDocument/2006/relationships" name="玉米" sheetId="7" state="visible" r:id="rId7"/>
    <sheet xmlns:r="http://schemas.openxmlformats.org/officeDocument/2006/relationships" name="大豆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yyyy-mm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Noto Sans CJK SC"/>
      <sz val="10"/>
    </font>
    <font>
      <name val="Noto Sans CJK SC"/>
      <color rgb="00808080"/>
      <sz val="10"/>
    </font>
    <font>
      <name val="Noto Sans CJK SC"/>
      <b val="1"/>
      <sz val="12"/>
    </font>
    <font>
      <name val="Noto Sans CJK SC"/>
      <b val="1"/>
      <sz val="11"/>
    </font>
    <font>
      <name val="Arial"/>
      <b val="1"/>
      <color rgb="000000FF"/>
      <sz val="11"/>
    </font>
    <font>
      <name val="Noto Sans CJK SC"/>
      <b val="1"/>
      <color rgb="00FFFFFF"/>
      <sz val="10"/>
    </font>
    <font>
      <name val="Noto Sans CJK SC"/>
      <b val="1"/>
      <color rgb="001F4E78"/>
      <sz val="13"/>
    </font>
    <font>
      <name val="Noto Sans CJK SC"/>
      <color rgb="00808080"/>
      <sz val="9"/>
    </font>
    <font>
      <name val="Noto Sans CJK SC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2" borderId="0" pivotButton="0" quotePrefix="0" xfId="0"/>
    <xf numFmtId="0" fontId="2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6" fontId="11" fillId="0" borderId="0" pivotButton="0" quotePrefix="0" xfId="0"/>
    <xf numFmtId="1" fontId="11" fillId="0" borderId="0" pivotButton="0" quotePrefix="0" xfId="0"/>
    <xf numFmtId="4" fontId="11" fillId="0" borderId="0" pivotButton="0" quotePrefix="0" xfId="0"/>
    <xf numFmtId="167" fontId="11" fillId="0" borderId="0" pivotButton="0" quotePrefix="0" xfId="0"/>
    <xf numFmtId="166" fontId="11" fillId="4" borderId="0" pivotButton="0" quotePrefix="0" xfId="0"/>
    <xf numFmtId="1" fontId="11" fillId="4" borderId="0" pivotButton="0" quotePrefix="0" xfId="0"/>
    <xf numFmtId="4" fontId="11" fillId="4" borderId="0" pivotButton="0" quotePrefix="0" xfId="0"/>
    <xf numFmtId="167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牛肉·活牛 价格历史趋势（$ / CWT，主指标:肉牛(≥500磅,≈活牛)）</a:t>
            </a:r>
          </a:p>
        </rich>
      </tx>
    </title>
    <plotArea>
      <lineChart>
        <grouping val="standard"/>
        <ser>
          <idx val="0"/>
          <order val="0"/>
          <tx>
            <strRef>
              <f>'牛肉·活牛'!D4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'牛肉·活牛'!$A$5:$A$1405</f>
            </numRef>
          </cat>
          <val>
            <numRef>
              <f>'牛肉·活牛'!$D$5:$D$1405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生猪 价格历史趋势（$ / CWT，主指标:生猪(全部)）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'生猪'!D4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'生猪'!$A$5:$A$1405</f>
            </numRef>
          </cat>
          <val>
            <numRef>
              <f>'生猪'!$D$5:$D$1405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生鲜乳 价格历史趋势（$ / CWT，主指标:生鲜乳(全部)）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'生鲜乳'!D4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'生鲜乳'!$A$5:$A$560</f>
            </numRef>
          </cat>
          <val>
            <numRef>
              <f>'生鲜乳'!$D$5:$D$560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鸡蛋 价格历史趋势（$ / DOZEN，主指标:鸡蛋(全部)）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'鸡蛋'!D4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'鸡蛋'!$A$5:$A$333</f>
            </numRef>
          </cat>
          <val>
            <numRef>
              <f>'鸡蛋'!$D$5:$D$333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/ DOZEN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鸡肉 价格历史趋势（$ / LB，主指标:肉鸡(Broilers)）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'鸡肉'!D4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'鸡肉'!$A$5:$A$428</f>
            </numRef>
          </cat>
          <val>
            <numRef>
              <f>'鸡肉'!$D$5:$D$428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/ LB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玉米 价格历史趋势（$ / BU，主指标:玉米(Corn grain)）</a:t>
            </a:r>
          </a:p>
        </rich>
      </tx>
    </title>
    <plotArea>
      <lineChart>
        <grouping val="standard"/>
        <ser>
          <idx val="0"/>
          <order val="0"/>
          <tx>
            <strRef>
              <f>'玉米'!D4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'玉米'!$A$5:$A$1424</f>
            </numRef>
          </cat>
          <val>
            <numRef>
              <f>'玉米'!$D$5:$D$1424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大豆 价格历史趋势（$ / BU，主指标:大豆(Soybeans)）</a:t>
            </a:r>
          </a:p>
        </rich>
      </tx>
    </title>
    <plotArea>
      <lineChart>
        <grouping val="standard"/>
        <ser>
          <idx val="0"/>
          <order val="0"/>
          <tx>
            <strRef>
              <f>'大豆'!D4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'大豆'!$A$5:$A$1286</f>
            </numRef>
          </cat>
          <val>
            <numRef>
              <f>'大豆'!$D$5:$D$1286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23.85" customHeight="1">
      <c r="A1" s="1" t="inlineStr">
        <is>
          <t>USDA 美国畜牧·饲料价格 — 历史趋势</t>
        </is>
      </c>
      <c r="B1" s="2" t="n"/>
      <c r="C1" s="2" t="n"/>
    </row>
    <row r="2">
      <c r="A2" s="2" t="inlineStr">
        <is>
          <t>数据来源：USDA NASS Quick Stats（价格收到价 Price Received，全国 SURVEY）</t>
        </is>
      </c>
      <c r="B2" s="2" t="n"/>
      <c r="C2" s="2" t="n"/>
    </row>
    <row r="3">
      <c r="A3" s="3" t="inlineStr">
        <is>
          <t>来源接口：https://quickstats.nass.usda.gov/api/  | 导出日期：2026-06-23</t>
        </is>
      </c>
      <c r="B3" s="2" t="n"/>
      <c r="C3" s="2" t="n"/>
    </row>
    <row r="4">
      <c r="A4" s="2" t="n"/>
      <c r="B4" s="2" t="n"/>
      <c r="C4" s="2" t="n"/>
    </row>
    <row r="5">
      <c r="A5" s="4" t="inlineStr">
        <is>
          <t>可调参数</t>
        </is>
      </c>
      <c r="B5" s="2" t="n"/>
      <c r="C5" s="2" t="n"/>
    </row>
    <row r="6">
      <c r="A6" s="5" t="inlineStr">
        <is>
          <t>美元兑人民币汇率</t>
        </is>
      </c>
      <c r="B6" s="6" t="n">
        <v>6.77</v>
      </c>
      <c r="C6" s="2" t="inlineStr">
        <is>
          <t>改这里→所有Sheet的「元/公斤」列自动重算。来源：运行参数 FX_USD_CNY=6.77，仅作换算口径。</t>
        </is>
      </c>
    </row>
    <row r="7">
      <c r="A7" s="2" t="n"/>
      <c r="B7" s="2" t="n"/>
      <c r="C7" s="2" t="n"/>
    </row>
    <row r="8">
      <c r="A8" s="4" t="inlineStr">
        <is>
          <t>单位换算系数（每单位含多少公斤）</t>
        </is>
      </c>
      <c r="B8" s="2" t="n"/>
      <c r="C8" s="2" t="n"/>
    </row>
    <row r="9">
      <c r="A9" s="2" t="inlineStr">
        <is>
          <t>cwt(英担)</t>
        </is>
      </c>
      <c r="B9" s="2" t="inlineStr">
        <is>
          <t>45.3592 kg</t>
        </is>
      </c>
      <c r="C9" s="2" t="inlineStr">
        <is>
          <t>牛/猪/奶：$/cwt ÷45.3592 ×汇率 = 元/公斤</t>
        </is>
      </c>
    </row>
    <row r="10">
      <c r="A10" s="2" t="inlineStr">
        <is>
          <t>lb(磅)</t>
        </is>
      </c>
      <c r="B10" s="2" t="inlineStr">
        <is>
          <t>0.453592 kg</t>
        </is>
      </c>
      <c r="C10" s="2" t="inlineStr">
        <is>
          <t>鸡肉：$/lb ÷0.453592 ×汇率 = 元/公斤</t>
        </is>
      </c>
    </row>
    <row r="11">
      <c r="A11" s="2" t="inlineStr">
        <is>
          <t>bu 玉米</t>
        </is>
      </c>
      <c r="B11" s="2" t="inlineStr">
        <is>
          <t>25.4012 kg</t>
        </is>
      </c>
      <c r="C11" s="2" t="inlineStr">
        <is>
          <t>玉米：$/bu ÷25.4012 ×汇率 = 元/公斤</t>
        </is>
      </c>
    </row>
    <row r="12">
      <c r="A12" s="2" t="inlineStr">
        <is>
          <t>bu 大豆</t>
        </is>
      </c>
      <c r="B12" s="2" t="inlineStr">
        <is>
          <t>27.2155 kg</t>
        </is>
      </c>
      <c r="C12" s="2" t="inlineStr">
        <is>
          <t>大豆：$/bu ÷27.2155 ×汇率 = 元/公斤</t>
        </is>
      </c>
    </row>
    <row r="13">
      <c r="A13" s="2" t="inlineStr">
        <is>
          <t>打(鸡蛋)</t>
        </is>
      </c>
      <c r="B13" s="2" t="inlineStr">
        <is>
          <t>≈0.68 kg</t>
        </is>
      </c>
      <c r="C13" s="2" t="inlineStr">
        <is>
          <t>鸡蛋：$/打 ÷0.68 ×汇率 = 元/公斤（含壳近似，仅参考）</t>
        </is>
      </c>
    </row>
    <row r="14">
      <c r="A14" s="2" t="n"/>
      <c r="B14" s="2" t="n"/>
      <c r="C14" s="2" t="n"/>
    </row>
    <row r="15">
      <c r="A15" s="4" t="inlineStr">
        <is>
          <t>口径与解读提示（重要）</t>
        </is>
      </c>
      <c r="B15" s="2" t="n"/>
      <c r="C15" s="2" t="n"/>
    </row>
    <row r="16">
      <c r="A16" s="7" t="inlineStr">
        <is>
          <t>1) 这是美国「农场出售端价格收到价」(monthly)，对应中国农业农村部的产业链上游/农场价，不是县集贸市场零售价；与中国零售口径不完全可比。</t>
        </is>
      </c>
      <c r="B16" s="2" t="n"/>
      <c r="C16" s="2" t="n"/>
    </row>
    <row r="17">
      <c r="A17" s="7" t="inlineStr">
        <is>
          <t>2) 各Sheet「趋势图」用美制原值绘制（真实历史）。</t>
        </is>
      </c>
      <c r="B17" s="2" t="n"/>
      <c r="C17" s="2" t="n"/>
    </row>
    <row r="18">
      <c r="A18" s="7" t="inlineStr">
        <is>
          <t>3) 「元/公斤」列用当前汇率统一换算，仅为与中国现价对比；历史早期行不代表当年实际人民币价格（汇率/币值已大不同），勿据此读历史人民币走势。</t>
        </is>
      </c>
      <c r="B18" s="2" t="n"/>
      <c r="C18" s="2" t="n"/>
    </row>
    <row r="19">
      <c r="A19" s="7" t="inlineStr">
        <is>
          <t>4) 环比=与上月比，同比=与去年同月比，按日期精确匹配（缺月自动留空）。</t>
        </is>
      </c>
      <c r="B19" s="2" t="n"/>
      <c r="C19" s="2" t="n"/>
    </row>
    <row r="20">
      <c r="A20" s="7" t="inlineStr">
        <is>
          <t>5) boxed beef分割肉批发价、屠宰量/胴重等NASS无，需USDA市场新闻(MMN)补。</t>
        </is>
      </c>
      <c r="B20" s="2" t="n"/>
      <c r="C20" s="2" t="n"/>
    </row>
    <row r="21">
      <c r="A21" s="7" t="inlineStr">
        <is>
          <t>6) 已剔除PCT OF PARITY(平价百分比)及$/HEAD等非价格口径，只保留$/单位价格。</t>
        </is>
      </c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4" t="inlineStr">
        <is>
          <t>各Sheet概览</t>
        </is>
      </c>
      <c r="B24" s="2" t="n"/>
      <c r="C24" s="2" t="n"/>
    </row>
    <row r="25">
      <c r="A25" s="8" t="inlineStr">
        <is>
          <t>品类</t>
        </is>
      </c>
      <c r="B25" s="8" t="inlineStr">
        <is>
          <t>月度行数</t>
        </is>
      </c>
      <c r="C25" s="8" t="inlineStr">
        <is>
          <t>时间范围 / 主指标</t>
        </is>
      </c>
    </row>
    <row r="26">
      <c r="A26" s="2" t="inlineStr">
        <is>
          <t>牛肉·活牛</t>
        </is>
      </c>
      <c r="B26" s="2" t="n">
        <v>1401</v>
      </c>
      <c r="C26" s="2" t="inlineStr">
        <is>
          <t>1909-08 ~ 2026-04  | 主:肉牛(≥500磅,≈活牛)</t>
        </is>
      </c>
    </row>
    <row r="27">
      <c r="A27" s="2" t="inlineStr">
        <is>
          <t>生猪</t>
        </is>
      </c>
      <c r="B27" s="2" t="n">
        <v>1401</v>
      </c>
      <c r="C27" s="2" t="inlineStr">
        <is>
          <t>1909-08 ~ 2026-04  | 主:生猪(全部)</t>
        </is>
      </c>
    </row>
    <row r="28">
      <c r="A28" s="2" t="inlineStr">
        <is>
          <t>生鲜乳</t>
        </is>
      </c>
      <c r="B28" s="2" t="n">
        <v>556</v>
      </c>
      <c r="C28" s="2" t="inlineStr">
        <is>
          <t>1980-01 ~ 2026-04  | 主:生鲜乳(全部)</t>
        </is>
      </c>
    </row>
    <row r="29">
      <c r="A29" s="2" t="inlineStr">
        <is>
          <t>鸡蛋</t>
        </is>
      </c>
      <c r="B29" s="2" t="n">
        <v>329</v>
      </c>
      <c r="C29" s="2" t="inlineStr">
        <is>
          <t>1998-12 ~ 2026-04  | 主:鸡蛋(全部)</t>
        </is>
      </c>
    </row>
    <row r="30">
      <c r="A30" s="2" t="inlineStr">
        <is>
          <t>鸡肉</t>
        </is>
      </c>
      <c r="B30" s="2" t="n">
        <v>424</v>
      </c>
      <c r="C30" s="2" t="inlineStr">
        <is>
          <t>1991-01 ~ 2026-04  | 主:肉鸡(Broilers)</t>
        </is>
      </c>
    </row>
    <row r="31">
      <c r="A31" s="2" t="inlineStr">
        <is>
          <t>玉米</t>
        </is>
      </c>
      <c r="B31" s="2" t="n">
        <v>1420</v>
      </c>
      <c r="C31" s="2" t="inlineStr">
        <is>
          <t>1908-01 ~ 2026-04  | 主:玉米(Corn grain)</t>
        </is>
      </c>
    </row>
    <row r="32">
      <c r="A32" s="2" t="inlineStr">
        <is>
          <t>大豆</t>
        </is>
      </c>
      <c r="B32" s="2" t="n">
        <v>1282</v>
      </c>
      <c r="C32" s="2" t="inlineStr">
        <is>
          <t>1913-10 ~ 2026-04  | 主:大豆(Soybeans)</t>
        </is>
      </c>
    </row>
  </sheetData>
  <mergeCells count="6">
    <mergeCell ref="A19:C19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3" customWidth="1" min="7" max="7"/>
    <col width="14" customWidth="1" min="8" max="8"/>
    <col width="9" customWidth="1" min="9" max="9"/>
    <col width="13" customWidth="1" min="10" max="10"/>
  </cols>
  <sheetData>
    <row r="1" ht="20.1" customHeight="1">
      <c r="A1" s="9" t="inlineStr">
        <is>
          <t>牛肉·活牛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肉牛(≥500磅,≈活牛)
($ / CWT)</t>
        </is>
      </c>
      <c r="E4" s="11" t="inlineStr">
        <is>
          <t>阉公牛及小母牛(≥500磅)
($ / CWT)</t>
        </is>
      </c>
      <c r="F4" s="11" t="inlineStr">
        <is>
          <t>犊牛(Calves)
($ / CWT)</t>
        </is>
      </c>
      <c r="G4" s="11" t="inlineStr">
        <is>
          <t>母牛(Cows)
($ / CWT)</t>
        </is>
      </c>
      <c r="H4" s="11" t="inlineStr">
        <is>
          <t>主指标(元/公斤)</t>
        </is>
      </c>
      <c r="I4" s="11" t="inlineStr">
        <is>
          <t>环比%</t>
        </is>
      </c>
      <c r="J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5.41</v>
      </c>
      <c r="E5" s="14" t="n"/>
      <c r="F5" s="14" t="n">
        <v>6.6</v>
      </c>
      <c r="G5" s="14" t="n"/>
      <c r="H5" s="14">
        <f>IF(D5="","",D5*'参数与说明'!$B$6/45.3592)</f>
        <v/>
      </c>
      <c r="I5" s="15">
        <f>IFERROR(IF(D5="","",D5/INDEX($D:$D,MATCH(EDATE($A5,-1),$A:$A,0))-1),"")</f>
        <v/>
      </c>
      <c r="J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5.49</v>
      </c>
      <c r="E6" s="18" t="n"/>
      <c r="F6" s="18" t="n">
        <v>6.73</v>
      </c>
      <c r="G6" s="18" t="n"/>
      <c r="H6" s="18">
        <f>IF(D6="","",D6*'参数与说明'!$B$6/45.3592)</f>
        <v/>
      </c>
      <c r="I6" s="19">
        <f>IFERROR(IF(D6="","",D6/INDEX($D:$D,MATCH(EDATE($A6,-1),$A:$A,0))-1),"")</f>
        <v/>
      </c>
      <c r="J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5.36</v>
      </c>
      <c r="E7" s="14" t="n"/>
      <c r="F7" s="14" t="n">
        <v>6.94</v>
      </c>
      <c r="G7" s="14" t="n"/>
      <c r="H7" s="14">
        <f>IF(D7="","",D7*'参数与说明'!$B$6/45.3592)</f>
        <v/>
      </c>
      <c r="I7" s="15">
        <f>IFERROR(IF(D7="","",D7/INDEX($D:$D,MATCH(EDATE($A7,-1),$A:$A,0))-1),"")</f>
        <v/>
      </c>
      <c r="J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5.19</v>
      </c>
      <c r="E8" s="18" t="n"/>
      <c r="F8" s="18" t="n">
        <v>6.72</v>
      </c>
      <c r="G8" s="18" t="n"/>
      <c r="H8" s="18">
        <f>IF(D8="","",D8*'参数与说明'!$B$6/45.3592)</f>
        <v/>
      </c>
      <c r="I8" s="19">
        <f>IFERROR(IF(D8="","",D8/INDEX($D:$D,MATCH(EDATE($A8,-1),$A:$A,0))-1),"")</f>
        <v/>
      </c>
      <c r="J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5.05</v>
      </c>
      <c r="E9" s="14" t="n"/>
      <c r="F9" s="14" t="n">
        <v>6.71</v>
      </c>
      <c r="G9" s="14" t="n"/>
      <c r="H9" s="14">
        <f>IF(D9="","",D9*'参数与说明'!$B$6/45.3592)</f>
        <v/>
      </c>
      <c r="I9" s="15">
        <f>IFERROR(IF(D9="","",D9/INDEX($D:$D,MATCH(EDATE($A9,-1),$A:$A,0))-1),"")</f>
        <v/>
      </c>
      <c r="J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4.78</v>
      </c>
      <c r="E10" s="18" t="n"/>
      <c r="F10" s="18" t="n">
        <v>6.43</v>
      </c>
      <c r="G10" s="18" t="n"/>
      <c r="H10" s="18">
        <f>IF(D10="","",D10*'参数与说明'!$B$6/45.3592)</f>
        <v/>
      </c>
      <c r="I10" s="19">
        <f>IFERROR(IF(D10="","",D10/INDEX($D:$D,MATCH(EDATE($A10,-1),$A:$A,0))-1),"")</f>
        <v/>
      </c>
      <c r="J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4.73</v>
      </c>
      <c r="E11" s="14" t="n"/>
      <c r="F11" s="14" t="n">
        <v>6.21</v>
      </c>
      <c r="G11" s="14" t="n"/>
      <c r="H11" s="14">
        <f>IF(D11="","",D11*'参数与说明'!$B$6/45.3592)</f>
        <v/>
      </c>
      <c r="I11" s="15">
        <f>IFERROR(IF(D11="","",D11/INDEX($D:$D,MATCH(EDATE($A11,-1),$A:$A,0))-1),"")</f>
        <v/>
      </c>
      <c r="J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5.06</v>
      </c>
      <c r="E12" s="18" t="n"/>
      <c r="F12" s="18" t="n">
        <v>6.53</v>
      </c>
      <c r="G12" s="18" t="n"/>
      <c r="H12" s="18">
        <f>IF(D12="","",D12*'参数与说明'!$B$6/45.3592)</f>
        <v/>
      </c>
      <c r="I12" s="19">
        <f>IFERROR(IF(D12="","",D12/INDEX($D:$D,MATCH(EDATE($A12,-1),$A:$A,0))-1),"")</f>
        <v/>
      </c>
      <c r="J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5.46</v>
      </c>
      <c r="E13" s="14" t="n"/>
      <c r="F13" s="14" t="n">
        <v>6.57</v>
      </c>
      <c r="G13" s="14" t="n"/>
      <c r="H13" s="14">
        <f>IF(D13="","",D13*'参数与说明'!$B$6/45.3592)</f>
        <v/>
      </c>
      <c r="I13" s="15">
        <f>IFERROR(IF(D13="","",D13/INDEX($D:$D,MATCH(EDATE($A13,-1),$A:$A,0))-1),"")</f>
        <v/>
      </c>
      <c r="J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5.32</v>
      </c>
      <c r="E14" s="18" t="n"/>
      <c r="F14" s="18" t="n">
        <v>6.36</v>
      </c>
      <c r="G14" s="18" t="n"/>
      <c r="H14" s="18">
        <f>IF(D14="","",D14*'参数与说明'!$B$6/45.3592)</f>
        <v/>
      </c>
      <c r="I14" s="19">
        <f>IFERROR(IF(D14="","",D14/INDEX($D:$D,MATCH(EDATE($A14,-1),$A:$A,0))-1),"")</f>
        <v/>
      </c>
      <c r="J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5.31</v>
      </c>
      <c r="E15" s="14" t="n"/>
      <c r="F15" s="14" t="n">
        <v>6.54</v>
      </c>
      <c r="G15" s="14" t="n"/>
      <c r="H15" s="14">
        <f>IF(D15="","",D15*'参数与说明'!$B$6/45.3592)</f>
        <v/>
      </c>
      <c r="I15" s="15">
        <f>IFERROR(IF(D15="","",D15/INDEX($D:$D,MATCH(EDATE($A15,-1),$A:$A,0))-1),"")</f>
        <v/>
      </c>
      <c r="J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4.93</v>
      </c>
      <c r="E16" s="18" t="n"/>
      <c r="F16" s="18" t="n">
        <v>6.39</v>
      </c>
      <c r="G16" s="18" t="n"/>
      <c r="H16" s="18">
        <f>IF(D16="","",D16*'参数与说明'!$B$6/45.3592)</f>
        <v/>
      </c>
      <c r="I16" s="19">
        <f>IFERROR(IF(D16="","",D16/INDEX($D:$D,MATCH(EDATE($A16,-1),$A:$A,0))-1),"")</f>
        <v/>
      </c>
      <c r="J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4.67</v>
      </c>
      <c r="E17" s="14" t="n"/>
      <c r="F17" s="14" t="n">
        <v>6.29</v>
      </c>
      <c r="G17" s="14" t="n"/>
      <c r="H17" s="14">
        <f>IF(D17="","",D17*'参数与说明'!$B$6/45.3592)</f>
        <v/>
      </c>
      <c r="I17" s="15">
        <f>IFERROR(IF(D17="","",D17/INDEX($D:$D,MATCH(EDATE($A17,-1),$A:$A,0))-1),"")</f>
        <v/>
      </c>
      <c r="J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4.77</v>
      </c>
      <c r="E18" s="18" t="n"/>
      <c r="F18" s="18" t="n">
        <v>6.38</v>
      </c>
      <c r="G18" s="18" t="n"/>
      <c r="H18" s="18">
        <f>IF(D18="","",D18*'参数与说明'!$B$6/45.3592)</f>
        <v/>
      </c>
      <c r="I18" s="19">
        <f>IFERROR(IF(D18="","",D18/INDEX($D:$D,MATCH(EDATE($A18,-1),$A:$A,0))-1),"")</f>
        <v/>
      </c>
      <c r="J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4.73</v>
      </c>
      <c r="E19" s="14" t="n"/>
      <c r="F19" s="14" t="n">
        <v>6.42</v>
      </c>
      <c r="G19" s="14" t="n"/>
      <c r="H19" s="14">
        <f>IF(D19="","",D19*'参数与说明'!$B$6/45.3592)</f>
        <v/>
      </c>
      <c r="I19" s="15">
        <f>IFERROR(IF(D19="","",D19/INDEX($D:$D,MATCH(EDATE($A19,-1),$A:$A,0))-1),"")</f>
        <v/>
      </c>
      <c r="J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4.53</v>
      </c>
      <c r="E20" s="18" t="n"/>
      <c r="F20" s="18" t="n">
        <v>6.35</v>
      </c>
      <c r="G20" s="18" t="n"/>
      <c r="H20" s="18">
        <f>IF(D20="","",D20*'参数与说明'!$B$6/45.3592)</f>
        <v/>
      </c>
      <c r="I20" s="19">
        <f>IFERROR(IF(D20="","",D20/INDEX($D:$D,MATCH(EDATE($A20,-1),$A:$A,0))-1),"")</f>
        <v/>
      </c>
      <c r="J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4.51</v>
      </c>
      <c r="E21" s="14" t="n"/>
      <c r="F21" s="14" t="n">
        <v>6.31</v>
      </c>
      <c r="G21" s="14" t="n"/>
      <c r="H21" s="14">
        <f>IF(D21="","",D21*'参数与说明'!$B$6/45.3592)</f>
        <v/>
      </c>
      <c r="I21" s="15">
        <f>IFERROR(IF(D21="","",D21/INDEX($D:$D,MATCH(EDATE($A21,-1),$A:$A,0))-1),"")</f>
        <v/>
      </c>
      <c r="J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4.67</v>
      </c>
      <c r="E22" s="18" t="n"/>
      <c r="F22" s="18" t="n">
        <v>6.42</v>
      </c>
      <c r="G22" s="18" t="n"/>
      <c r="H22" s="18">
        <f>IF(D22="","",D22*'参数与说明'!$B$6/45.3592)</f>
        <v/>
      </c>
      <c r="I22" s="19">
        <f>IFERROR(IF(D22="","",D22/INDEX($D:$D,MATCH(EDATE($A22,-1),$A:$A,0))-1),"")</f>
        <v/>
      </c>
      <c r="J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4.67</v>
      </c>
      <c r="E23" s="14" t="n"/>
      <c r="F23" s="14" t="n">
        <v>6.26</v>
      </c>
      <c r="G23" s="14" t="n"/>
      <c r="H23" s="14">
        <f>IF(D23="","",D23*'参数与说明'!$B$6/45.3592)</f>
        <v/>
      </c>
      <c r="I23" s="15">
        <f>IFERROR(IF(D23="","",D23/INDEX($D:$D,MATCH(EDATE($A23,-1),$A:$A,0))-1),"")</f>
        <v/>
      </c>
      <c r="J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4.78</v>
      </c>
      <c r="E24" s="18" t="n"/>
      <c r="F24" s="18" t="n">
        <v>6.42</v>
      </c>
      <c r="G24" s="18" t="n"/>
      <c r="H24" s="18">
        <f>IF(D24="","",D24*'参数与说明'!$B$6/45.3592)</f>
        <v/>
      </c>
      <c r="I24" s="19">
        <f>IFERROR(IF(D24="","",D24/INDEX($D:$D,MATCH(EDATE($A24,-1),$A:$A,0))-1),"")</f>
        <v/>
      </c>
      <c r="J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4.78</v>
      </c>
      <c r="E25" s="14" t="n"/>
      <c r="F25" s="14" t="n">
        <v>5.97</v>
      </c>
      <c r="G25" s="14" t="n"/>
      <c r="H25" s="14">
        <f>IF(D25="","",D25*'参数与说明'!$B$6/45.3592)</f>
        <v/>
      </c>
      <c r="I25" s="15">
        <f>IFERROR(IF(D25="","",D25/INDEX($D:$D,MATCH(EDATE($A25,-1),$A:$A,0))-1),"")</f>
        <v/>
      </c>
      <c r="J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4.7</v>
      </c>
      <c r="E26" s="18" t="n"/>
      <c r="F26" s="18" t="n">
        <v>5.72</v>
      </c>
      <c r="G26" s="18" t="n"/>
      <c r="H26" s="18">
        <f>IF(D26="","",D26*'参数与说明'!$B$6/45.3592)</f>
        <v/>
      </c>
      <c r="I26" s="19">
        <f>IFERROR(IF(D26="","",D26/INDEX($D:$D,MATCH(EDATE($A26,-1),$A:$A,0))-1),"")</f>
        <v/>
      </c>
      <c r="J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4.55</v>
      </c>
      <c r="E27" s="14" t="n"/>
      <c r="F27" s="14" t="n">
        <v>5.69</v>
      </c>
      <c r="G27" s="14" t="n"/>
      <c r="H27" s="14">
        <f>IF(D27="","",D27*'参数与说明'!$B$6/45.3592)</f>
        <v/>
      </c>
      <c r="I27" s="15">
        <f>IFERROR(IF(D27="","",D27/INDEX($D:$D,MATCH(EDATE($A27,-1),$A:$A,0))-1),"")</f>
        <v/>
      </c>
      <c r="J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4.41</v>
      </c>
      <c r="E28" s="18" t="n"/>
      <c r="F28" s="18" t="n">
        <v>5.67</v>
      </c>
      <c r="G28" s="18" t="n"/>
      <c r="H28" s="18">
        <f>IF(D28="","",D28*'参数与说明'!$B$6/45.3592)</f>
        <v/>
      </c>
      <c r="I28" s="19">
        <f>IFERROR(IF(D28="","",D28/INDEX($D:$D,MATCH(EDATE($A28,-1),$A:$A,0))-1),"")</f>
        <v/>
      </c>
      <c r="J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4.5</v>
      </c>
      <c r="E29" s="14" t="n"/>
      <c r="F29" s="14" t="n">
        <v>5.86</v>
      </c>
      <c r="G29" s="14" t="n"/>
      <c r="H29" s="14">
        <f>IF(D29="","",D29*'参数与说明'!$B$6/45.3592)</f>
        <v/>
      </c>
      <c r="I29" s="15">
        <f>IFERROR(IF(D29="","",D29/INDEX($D:$D,MATCH(EDATE($A29,-1),$A:$A,0))-1),"")</f>
        <v/>
      </c>
      <c r="J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4.58</v>
      </c>
      <c r="E30" s="18" t="n"/>
      <c r="F30" s="18" t="n">
        <v>6.03</v>
      </c>
      <c r="G30" s="18" t="n"/>
      <c r="H30" s="18">
        <f>IF(D30="","",D30*'参数与说明'!$B$6/45.3592)</f>
        <v/>
      </c>
      <c r="I30" s="19">
        <f>IFERROR(IF(D30="","",D30/INDEX($D:$D,MATCH(EDATE($A30,-1),$A:$A,0))-1),"")</f>
        <v/>
      </c>
      <c r="J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4.44</v>
      </c>
      <c r="E31" s="14" t="n"/>
      <c r="F31" s="14" t="n">
        <v>6.02</v>
      </c>
      <c r="G31" s="14" t="n"/>
      <c r="H31" s="14">
        <f>IF(D31="","",D31*'参数与说明'!$B$6/45.3592)</f>
        <v/>
      </c>
      <c r="I31" s="15">
        <f>IFERROR(IF(D31="","",D31/INDEX($D:$D,MATCH(EDATE($A31,-1),$A:$A,0))-1),"")</f>
        <v/>
      </c>
      <c r="J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4.5</v>
      </c>
      <c r="E32" s="18" t="n"/>
      <c r="F32" s="18" t="n">
        <v>5.99</v>
      </c>
      <c r="G32" s="18" t="n"/>
      <c r="H32" s="18">
        <f>IF(D32="","",D32*'参数与说明'!$B$6/45.3592)</f>
        <v/>
      </c>
      <c r="I32" s="19">
        <f>IFERROR(IF(D32="","",D32/INDEX($D:$D,MATCH(EDATE($A32,-1),$A:$A,0))-1),"")</f>
        <v/>
      </c>
      <c r="J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4.54</v>
      </c>
      <c r="E33" s="14" t="n"/>
      <c r="F33" s="14" t="n">
        <v>5.87</v>
      </c>
      <c r="G33" s="14" t="n"/>
      <c r="H33" s="14">
        <f>IF(D33="","",D33*'参数与说明'!$B$6/45.3592)</f>
        <v/>
      </c>
      <c r="I33" s="15">
        <f>IFERROR(IF(D33="","",D33/INDEX($D:$D,MATCH(EDATE($A33,-1),$A:$A,0))-1),"")</f>
        <v/>
      </c>
      <c r="J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4.66</v>
      </c>
      <c r="E34" s="18" t="n"/>
      <c r="F34" s="18" t="n">
        <v>6.04</v>
      </c>
      <c r="G34" s="18" t="n"/>
      <c r="H34" s="18">
        <f>IF(D34="","",D34*'参数与说明'!$B$6/45.3592)</f>
        <v/>
      </c>
      <c r="I34" s="19">
        <f>IFERROR(IF(D34="","",D34/INDEX($D:$D,MATCH(EDATE($A34,-1),$A:$A,0))-1),"")</f>
        <v/>
      </c>
      <c r="J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4.82</v>
      </c>
      <c r="E35" s="14" t="n"/>
      <c r="F35" s="14" t="n">
        <v>6.05</v>
      </c>
      <c r="G35" s="14" t="n"/>
      <c r="H35" s="14">
        <f>IF(D35="","",D35*'参数与说明'!$B$6/45.3592)</f>
        <v/>
      </c>
      <c r="I35" s="15">
        <f>IFERROR(IF(D35="","",D35/INDEX($D:$D,MATCH(EDATE($A35,-1),$A:$A,0))-1),"")</f>
        <v/>
      </c>
      <c r="J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4.96</v>
      </c>
      <c r="E36" s="18" t="n"/>
      <c r="F36" s="18" t="n">
        <v>6.08</v>
      </c>
      <c r="G36" s="18" t="n"/>
      <c r="H36" s="18">
        <f>IF(D36="","",D36*'参数与说明'!$B$6/45.3592)</f>
        <v/>
      </c>
      <c r="I36" s="19">
        <f>IFERROR(IF(D36="","",D36/INDEX($D:$D,MATCH(EDATE($A36,-1),$A:$A,0))-1),"")</f>
        <v/>
      </c>
      <c r="J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5.39</v>
      </c>
      <c r="E37" s="14" t="n"/>
      <c r="F37" s="14" t="n">
        <v>6.31</v>
      </c>
      <c r="G37" s="14" t="n"/>
      <c r="H37" s="14">
        <f>IF(D37="","",D37*'参数与说明'!$B$6/45.3592)</f>
        <v/>
      </c>
      <c r="I37" s="15">
        <f>IFERROR(IF(D37="","",D37/INDEX($D:$D,MATCH(EDATE($A37,-1),$A:$A,0))-1),"")</f>
        <v/>
      </c>
      <c r="J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5.6</v>
      </c>
      <c r="E38" s="18" t="n"/>
      <c r="F38" s="18" t="n">
        <v>6.31</v>
      </c>
      <c r="G38" s="18" t="n"/>
      <c r="H38" s="18">
        <f>IF(D38="","",D38*'参数与说明'!$B$6/45.3592)</f>
        <v/>
      </c>
      <c r="I38" s="19">
        <f>IFERROR(IF(D38="","",D38/INDEX($D:$D,MATCH(EDATE($A38,-1),$A:$A,0))-1),"")</f>
        <v/>
      </c>
      <c r="J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5.5</v>
      </c>
      <c r="E39" s="14" t="n"/>
      <c r="F39" s="14" t="n">
        <v>6.35</v>
      </c>
      <c r="G39" s="14" t="n"/>
      <c r="H39" s="14">
        <f>IF(D39="","",D39*'参数与说明'!$B$6/45.3592)</f>
        <v/>
      </c>
      <c r="I39" s="15">
        <f>IFERROR(IF(D39="","",D39/INDEX($D:$D,MATCH(EDATE($A39,-1),$A:$A,0))-1),"")</f>
        <v/>
      </c>
      <c r="J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5.45</v>
      </c>
      <c r="E40" s="18" t="n"/>
      <c r="F40" s="18" t="n">
        <v>6.35</v>
      </c>
      <c r="G40" s="18" t="n"/>
      <c r="H40" s="18">
        <f>IF(D40="","",D40*'参数与说明'!$B$6/45.3592)</f>
        <v/>
      </c>
      <c r="I40" s="19">
        <f>IFERROR(IF(D40="","",D40/INDEX($D:$D,MATCH(EDATE($A40,-1),$A:$A,0))-1),"")</f>
        <v/>
      </c>
      <c r="J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5.68</v>
      </c>
      <c r="E41" s="14" t="n"/>
      <c r="F41" s="14" t="n">
        <v>6.73</v>
      </c>
      <c r="G41" s="14" t="n"/>
      <c r="H41" s="14">
        <f>IF(D41="","",D41*'参数与说明'!$B$6/45.3592)</f>
        <v/>
      </c>
      <c r="I41" s="15">
        <f>IFERROR(IF(D41="","",D41/INDEX($D:$D,MATCH(EDATE($A41,-1),$A:$A,0))-1),"")</f>
        <v/>
      </c>
      <c r="J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5.66</v>
      </c>
      <c r="E42" s="18" t="n"/>
      <c r="F42" s="18" t="n">
        <v>6.83</v>
      </c>
      <c r="G42" s="18" t="n"/>
      <c r="H42" s="18">
        <f>IF(D42="","",D42*'参数与说明'!$B$6/45.3592)</f>
        <v/>
      </c>
      <c r="I42" s="19">
        <f>IFERROR(IF(D42="","",D42/INDEX($D:$D,MATCH(EDATE($A42,-1),$A:$A,0))-1),"")</f>
        <v/>
      </c>
      <c r="J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5.67</v>
      </c>
      <c r="E43" s="14" t="n"/>
      <c r="F43" s="14" t="n">
        <v>6.91</v>
      </c>
      <c r="G43" s="14" t="n"/>
      <c r="H43" s="14">
        <f>IF(D43="","",D43*'参数与说明'!$B$6/45.3592)</f>
        <v/>
      </c>
      <c r="I43" s="15">
        <f>IFERROR(IF(D43="","",D43/INDEX($D:$D,MATCH(EDATE($A43,-1),$A:$A,0))-1),"")</f>
        <v/>
      </c>
      <c r="J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5.49</v>
      </c>
      <c r="E44" s="18" t="n"/>
      <c r="F44" s="18" t="n">
        <v>6.82</v>
      </c>
      <c r="G44" s="18" t="n"/>
      <c r="H44" s="18">
        <f>IF(D44="","",D44*'参数与说明'!$B$6/45.3592)</f>
        <v/>
      </c>
      <c r="I44" s="19">
        <f>IFERROR(IF(D44="","",D44/INDEX($D:$D,MATCH(EDATE($A44,-1),$A:$A,0))-1),"")</f>
        <v/>
      </c>
      <c r="J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5.65</v>
      </c>
      <c r="E45" s="14" t="n"/>
      <c r="F45" s="14" t="n">
        <v>6.92</v>
      </c>
      <c r="G45" s="14" t="n"/>
      <c r="H45" s="14">
        <f>IF(D45="","",D45*'参数与说明'!$B$6/45.3592)</f>
        <v/>
      </c>
      <c r="I45" s="15">
        <f>IFERROR(IF(D45="","",D45/INDEX($D:$D,MATCH(EDATE($A45,-1),$A:$A,0))-1),"")</f>
        <v/>
      </c>
      <c r="J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5.7</v>
      </c>
      <c r="E46" s="18" t="n"/>
      <c r="F46" s="18" t="n">
        <v>7.11</v>
      </c>
      <c r="G46" s="18" t="n"/>
      <c r="H46" s="18">
        <f>IF(D46="","",D46*'参数与说明'!$B$6/45.3592)</f>
        <v/>
      </c>
      <c r="I46" s="19">
        <f>IFERROR(IF(D46="","",D46/INDEX($D:$D,MATCH(EDATE($A46,-1),$A:$A,0))-1),"")</f>
        <v/>
      </c>
      <c r="J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5.87</v>
      </c>
      <c r="E47" s="14" t="n"/>
      <c r="F47" s="14" t="n">
        <v>7.2</v>
      </c>
      <c r="G47" s="14" t="n"/>
      <c r="H47" s="14">
        <f>IF(D47="","",D47*'参数与说明'!$B$6/45.3592)</f>
        <v/>
      </c>
      <c r="I47" s="15">
        <f>IFERROR(IF(D47="","",D47/INDEX($D:$D,MATCH(EDATE($A47,-1),$A:$A,0))-1),"")</f>
        <v/>
      </c>
      <c r="J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6.22</v>
      </c>
      <c r="E48" s="18" t="n"/>
      <c r="F48" s="18" t="n">
        <v>7.61</v>
      </c>
      <c r="G48" s="18" t="n"/>
      <c r="H48" s="18">
        <f>IF(D48="","",D48*'参数与说明'!$B$6/45.3592)</f>
        <v/>
      </c>
      <c r="I48" s="19">
        <f>IFERROR(IF(D48="","",D48/INDEX($D:$D,MATCH(EDATE($A48,-1),$A:$A,0))-1),"")</f>
        <v/>
      </c>
      <c r="J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6.42</v>
      </c>
      <c r="E49" s="14" t="n"/>
      <c r="F49" s="14" t="n">
        <v>7.46</v>
      </c>
      <c r="G49" s="14" t="n"/>
      <c r="H49" s="14">
        <f>IF(D49="","",D49*'参数与说明'!$B$6/45.3592)</f>
        <v/>
      </c>
      <c r="I49" s="15">
        <f>IFERROR(IF(D49="","",D49/INDEX($D:$D,MATCH(EDATE($A49,-1),$A:$A,0))-1),"")</f>
        <v/>
      </c>
      <c r="J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6.31</v>
      </c>
      <c r="E50" s="18" t="n"/>
      <c r="F50" s="18" t="n">
        <v>7.19</v>
      </c>
      <c r="G50" s="18" t="n"/>
      <c r="H50" s="18">
        <f>IF(D50="","",D50*'参数与说明'!$B$6/45.3592)</f>
        <v/>
      </c>
      <c r="I50" s="19">
        <f>IFERROR(IF(D50="","",D50/INDEX($D:$D,MATCH(EDATE($A50,-1),$A:$A,0))-1),"")</f>
        <v/>
      </c>
      <c r="J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6.34</v>
      </c>
      <c r="E51" s="14" t="n"/>
      <c r="F51" s="14" t="n">
        <v>7.56</v>
      </c>
      <c r="G51" s="14" t="n"/>
      <c r="H51" s="14">
        <f>IF(D51="","",D51*'参数与说明'!$B$6/45.3592)</f>
        <v/>
      </c>
      <c r="I51" s="15">
        <f>IFERROR(IF(D51="","",D51/INDEX($D:$D,MATCH(EDATE($A51,-1),$A:$A,0))-1),"")</f>
        <v/>
      </c>
      <c r="J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6.27</v>
      </c>
      <c r="E52" s="18" t="n"/>
      <c r="F52" s="18" t="n">
        <v>7.48</v>
      </c>
      <c r="G52" s="18" t="n"/>
      <c r="H52" s="18">
        <f>IF(D52="","",D52*'参数与说明'!$B$6/45.3592)</f>
        <v/>
      </c>
      <c r="I52" s="19">
        <f>IFERROR(IF(D52="","",D52/INDEX($D:$D,MATCH(EDATE($A52,-1),$A:$A,0))-1),"")</f>
        <v/>
      </c>
      <c r="J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6.18</v>
      </c>
      <c r="E53" s="14" t="n"/>
      <c r="F53" s="14" t="n">
        <v>7.54</v>
      </c>
      <c r="G53" s="14" t="n"/>
      <c r="H53" s="14">
        <f>IF(D53="","",D53*'参数与说明'!$B$6/45.3592)</f>
        <v/>
      </c>
      <c r="I53" s="15">
        <f>IFERROR(IF(D53="","",D53/INDEX($D:$D,MATCH(EDATE($A53,-1),$A:$A,0))-1),"")</f>
        <v/>
      </c>
      <c r="J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6.2</v>
      </c>
      <c r="E54" s="18" t="n"/>
      <c r="F54" s="18" t="n">
        <v>7.68</v>
      </c>
      <c r="G54" s="18" t="n"/>
      <c r="H54" s="18">
        <f>IF(D54="","",D54*'参数与说明'!$B$6/45.3592)</f>
        <v/>
      </c>
      <c r="I54" s="19">
        <f>IFERROR(IF(D54="","",D54/INDEX($D:$D,MATCH(EDATE($A54,-1),$A:$A,0))-1),"")</f>
        <v/>
      </c>
      <c r="J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6.29</v>
      </c>
      <c r="E55" s="14" t="n"/>
      <c r="F55" s="14" t="n">
        <v>7.74</v>
      </c>
      <c r="G55" s="14" t="n"/>
      <c r="H55" s="14">
        <f>IF(D55="","",D55*'参数与说明'!$B$6/45.3592)</f>
        <v/>
      </c>
      <c r="I55" s="15">
        <f>IFERROR(IF(D55="","",D55/INDEX($D:$D,MATCH(EDATE($A55,-1),$A:$A,0))-1),"")</f>
        <v/>
      </c>
      <c r="J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6.26</v>
      </c>
      <c r="E56" s="18" t="n"/>
      <c r="F56" s="18" t="n">
        <v>7.72</v>
      </c>
      <c r="G56" s="18" t="n"/>
      <c r="H56" s="18">
        <f>IF(D56="","",D56*'参数与说明'!$B$6/45.3592)</f>
        <v/>
      </c>
      <c r="I56" s="19">
        <f>IFERROR(IF(D56="","",D56/INDEX($D:$D,MATCH(EDATE($A56,-1),$A:$A,0))-1),"")</f>
        <v/>
      </c>
      <c r="J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6.21</v>
      </c>
      <c r="E57" s="14" t="n"/>
      <c r="F57" s="14" t="n">
        <v>7.74</v>
      </c>
      <c r="G57" s="14" t="n"/>
      <c r="H57" s="14">
        <f>IF(D57="","",D57*'参数与说明'!$B$6/45.3592)</f>
        <v/>
      </c>
      <c r="I57" s="15">
        <f>IFERROR(IF(D57="","",D57/INDEX($D:$D,MATCH(EDATE($A57,-1),$A:$A,0))-1),"")</f>
        <v/>
      </c>
      <c r="J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6.32</v>
      </c>
      <c r="E58" s="18" t="n"/>
      <c r="F58" s="18" t="n">
        <v>7.92</v>
      </c>
      <c r="G58" s="18" t="n"/>
      <c r="H58" s="18">
        <f>IF(D58="","",D58*'参数与说明'!$B$6/45.3592)</f>
        <v/>
      </c>
      <c r="I58" s="19">
        <f>IFERROR(IF(D58="","",D58/INDEX($D:$D,MATCH(EDATE($A58,-1),$A:$A,0))-1),"")</f>
        <v/>
      </c>
      <c r="J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6.47</v>
      </c>
      <c r="E59" s="14" t="n"/>
      <c r="F59" s="14" t="n">
        <v>7.86</v>
      </c>
      <c r="G59" s="14" t="n"/>
      <c r="H59" s="14">
        <f>IF(D59="","",D59*'参数与说明'!$B$6/45.3592)</f>
        <v/>
      </c>
      <c r="I59" s="15">
        <f>IFERROR(IF(D59="","",D59/INDEX($D:$D,MATCH(EDATE($A59,-1),$A:$A,0))-1),"")</f>
        <v/>
      </c>
      <c r="J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6.57</v>
      </c>
      <c r="E60" s="18" t="n"/>
      <c r="F60" s="18" t="n">
        <v>7.92</v>
      </c>
      <c r="G60" s="18" t="n"/>
      <c r="H60" s="18">
        <f>IF(D60="","",D60*'参数与说明'!$B$6/45.3592)</f>
        <v/>
      </c>
      <c r="I60" s="19">
        <f>IFERROR(IF(D60="","",D60/INDEX($D:$D,MATCH(EDATE($A60,-1),$A:$A,0))-1),"")</f>
        <v/>
      </c>
      <c r="J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6.58</v>
      </c>
      <c r="E61" s="14" t="n"/>
      <c r="F61" s="14" t="n">
        <v>7.67</v>
      </c>
      <c r="G61" s="14" t="n"/>
      <c r="H61" s="14">
        <f>IF(D61="","",D61*'参数与说明'!$B$6/45.3592)</f>
        <v/>
      </c>
      <c r="I61" s="15">
        <f>IFERROR(IF(D61="","",D61/INDEX($D:$D,MATCH(EDATE($A61,-1),$A:$A,0))-1),"")</f>
        <v/>
      </c>
      <c r="J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6.61</v>
      </c>
      <c r="E62" s="18" t="n"/>
      <c r="F62" s="18" t="n">
        <v>7.67</v>
      </c>
      <c r="G62" s="18" t="n"/>
      <c r="H62" s="18">
        <f>IF(D62="","",D62*'参数与说明'!$B$6/45.3592)</f>
        <v/>
      </c>
      <c r="I62" s="19">
        <f>IFERROR(IF(D62="","",D62/INDEX($D:$D,MATCH(EDATE($A62,-1),$A:$A,0))-1),"")</f>
        <v/>
      </c>
      <c r="J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6.55</v>
      </c>
      <c r="E63" s="14" t="n"/>
      <c r="F63" s="14" t="n">
        <v>7.73</v>
      </c>
      <c r="G63" s="14" t="n"/>
      <c r="H63" s="14">
        <f>IF(D63="","",D63*'参数与说明'!$B$6/45.3592)</f>
        <v/>
      </c>
      <c r="I63" s="15">
        <f>IFERROR(IF(D63="","",D63/INDEX($D:$D,MATCH(EDATE($A63,-1),$A:$A,0))-1),"")</f>
        <v/>
      </c>
      <c r="J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6.64</v>
      </c>
      <c r="E64" s="18" t="n"/>
      <c r="F64" s="18" t="n">
        <v>7.86</v>
      </c>
      <c r="G64" s="18" t="n"/>
      <c r="H64" s="18">
        <f>IF(D64="","",D64*'参数与说明'!$B$6/45.3592)</f>
        <v/>
      </c>
      <c r="I64" s="19">
        <f>IFERROR(IF(D64="","",D64/INDEX($D:$D,MATCH(EDATE($A64,-1),$A:$A,0))-1),"")</f>
        <v/>
      </c>
      <c r="J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6.79</v>
      </c>
      <c r="E65" s="14" t="n"/>
      <c r="F65" s="14" t="n">
        <v>8</v>
      </c>
      <c r="G65" s="14" t="n"/>
      <c r="H65" s="14">
        <f>IF(D65="","",D65*'参数与说明'!$B$6/45.3592)</f>
        <v/>
      </c>
      <c r="I65" s="15">
        <f>IFERROR(IF(D65="","",D65/INDEX($D:$D,MATCH(EDATE($A65,-1),$A:$A,0))-1),"")</f>
        <v/>
      </c>
      <c r="J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6.66</v>
      </c>
      <c r="E66" s="18" t="n"/>
      <c r="F66" s="18" t="n">
        <v>8.08</v>
      </c>
      <c r="G66" s="18" t="n"/>
      <c r="H66" s="18">
        <f>IF(D66="","",D66*'参数与说明'!$B$6/45.3592)</f>
        <v/>
      </c>
      <c r="I66" s="19">
        <f>IFERROR(IF(D66="","",D66/INDEX($D:$D,MATCH(EDATE($A66,-1),$A:$A,0))-1),"")</f>
        <v/>
      </c>
      <c r="J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6.49</v>
      </c>
      <c r="E67" s="14" t="n"/>
      <c r="F67" s="14" t="n">
        <v>7.95</v>
      </c>
      <c r="G67" s="14" t="n"/>
      <c r="H67" s="14">
        <f>IF(D67="","",D67*'参数与说明'!$B$6/45.3592)</f>
        <v/>
      </c>
      <c r="I67" s="15">
        <f>IFERROR(IF(D67="","",D67/INDEX($D:$D,MATCH(EDATE($A67,-1),$A:$A,0))-1),"")</f>
        <v/>
      </c>
      <c r="J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6.32</v>
      </c>
      <c r="E68" s="18" t="n"/>
      <c r="F68" s="18" t="n">
        <v>7.79</v>
      </c>
      <c r="G68" s="18" t="n"/>
      <c r="H68" s="18">
        <f>IF(D68="","",D68*'参数与说明'!$B$6/45.3592)</f>
        <v/>
      </c>
      <c r="I68" s="19">
        <f>IFERROR(IF(D68="","",D68/INDEX($D:$D,MATCH(EDATE($A68,-1),$A:$A,0))-1),"")</f>
        <v/>
      </c>
      <c r="J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6.26</v>
      </c>
      <c r="E69" s="14" t="n"/>
      <c r="F69" s="14" t="n">
        <v>7.7</v>
      </c>
      <c r="G69" s="14" t="n"/>
      <c r="H69" s="14">
        <f>IF(D69="","",D69*'参数与说明'!$B$6/45.3592)</f>
        <v/>
      </c>
      <c r="I69" s="15">
        <f>IFERROR(IF(D69="","",D69/INDEX($D:$D,MATCH(EDATE($A69,-1),$A:$A,0))-1),"")</f>
        <v/>
      </c>
      <c r="J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6.18</v>
      </c>
      <c r="E70" s="18" t="n"/>
      <c r="F70" s="18" t="n">
        <v>7.73</v>
      </c>
      <c r="G70" s="18" t="n"/>
      <c r="H70" s="18">
        <f>IF(D70="","",D70*'参数与说明'!$B$6/45.3592)</f>
        <v/>
      </c>
      <c r="I70" s="19">
        <f>IFERROR(IF(D70="","",D70/INDEX($D:$D,MATCH(EDATE($A70,-1),$A:$A,0))-1),"")</f>
        <v/>
      </c>
      <c r="J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6.09</v>
      </c>
      <c r="E71" s="14" t="n"/>
      <c r="F71" s="14" t="n">
        <v>7.69</v>
      </c>
      <c r="G71" s="14" t="n"/>
      <c r="H71" s="14">
        <f>IF(D71="","",D71*'参数与说明'!$B$6/45.3592)</f>
        <v/>
      </c>
      <c r="I71" s="15">
        <f>IFERROR(IF(D71="","",D71/INDEX($D:$D,MATCH(EDATE($A71,-1),$A:$A,0))-1),"")</f>
        <v/>
      </c>
      <c r="J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6.1</v>
      </c>
      <c r="E72" s="18" t="n"/>
      <c r="F72" s="18" t="n">
        <v>7.56</v>
      </c>
      <c r="G72" s="18" t="n"/>
      <c r="H72" s="18">
        <f>IF(D72="","",D72*'参数与说明'!$B$6/45.3592)</f>
        <v/>
      </c>
      <c r="I72" s="19">
        <f>IFERROR(IF(D72="","",D72/INDEX($D:$D,MATCH(EDATE($A72,-1),$A:$A,0))-1),"")</f>
        <v/>
      </c>
      <c r="J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6.15</v>
      </c>
      <c r="E73" s="14" t="n"/>
      <c r="F73" s="14" t="n">
        <v>7.39</v>
      </c>
      <c r="G73" s="14" t="n"/>
      <c r="H73" s="14">
        <f>IF(D73="","",D73*'参数与说明'!$B$6/45.3592)</f>
        <v/>
      </c>
      <c r="I73" s="15">
        <f>IFERROR(IF(D73="","",D73/INDEX($D:$D,MATCH(EDATE($A73,-1),$A:$A,0))-1),"")</f>
        <v/>
      </c>
      <c r="J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6.39</v>
      </c>
      <c r="E74" s="18" t="n"/>
      <c r="F74" s="18" t="n">
        <v>7.43</v>
      </c>
      <c r="G74" s="18" t="n"/>
      <c r="H74" s="18">
        <f>IF(D74="","",D74*'参数与说明'!$B$6/45.3592)</f>
        <v/>
      </c>
      <c r="I74" s="19">
        <f>IFERROR(IF(D74="","",D74/INDEX($D:$D,MATCH(EDATE($A74,-1),$A:$A,0))-1),"")</f>
        <v/>
      </c>
      <c r="J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6.45</v>
      </c>
      <c r="E75" s="14" t="n"/>
      <c r="F75" s="14" t="n">
        <v>7.62</v>
      </c>
      <c r="G75" s="14" t="n"/>
      <c r="H75" s="14">
        <f>IF(D75="","",D75*'参数与说明'!$B$6/45.3592)</f>
        <v/>
      </c>
      <c r="I75" s="15">
        <f>IFERROR(IF(D75="","",D75/INDEX($D:$D,MATCH(EDATE($A75,-1),$A:$A,0))-1),"")</f>
        <v/>
      </c>
      <c r="J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6.69</v>
      </c>
      <c r="E76" s="18" t="n"/>
      <c r="F76" s="18" t="n">
        <v>7.9</v>
      </c>
      <c r="G76" s="18" t="n"/>
      <c r="H76" s="18">
        <f>IF(D76="","",D76*'参数与说明'!$B$6/45.3592)</f>
        <v/>
      </c>
      <c r="I76" s="19">
        <f>IFERROR(IF(D76="","",D76/INDEX($D:$D,MATCH(EDATE($A76,-1),$A:$A,0))-1),"")</f>
        <v/>
      </c>
      <c r="J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6.45</v>
      </c>
      <c r="E77" s="14" t="n"/>
      <c r="F77" s="14" t="n">
        <v>7.81</v>
      </c>
      <c r="G77" s="14" t="n"/>
      <c r="H77" s="14">
        <f>IF(D77="","",D77*'参数与说明'!$B$6/45.3592)</f>
        <v/>
      </c>
      <c r="I77" s="15">
        <f>IFERROR(IF(D77="","",D77/INDEX($D:$D,MATCH(EDATE($A77,-1),$A:$A,0))-1),"")</f>
        <v/>
      </c>
      <c r="J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6.31</v>
      </c>
      <c r="E78" s="18" t="n"/>
      <c r="F78" s="18" t="n">
        <v>7.86</v>
      </c>
      <c r="G78" s="18" t="n"/>
      <c r="H78" s="18">
        <f>IF(D78="","",D78*'参数与说明'!$B$6/45.3592)</f>
        <v/>
      </c>
      <c r="I78" s="19">
        <f>IFERROR(IF(D78="","",D78/INDEX($D:$D,MATCH(EDATE($A78,-1),$A:$A,0))-1),"")</f>
        <v/>
      </c>
      <c r="J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6.3</v>
      </c>
      <c r="E79" s="14" t="n"/>
      <c r="F79" s="14" t="n">
        <v>7.95</v>
      </c>
      <c r="G79" s="14" t="n"/>
      <c r="H79" s="14">
        <f>IF(D79="","",D79*'参数与说明'!$B$6/45.3592)</f>
        <v/>
      </c>
      <c r="I79" s="15">
        <f>IFERROR(IF(D79="","",D79/INDEX($D:$D,MATCH(EDATE($A79,-1),$A:$A,0))-1),"")</f>
        <v/>
      </c>
      <c r="J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6.07</v>
      </c>
      <c r="E80" s="18" t="n"/>
      <c r="F80" s="18" t="n">
        <v>7.75</v>
      </c>
      <c r="G80" s="18" t="n"/>
      <c r="H80" s="18">
        <f>IF(D80="","",D80*'参数与说明'!$B$6/45.3592)</f>
        <v/>
      </c>
      <c r="I80" s="19">
        <f>IFERROR(IF(D80="","",D80/INDEX($D:$D,MATCH(EDATE($A80,-1),$A:$A,0))-1),"")</f>
        <v/>
      </c>
      <c r="J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5.95</v>
      </c>
      <c r="E81" s="14" t="n"/>
      <c r="F81" s="14" t="n">
        <v>7.72</v>
      </c>
      <c r="G81" s="14" t="n"/>
      <c r="H81" s="14">
        <f>IF(D81="","",D81*'参数与说明'!$B$6/45.3592)</f>
        <v/>
      </c>
      <c r="I81" s="15">
        <f>IFERROR(IF(D81="","",D81/INDEX($D:$D,MATCH(EDATE($A81,-1),$A:$A,0))-1),"")</f>
        <v/>
      </c>
      <c r="J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6.07</v>
      </c>
      <c r="E82" s="18" t="n"/>
      <c r="F82" s="18" t="n">
        <v>7.74</v>
      </c>
      <c r="G82" s="18" t="n"/>
      <c r="H82" s="18">
        <f>IF(D82="","",D82*'参数与说明'!$B$6/45.3592)</f>
        <v/>
      </c>
      <c r="I82" s="19">
        <f>IFERROR(IF(D82="","",D82/INDEX($D:$D,MATCH(EDATE($A82,-1),$A:$A,0))-1),"")</f>
        <v/>
      </c>
      <c r="J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6.23</v>
      </c>
      <c r="E83" s="14" t="n"/>
      <c r="F83" s="14" t="n">
        <v>7.91</v>
      </c>
      <c r="G83" s="14" t="n"/>
      <c r="H83" s="14">
        <f>IF(D83="","",D83*'参数与说明'!$B$6/45.3592)</f>
        <v/>
      </c>
      <c r="I83" s="15">
        <f>IFERROR(IF(D83="","",D83/INDEX($D:$D,MATCH(EDATE($A83,-1),$A:$A,0))-1),"")</f>
        <v/>
      </c>
      <c r="J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6.68</v>
      </c>
      <c r="E84" s="18" t="n"/>
      <c r="F84" s="18" t="n">
        <v>8.15</v>
      </c>
      <c r="G84" s="18" t="n"/>
      <c r="H84" s="18">
        <f>IF(D84="","",D84*'参数与说明'!$B$6/45.3592)</f>
        <v/>
      </c>
      <c r="I84" s="19">
        <f>IFERROR(IF(D84="","",D84/INDEX($D:$D,MATCH(EDATE($A84,-1),$A:$A,0))-1),"")</f>
        <v/>
      </c>
      <c r="J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6.95</v>
      </c>
      <c r="E85" s="14" t="n"/>
      <c r="F85" s="14" t="n">
        <v>8.09</v>
      </c>
      <c r="G85" s="14" t="n"/>
      <c r="H85" s="14">
        <f>IF(D85="","",D85*'参数与说明'!$B$6/45.3592)</f>
        <v/>
      </c>
      <c r="I85" s="15">
        <f>IFERROR(IF(D85="","",D85/INDEX($D:$D,MATCH(EDATE($A85,-1),$A:$A,0))-1),"")</f>
        <v/>
      </c>
      <c r="J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7.02</v>
      </c>
      <c r="E86" s="18" t="n"/>
      <c r="F86" s="18" t="n">
        <v>8.16</v>
      </c>
      <c r="G86" s="18" t="n"/>
      <c r="H86" s="18">
        <f>IF(D86="","",D86*'参数与说明'!$B$6/45.3592)</f>
        <v/>
      </c>
      <c r="I86" s="19">
        <f>IFERROR(IF(D86="","",D86/INDEX($D:$D,MATCH(EDATE($A86,-1),$A:$A,0))-1),"")</f>
        <v/>
      </c>
      <c r="J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7.28</v>
      </c>
      <c r="E87" s="14" t="n"/>
      <c r="F87" s="14" t="n">
        <v>8.42</v>
      </c>
      <c r="G87" s="14" t="n"/>
      <c r="H87" s="14">
        <f>IF(D87="","",D87*'参数与说明'!$B$6/45.3592)</f>
        <v/>
      </c>
      <c r="I87" s="15">
        <f>IFERROR(IF(D87="","",D87/INDEX($D:$D,MATCH(EDATE($A87,-1),$A:$A,0))-1),"")</f>
        <v/>
      </c>
      <c r="J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7.11</v>
      </c>
      <c r="E88" s="18" t="n"/>
      <c r="F88" s="18" t="n">
        <v>8.539999999999999</v>
      </c>
      <c r="G88" s="18" t="n"/>
      <c r="H88" s="18">
        <f>IF(D88="","",D88*'参数与说明'!$B$6/45.3592)</f>
        <v/>
      </c>
      <c r="I88" s="19">
        <f>IFERROR(IF(D88="","",D88/INDEX($D:$D,MATCH(EDATE($A88,-1),$A:$A,0))-1),"")</f>
        <v/>
      </c>
      <c r="J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6.8</v>
      </c>
      <c r="E89" s="14" t="n"/>
      <c r="F89" s="14" t="n">
        <v>8.52</v>
      </c>
      <c r="G89" s="14" t="n"/>
      <c r="H89" s="14">
        <f>IF(D89="","",D89*'参数与说明'!$B$6/45.3592)</f>
        <v/>
      </c>
      <c r="I89" s="15">
        <f>IFERROR(IF(D89="","",D89/INDEX($D:$D,MATCH(EDATE($A89,-1),$A:$A,0))-1),"")</f>
        <v/>
      </c>
      <c r="J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6.84</v>
      </c>
      <c r="E90" s="18" t="n"/>
      <c r="F90" s="18" t="n">
        <v>8.73</v>
      </c>
      <c r="G90" s="18" t="n"/>
      <c r="H90" s="18">
        <f>IF(D90="","",D90*'参数与说明'!$B$6/45.3592)</f>
        <v/>
      </c>
      <c r="I90" s="19">
        <f>IFERROR(IF(D90="","",D90/INDEX($D:$D,MATCH(EDATE($A90,-1),$A:$A,0))-1),"")</f>
        <v/>
      </c>
      <c r="J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6.65</v>
      </c>
      <c r="E91" s="14" t="n"/>
      <c r="F91" s="14" t="n">
        <v>8.56</v>
      </c>
      <c r="G91" s="14" t="n"/>
      <c r="H91" s="14">
        <f>IF(D91="","",D91*'参数与说明'!$B$6/45.3592)</f>
        <v/>
      </c>
      <c r="I91" s="15">
        <f>IFERROR(IF(D91="","",D91/INDEX($D:$D,MATCH(EDATE($A91,-1),$A:$A,0))-1),"")</f>
        <v/>
      </c>
      <c r="J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6.71</v>
      </c>
      <c r="E92" s="18" t="n"/>
      <c r="F92" s="18" t="n">
        <v>8.59</v>
      </c>
      <c r="G92" s="18" t="n"/>
      <c r="H92" s="18">
        <f>IF(D92="","",D92*'参数与说明'!$B$6/45.3592)</f>
        <v/>
      </c>
      <c r="I92" s="19">
        <f>IFERROR(IF(D92="","",D92/INDEX($D:$D,MATCH(EDATE($A92,-1),$A:$A,0))-1),"")</f>
        <v/>
      </c>
      <c r="J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6.86</v>
      </c>
      <c r="E93" s="14" t="n"/>
      <c r="F93" s="14" t="n">
        <v>8.74</v>
      </c>
      <c r="G93" s="14" t="n"/>
      <c r="H93" s="14">
        <f>IF(D93="","",D93*'参数与说明'!$B$6/45.3592)</f>
        <v/>
      </c>
      <c r="I93" s="15">
        <f>IFERROR(IF(D93="","",D93/INDEX($D:$D,MATCH(EDATE($A93,-1),$A:$A,0))-1),"")</f>
        <v/>
      </c>
      <c r="J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7.21</v>
      </c>
      <c r="E94" s="18" t="n"/>
      <c r="F94" s="18" t="n">
        <v>9.07</v>
      </c>
      <c r="G94" s="18" t="n"/>
      <c r="H94" s="18">
        <f>IF(D94="","",D94*'参数与说明'!$B$6/45.3592)</f>
        <v/>
      </c>
      <c r="I94" s="19">
        <f>IFERROR(IF(D94="","",D94/INDEX($D:$D,MATCH(EDATE($A94,-1),$A:$A,0))-1),"")</f>
        <v/>
      </c>
      <c r="J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7.75</v>
      </c>
      <c r="E95" s="14" t="n"/>
      <c r="F95" s="14" t="n">
        <v>9.789999999999999</v>
      </c>
      <c r="G95" s="14" t="n"/>
      <c r="H95" s="14">
        <f>IF(D95="","",D95*'参数与说明'!$B$6/45.3592)</f>
        <v/>
      </c>
      <c r="I95" s="15">
        <f>IFERROR(IF(D95="","",D95/INDEX($D:$D,MATCH(EDATE($A95,-1),$A:$A,0))-1),"")</f>
        <v/>
      </c>
      <c r="J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8.23</v>
      </c>
      <c r="E96" s="18" t="n"/>
      <c r="F96" s="18" t="n">
        <v>9.949999999999999</v>
      </c>
      <c r="G96" s="18" t="n"/>
      <c r="H96" s="18">
        <f>IF(D96="","",D96*'参数与说明'!$B$6/45.3592)</f>
        <v/>
      </c>
      <c r="I96" s="19">
        <f>IFERROR(IF(D96="","",D96/INDEX($D:$D,MATCH(EDATE($A96,-1),$A:$A,0))-1),"")</f>
        <v/>
      </c>
      <c r="J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8.960000000000001</v>
      </c>
      <c r="E97" s="14" t="n"/>
      <c r="F97" s="14" t="n">
        <v>10.4</v>
      </c>
      <c r="G97" s="14" t="n"/>
      <c r="H97" s="14">
        <f>IF(D97="","",D97*'参数与说明'!$B$6/45.3592)</f>
        <v/>
      </c>
      <c r="I97" s="15">
        <f>IFERROR(IF(D97="","",D97/INDEX($D:$D,MATCH(EDATE($A97,-1),$A:$A,0))-1),"")</f>
        <v/>
      </c>
      <c r="J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9.039999999999999</v>
      </c>
      <c r="E98" s="18" t="n"/>
      <c r="F98" s="18" t="n">
        <v>10.4</v>
      </c>
      <c r="G98" s="18" t="n"/>
      <c r="H98" s="18">
        <f>IF(D98="","",D98*'参数与说明'!$B$6/45.3592)</f>
        <v/>
      </c>
      <c r="I98" s="19">
        <f>IFERROR(IF(D98="","",D98/INDEX($D:$D,MATCH(EDATE($A98,-1),$A:$A,0))-1),"")</f>
        <v/>
      </c>
      <c r="J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9.02</v>
      </c>
      <c r="E99" s="14" t="n"/>
      <c r="F99" s="14" t="n">
        <v>10.5</v>
      </c>
      <c r="G99" s="14" t="n"/>
      <c r="H99" s="14">
        <f>IF(D99="","",D99*'参数与说明'!$B$6/45.3592)</f>
        <v/>
      </c>
      <c r="I99" s="15">
        <f>IFERROR(IF(D99="","",D99/INDEX($D:$D,MATCH(EDATE($A99,-1),$A:$A,0))-1),"")</f>
        <v/>
      </c>
      <c r="J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8.68</v>
      </c>
      <c r="E100" s="18" t="n"/>
      <c r="F100" s="18" t="n">
        <v>10.6</v>
      </c>
      <c r="G100" s="18" t="n"/>
      <c r="H100" s="18">
        <f>IF(D100="","",D100*'参数与说明'!$B$6/45.3592)</f>
        <v/>
      </c>
      <c r="I100" s="19">
        <f>IFERROR(IF(D100="","",D100/INDEX($D:$D,MATCH(EDATE($A100,-1),$A:$A,0))-1),"")</f>
        <v/>
      </c>
      <c r="J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8.539999999999999</v>
      </c>
      <c r="E101" s="14" t="n"/>
      <c r="F101" s="14" t="n">
        <v>10.4</v>
      </c>
      <c r="G101" s="14" t="n"/>
      <c r="H101" s="14">
        <f>IF(D101="","",D101*'参数与说明'!$B$6/45.3592)</f>
        <v/>
      </c>
      <c r="I101" s="15">
        <f>IFERROR(IF(D101="","",D101/INDEX($D:$D,MATCH(EDATE($A101,-1),$A:$A,0))-1),"")</f>
        <v/>
      </c>
      <c r="J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8.77</v>
      </c>
      <c r="E102" s="18" t="n"/>
      <c r="F102" s="18" t="n">
        <v>10.9</v>
      </c>
      <c r="G102" s="18" t="n"/>
      <c r="H102" s="18">
        <f>IF(D102="","",D102*'参数与说明'!$B$6/45.3592)</f>
        <v/>
      </c>
      <c r="I102" s="19">
        <f>IFERROR(IF(D102="","",D102/INDEX($D:$D,MATCH(EDATE($A102,-1),$A:$A,0))-1),"")</f>
        <v/>
      </c>
      <c r="J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8.720000000000001</v>
      </c>
      <c r="E103" s="14" t="n"/>
      <c r="F103" s="14" t="n">
        <v>11</v>
      </c>
      <c r="G103" s="14" t="n"/>
      <c r="H103" s="14">
        <f>IF(D103="","",D103*'参数与说明'!$B$6/45.3592)</f>
        <v/>
      </c>
      <c r="I103" s="15">
        <f>IFERROR(IF(D103="","",D103/INDEX($D:$D,MATCH(EDATE($A103,-1),$A:$A,0))-1),"")</f>
        <v/>
      </c>
      <c r="J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8.539999999999999</v>
      </c>
      <c r="E104" s="18" t="n"/>
      <c r="F104" s="18" t="n">
        <v>10.5</v>
      </c>
      <c r="G104" s="18" t="n"/>
      <c r="H104" s="18">
        <f>IF(D104="","",D104*'参数与说明'!$B$6/45.3592)</f>
        <v/>
      </c>
      <c r="I104" s="19">
        <f>IFERROR(IF(D104="","",D104/INDEX($D:$D,MATCH(EDATE($A104,-1),$A:$A,0))-1),"")</f>
        <v/>
      </c>
      <c r="J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8.529999999999999</v>
      </c>
      <c r="E105" s="14" t="n"/>
      <c r="F105" s="14" t="n">
        <v>10.8</v>
      </c>
      <c r="G105" s="14" t="n"/>
      <c r="H105" s="14">
        <f>IF(D105="","",D105*'参数与说明'!$B$6/45.3592)</f>
        <v/>
      </c>
      <c r="I105" s="15">
        <f>IFERROR(IF(D105="","",D105/INDEX($D:$D,MATCH(EDATE($A105,-1),$A:$A,0))-1),"")</f>
        <v/>
      </c>
      <c r="J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8.609999999999999</v>
      </c>
      <c r="E106" s="18" t="n"/>
      <c r="F106" s="18" t="n">
        <v>11</v>
      </c>
      <c r="G106" s="18" t="n"/>
      <c r="H106" s="18">
        <f>IF(D106="","",D106*'参数与说明'!$B$6/45.3592)</f>
        <v/>
      </c>
      <c r="I106" s="19">
        <f>IFERROR(IF(D106="","",D106/INDEX($D:$D,MATCH(EDATE($A106,-1),$A:$A,0))-1),"")</f>
        <v/>
      </c>
      <c r="J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8.83</v>
      </c>
      <c r="E107" s="14" t="n"/>
      <c r="F107" s="14" t="n">
        <v>11</v>
      </c>
      <c r="G107" s="14" t="n"/>
      <c r="H107" s="14">
        <f>IF(D107="","",D107*'参数与说明'!$B$6/45.3592)</f>
        <v/>
      </c>
      <c r="I107" s="15">
        <f>IFERROR(IF(D107="","",D107/INDEX($D:$D,MATCH(EDATE($A107,-1),$A:$A,0))-1),"")</f>
        <v/>
      </c>
      <c r="J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9.17</v>
      </c>
      <c r="E108" s="18" t="n"/>
      <c r="F108" s="18" t="n">
        <v>11.2</v>
      </c>
      <c r="G108" s="18" t="n"/>
      <c r="H108" s="18">
        <f>IF(D108="","",D108*'参数与说明'!$B$6/45.3592)</f>
        <v/>
      </c>
      <c r="I108" s="19">
        <f>IFERROR(IF(D108="","",D108/INDEX($D:$D,MATCH(EDATE($A108,-1),$A:$A,0))-1),"")</f>
        <v/>
      </c>
      <c r="J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10.2</v>
      </c>
      <c r="E109" s="14" t="n"/>
      <c r="F109" s="14" t="n">
        <v>11.6</v>
      </c>
      <c r="G109" s="14" t="n"/>
      <c r="H109" s="14">
        <f>IF(D109="","",D109*'参数与说明'!$B$6/45.3592)</f>
        <v/>
      </c>
      <c r="I109" s="15">
        <f>IFERROR(IF(D109="","",D109/INDEX($D:$D,MATCH(EDATE($A109,-1),$A:$A,0))-1),"")</f>
        <v/>
      </c>
      <c r="J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10.9</v>
      </c>
      <c r="E110" s="18" t="n"/>
      <c r="F110" s="18" t="n">
        <v>11.6</v>
      </c>
      <c r="G110" s="18" t="n"/>
      <c r="H110" s="18">
        <f>IF(D110="","",D110*'参数与说明'!$B$6/45.3592)</f>
        <v/>
      </c>
      <c r="I110" s="19">
        <f>IFERROR(IF(D110="","",D110/INDEX($D:$D,MATCH(EDATE($A110,-1),$A:$A,0))-1),"")</f>
        <v/>
      </c>
      <c r="J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10.8</v>
      </c>
      <c r="E111" s="14" t="n"/>
      <c r="F111" s="14" t="n">
        <v>11.7</v>
      </c>
      <c r="G111" s="14" t="n"/>
      <c r="H111" s="14">
        <f>IF(D111="","",D111*'参数与说明'!$B$6/45.3592)</f>
        <v/>
      </c>
      <c r="I111" s="15">
        <f>IFERROR(IF(D111="","",D111/INDEX($D:$D,MATCH(EDATE($A111,-1),$A:$A,0))-1),"")</f>
        <v/>
      </c>
      <c r="J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10.5</v>
      </c>
      <c r="E112" s="18" t="n"/>
      <c r="F112" s="18" t="n">
        <v>12.2</v>
      </c>
      <c r="G112" s="18" t="n"/>
      <c r="H112" s="18">
        <f>IF(D112="","",D112*'参数与说明'!$B$6/45.3592)</f>
        <v/>
      </c>
      <c r="I112" s="19">
        <f>IFERROR(IF(D112="","",D112/INDEX($D:$D,MATCH(EDATE($A112,-1),$A:$A,0))-1),"")</f>
        <v/>
      </c>
      <c r="J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10.2</v>
      </c>
      <c r="E113" s="14" t="n"/>
      <c r="F113" s="14" t="n">
        <v>12</v>
      </c>
      <c r="G113" s="14" t="n"/>
      <c r="H113" s="14">
        <f>IF(D113="","",D113*'参数与说明'!$B$6/45.3592)</f>
        <v/>
      </c>
      <c r="I113" s="15">
        <f>IFERROR(IF(D113="","",D113/INDEX($D:$D,MATCH(EDATE($A113,-1),$A:$A,0))-1),"")</f>
        <v/>
      </c>
      <c r="J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10.1</v>
      </c>
      <c r="E114" s="18" t="n"/>
      <c r="F114" s="18" t="n">
        <v>12.3</v>
      </c>
      <c r="G114" s="18" t="n"/>
      <c r="H114" s="18">
        <f>IF(D114="","",D114*'参数与说明'!$B$6/45.3592)</f>
        <v/>
      </c>
      <c r="I114" s="19">
        <f>IFERROR(IF(D114="","",D114/INDEX($D:$D,MATCH(EDATE($A114,-1),$A:$A,0))-1),"")</f>
        <v/>
      </c>
      <c r="J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9.720000000000001</v>
      </c>
      <c r="E115" s="14" t="n"/>
      <c r="F115" s="14" t="n">
        <v>12.1</v>
      </c>
      <c r="G115" s="14" t="n"/>
      <c r="H115" s="14">
        <f>IF(D115="","",D115*'参数与说明'!$B$6/45.3592)</f>
        <v/>
      </c>
      <c r="I115" s="15">
        <f>IFERROR(IF(D115="","",D115/INDEX($D:$D,MATCH(EDATE($A115,-1),$A:$A,0))-1),"")</f>
        <v/>
      </c>
      <c r="J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9.529999999999999</v>
      </c>
      <c r="E116" s="18" t="n"/>
      <c r="F116" s="18" t="n">
        <v>11.7</v>
      </c>
      <c r="G116" s="18" t="n"/>
      <c r="H116" s="18">
        <f>IF(D116="","",D116*'参数与说明'!$B$6/45.3592)</f>
        <v/>
      </c>
      <c r="I116" s="19">
        <f>IFERROR(IF(D116="","",D116/INDEX($D:$D,MATCH(EDATE($A116,-1),$A:$A,0))-1),"")</f>
        <v/>
      </c>
      <c r="J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9.77</v>
      </c>
      <c r="E117" s="14" t="n"/>
      <c r="F117" s="14" t="n">
        <v>12</v>
      </c>
      <c r="G117" s="14" t="n"/>
      <c r="H117" s="14">
        <f>IF(D117="","",D117*'参数与说明'!$B$6/45.3592)</f>
        <v/>
      </c>
      <c r="I117" s="15">
        <f>IFERROR(IF(D117="","",D117/INDEX($D:$D,MATCH(EDATE($A117,-1),$A:$A,0))-1),"")</f>
        <v/>
      </c>
      <c r="J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10.1</v>
      </c>
      <c r="E118" s="18" t="n"/>
      <c r="F118" s="18" t="n">
        <v>12.3</v>
      </c>
      <c r="G118" s="18" t="n"/>
      <c r="H118" s="18">
        <f>IF(D118="","",D118*'参数与说明'!$B$6/45.3592)</f>
        <v/>
      </c>
      <c r="I118" s="19">
        <f>IFERROR(IF(D118="","",D118/INDEX($D:$D,MATCH(EDATE($A118,-1),$A:$A,0))-1),"")</f>
        <v/>
      </c>
      <c r="J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10.6</v>
      </c>
      <c r="E119" s="14" t="n"/>
      <c r="F119" s="14" t="n">
        <v>12.1</v>
      </c>
      <c r="G119" s="14" t="n"/>
      <c r="H119" s="14">
        <f>IF(D119="","",D119*'参数与说明'!$B$6/45.3592)</f>
        <v/>
      </c>
      <c r="I119" s="15">
        <f>IFERROR(IF(D119="","",D119/INDEX($D:$D,MATCH(EDATE($A119,-1),$A:$A,0))-1),"")</f>
        <v/>
      </c>
      <c r="J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10.9</v>
      </c>
      <c r="E120" s="18" t="n"/>
      <c r="F120" s="18" t="n">
        <v>12.6</v>
      </c>
      <c r="G120" s="18" t="n"/>
      <c r="H120" s="18">
        <f>IF(D120="","",D120*'参数与说明'!$B$6/45.3592)</f>
        <v/>
      </c>
      <c r="I120" s="19">
        <f>IFERROR(IF(D120="","",D120/INDEX($D:$D,MATCH(EDATE($A120,-1),$A:$A,0))-1),"")</f>
        <v/>
      </c>
      <c r="J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11.4</v>
      </c>
      <c r="E121" s="14" t="n"/>
      <c r="F121" s="14" t="n">
        <v>12.7</v>
      </c>
      <c r="G121" s="14" t="n"/>
      <c r="H121" s="14">
        <f>IF(D121="","",D121*'参数与说明'!$B$6/45.3592)</f>
        <v/>
      </c>
      <c r="I121" s="15">
        <f>IFERROR(IF(D121="","",D121/INDEX($D:$D,MATCH(EDATE($A121,-1),$A:$A,0))-1),"")</f>
        <v/>
      </c>
      <c r="J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11.4</v>
      </c>
      <c r="E122" s="18" t="n"/>
      <c r="F122" s="18" t="n">
        <v>12.1</v>
      </c>
      <c r="G122" s="18" t="n"/>
      <c r="H122" s="18">
        <f>IF(D122="","",D122*'参数与说明'!$B$6/45.3592)</f>
        <v/>
      </c>
      <c r="I122" s="19">
        <f>IFERROR(IF(D122="","",D122/INDEX($D:$D,MATCH(EDATE($A122,-1),$A:$A,0))-1),"")</f>
        <v/>
      </c>
      <c r="J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10.6</v>
      </c>
      <c r="E123" s="14" t="n"/>
      <c r="F123" s="14" t="n">
        <v>12.3</v>
      </c>
      <c r="G123" s="14" t="n"/>
      <c r="H123" s="14">
        <f>IF(D123="","",D123*'参数与说明'!$B$6/45.3592)</f>
        <v/>
      </c>
      <c r="I123" s="15">
        <f>IFERROR(IF(D123="","",D123/INDEX($D:$D,MATCH(EDATE($A123,-1),$A:$A,0))-1),"")</f>
        <v/>
      </c>
      <c r="J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10.4</v>
      </c>
      <c r="E124" s="18" t="n"/>
      <c r="F124" s="18" t="n">
        <v>13.3</v>
      </c>
      <c r="G124" s="18" t="n"/>
      <c r="H124" s="18">
        <f>IF(D124="","",D124*'参数与说明'!$B$6/45.3592)</f>
        <v/>
      </c>
      <c r="I124" s="19">
        <f>IFERROR(IF(D124="","",D124/INDEX($D:$D,MATCH(EDATE($A124,-1),$A:$A,0))-1),"")</f>
        <v/>
      </c>
      <c r="J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10.3</v>
      </c>
      <c r="E125" s="14" t="n"/>
      <c r="F125" s="14" t="n">
        <v>13.4</v>
      </c>
      <c r="G125" s="14" t="n"/>
      <c r="H125" s="14">
        <f>IF(D125="","",D125*'参数与说明'!$B$6/45.3592)</f>
        <v/>
      </c>
      <c r="I125" s="15">
        <f>IFERROR(IF(D125="","",D125/INDEX($D:$D,MATCH(EDATE($A125,-1),$A:$A,0))-1),"")</f>
        <v/>
      </c>
      <c r="J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9.35</v>
      </c>
      <c r="E126" s="18" t="n"/>
      <c r="F126" s="18" t="n">
        <v>13.3</v>
      </c>
      <c r="G126" s="18" t="n"/>
      <c r="H126" s="18">
        <f>IF(D126="","",D126*'参数与说明'!$B$6/45.3592)</f>
        <v/>
      </c>
      <c r="I126" s="19">
        <f>IFERROR(IF(D126="","",D126/INDEX($D:$D,MATCH(EDATE($A126,-1),$A:$A,0))-1),"")</f>
        <v/>
      </c>
      <c r="J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8.92</v>
      </c>
      <c r="E127" s="14" t="n"/>
      <c r="F127" s="14" t="n">
        <v>12.8</v>
      </c>
      <c r="G127" s="14" t="n"/>
      <c r="H127" s="14">
        <f>IF(D127="","",D127*'参数与说明'!$B$6/45.3592)</f>
        <v/>
      </c>
      <c r="I127" s="15">
        <f>IFERROR(IF(D127="","",D127/INDEX($D:$D,MATCH(EDATE($A127,-1),$A:$A,0))-1),"")</f>
        <v/>
      </c>
      <c r="J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9.050000000000001</v>
      </c>
      <c r="E128" s="18" t="n"/>
      <c r="F128" s="18" t="n">
        <v>12.4</v>
      </c>
      <c r="G128" s="18" t="n"/>
      <c r="H128" s="18">
        <f>IF(D128="","",D128*'参数与说明'!$B$6/45.3592)</f>
        <v/>
      </c>
      <c r="I128" s="19">
        <f>IFERROR(IF(D128="","",D128/INDEX($D:$D,MATCH(EDATE($A128,-1),$A:$A,0))-1),"")</f>
        <v/>
      </c>
      <c r="J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9.01</v>
      </c>
      <c r="E129" s="14" t="n"/>
      <c r="F129" s="14" t="n">
        <v>12.6</v>
      </c>
      <c r="G129" s="14" t="n"/>
      <c r="H129" s="14">
        <f>IF(D129="","",D129*'参数与说明'!$B$6/45.3592)</f>
        <v/>
      </c>
      <c r="I129" s="15">
        <f>IFERROR(IF(D129="","",D129/INDEX($D:$D,MATCH(EDATE($A129,-1),$A:$A,0))-1),"")</f>
        <v/>
      </c>
      <c r="J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9.390000000000001</v>
      </c>
      <c r="E130" s="18" t="n"/>
      <c r="F130" s="18" t="n">
        <v>12.9</v>
      </c>
      <c r="G130" s="18" t="n"/>
      <c r="H130" s="18">
        <f>IF(D130="","",D130*'参数与说明'!$B$6/45.3592)</f>
        <v/>
      </c>
      <c r="I130" s="19">
        <f>IFERROR(IF(D130="","",D130/INDEX($D:$D,MATCH(EDATE($A130,-1),$A:$A,0))-1),"")</f>
        <v/>
      </c>
      <c r="J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9.24</v>
      </c>
      <c r="E131" s="14" t="n"/>
      <c r="F131" s="14" t="n">
        <v>13</v>
      </c>
      <c r="G131" s="14" t="n"/>
      <c r="H131" s="14">
        <f>IF(D131="","",D131*'参数与说明'!$B$6/45.3592)</f>
        <v/>
      </c>
      <c r="I131" s="15">
        <f>IFERROR(IF(D131="","",D131/INDEX($D:$D,MATCH(EDATE($A131,-1),$A:$A,0))-1),"")</f>
        <v/>
      </c>
      <c r="J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9.359999999999999</v>
      </c>
      <c r="E132" s="18" t="n"/>
      <c r="F132" s="18" t="n">
        <v>12.9</v>
      </c>
      <c r="G132" s="18" t="n"/>
      <c r="H132" s="18">
        <f>IF(D132="","",D132*'参数与说明'!$B$6/45.3592)</f>
        <v/>
      </c>
      <c r="I132" s="19">
        <f>IFERROR(IF(D132="","",D132/INDEX($D:$D,MATCH(EDATE($A132,-1),$A:$A,0))-1),"")</f>
        <v/>
      </c>
      <c r="J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9.48</v>
      </c>
      <c r="E133" s="14" t="n"/>
      <c r="F133" s="14" t="n">
        <v>12.7</v>
      </c>
      <c r="G133" s="14" t="n"/>
      <c r="H133" s="14">
        <f>IF(D133="","",D133*'参数与说明'!$B$6/45.3592)</f>
        <v/>
      </c>
      <c r="I133" s="15">
        <f>IFERROR(IF(D133="","",D133/INDEX($D:$D,MATCH(EDATE($A133,-1),$A:$A,0))-1),"")</f>
        <v/>
      </c>
      <c r="J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9.25</v>
      </c>
      <c r="E134" s="18" t="n"/>
      <c r="F134" s="18" t="n">
        <v>11.7</v>
      </c>
      <c r="G134" s="18" t="n"/>
      <c r="H134" s="18">
        <f>IF(D134="","",D134*'参数与说明'!$B$6/45.3592)</f>
        <v/>
      </c>
      <c r="I134" s="19">
        <f>IFERROR(IF(D134="","",D134/INDEX($D:$D,MATCH(EDATE($A134,-1),$A:$A,0))-1),"")</f>
        <v/>
      </c>
      <c r="J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9.74</v>
      </c>
      <c r="E135" s="14" t="n"/>
      <c r="F135" s="14" t="n">
        <v>11.7</v>
      </c>
      <c r="G135" s="14" t="n"/>
      <c r="H135" s="14">
        <f>IF(D135="","",D135*'参数与说明'!$B$6/45.3592)</f>
        <v/>
      </c>
      <c r="I135" s="15">
        <f>IFERROR(IF(D135="","",D135/INDEX($D:$D,MATCH(EDATE($A135,-1),$A:$A,0))-1),"")</f>
        <v/>
      </c>
      <c r="J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9.25</v>
      </c>
      <c r="E136" s="18" t="n"/>
      <c r="F136" s="18" t="n">
        <v>11.4</v>
      </c>
      <c r="G136" s="18" t="n"/>
      <c r="H136" s="18">
        <f>IF(D136="","",D136*'参数与说明'!$B$6/45.3592)</f>
        <v/>
      </c>
      <c r="I136" s="19">
        <f>IFERROR(IF(D136="","",D136/INDEX($D:$D,MATCH(EDATE($A136,-1),$A:$A,0))-1),"")</f>
        <v/>
      </c>
      <c r="J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8.869999999999999</v>
      </c>
      <c r="E137" s="14" t="n"/>
      <c r="F137" s="14" t="n">
        <v>11.6</v>
      </c>
      <c r="G137" s="14" t="n"/>
      <c r="H137" s="14">
        <f>IF(D137="","",D137*'参数与说明'!$B$6/45.3592)</f>
        <v/>
      </c>
      <c r="I137" s="15">
        <f>IFERROR(IF(D137="","",D137/INDEX($D:$D,MATCH(EDATE($A137,-1),$A:$A,0))-1),"")</f>
        <v/>
      </c>
      <c r="J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8.68</v>
      </c>
      <c r="E138" s="18" t="n"/>
      <c r="F138" s="18" t="n">
        <v>11.9</v>
      </c>
      <c r="G138" s="18" t="n"/>
      <c r="H138" s="18">
        <f>IF(D138="","",D138*'参数与说明'!$B$6/45.3592)</f>
        <v/>
      </c>
      <c r="I138" s="19">
        <f>IFERROR(IF(D138="","",D138/INDEX($D:$D,MATCH(EDATE($A138,-1),$A:$A,0))-1),"")</f>
        <v/>
      </c>
      <c r="J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8.07</v>
      </c>
      <c r="E139" s="14" t="n"/>
      <c r="F139" s="14" t="n">
        <v>11.7</v>
      </c>
      <c r="G139" s="14" t="n"/>
      <c r="H139" s="14">
        <f>IF(D139="","",D139*'参数与说明'!$B$6/45.3592)</f>
        <v/>
      </c>
      <c r="I139" s="15">
        <f>IFERROR(IF(D139="","",D139/INDEX($D:$D,MATCH(EDATE($A139,-1),$A:$A,0))-1),"")</f>
        <v/>
      </c>
      <c r="J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7.38</v>
      </c>
      <c r="E140" s="18" t="n"/>
      <c r="F140" s="18" t="n">
        <v>10.7</v>
      </c>
      <c r="G140" s="18" t="n"/>
      <c r="H140" s="18">
        <f>IF(D140="","",D140*'参数与说明'!$B$6/45.3592)</f>
        <v/>
      </c>
      <c r="I140" s="19">
        <f>IFERROR(IF(D140="","",D140/INDEX($D:$D,MATCH(EDATE($A140,-1),$A:$A,0))-1),"")</f>
        <v/>
      </c>
      <c r="J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6.48</v>
      </c>
      <c r="E141" s="14" t="n"/>
      <c r="F141" s="14" t="n">
        <v>9.289999999999999</v>
      </c>
      <c r="G141" s="14" t="n"/>
      <c r="H141" s="14">
        <f>IF(D141="","",D141*'参数与说明'!$B$6/45.3592)</f>
        <v/>
      </c>
      <c r="I141" s="15">
        <f>IFERROR(IF(D141="","",D141/INDEX($D:$D,MATCH(EDATE($A141,-1),$A:$A,0))-1),"")</f>
        <v/>
      </c>
      <c r="J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6.47</v>
      </c>
      <c r="E142" s="18" t="n"/>
      <c r="F142" s="18" t="n">
        <v>9.41</v>
      </c>
      <c r="G142" s="18" t="n"/>
      <c r="H142" s="18">
        <f>IF(D142="","",D142*'参数与说明'!$B$6/45.3592)</f>
        <v/>
      </c>
      <c r="I142" s="19">
        <f>IFERROR(IF(D142="","",D142/INDEX($D:$D,MATCH(EDATE($A142,-1),$A:$A,0))-1),"")</f>
        <v/>
      </c>
      <c r="J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6.11</v>
      </c>
      <c r="E143" s="14" t="n"/>
      <c r="F143" s="14" t="n">
        <v>9.08</v>
      </c>
      <c r="G143" s="14" t="n"/>
      <c r="H143" s="14">
        <f>IF(D143="","",D143*'参数与说明'!$B$6/45.3592)</f>
        <v/>
      </c>
      <c r="I143" s="15">
        <f>IFERROR(IF(D143="","",D143/INDEX($D:$D,MATCH(EDATE($A143,-1),$A:$A,0))-1),"")</f>
        <v/>
      </c>
      <c r="J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6.56</v>
      </c>
      <c r="E144" s="18" t="n"/>
      <c r="F144" s="18" t="n">
        <v>9.06</v>
      </c>
      <c r="G144" s="18" t="n"/>
      <c r="H144" s="18">
        <f>IF(D144="","",D144*'参数与说明'!$B$6/45.3592)</f>
        <v/>
      </c>
      <c r="I144" s="19">
        <f>IFERROR(IF(D144="","",D144/INDEX($D:$D,MATCH(EDATE($A144,-1),$A:$A,0))-1),"")</f>
        <v/>
      </c>
      <c r="J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6.22</v>
      </c>
      <c r="E145" s="14" t="n"/>
      <c r="F145" s="14" t="n">
        <v>7.85</v>
      </c>
      <c r="G145" s="14" t="n"/>
      <c r="H145" s="14">
        <f>IF(D145="","",D145*'参数与说明'!$B$6/45.3592)</f>
        <v/>
      </c>
      <c r="I145" s="15">
        <f>IFERROR(IF(D145="","",D145/INDEX($D:$D,MATCH(EDATE($A145,-1),$A:$A,0))-1),"")</f>
        <v/>
      </c>
      <c r="J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6.14</v>
      </c>
      <c r="E146" s="18" t="n"/>
      <c r="F146" s="18" t="n">
        <v>7.64</v>
      </c>
      <c r="G146" s="18" t="n"/>
      <c r="H146" s="18">
        <f>IF(D146="","",D146*'参数与说明'!$B$6/45.3592)</f>
        <v/>
      </c>
      <c r="I146" s="19">
        <f>IFERROR(IF(D146="","",D146/INDEX($D:$D,MATCH(EDATE($A146,-1),$A:$A,0))-1),"")</f>
        <v/>
      </c>
      <c r="J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5.78</v>
      </c>
      <c r="E147" s="14" t="n"/>
      <c r="F147" s="14" t="n">
        <v>7.5</v>
      </c>
      <c r="G147" s="14" t="n"/>
      <c r="H147" s="14">
        <f>IF(D147="","",D147*'参数与说明'!$B$6/45.3592)</f>
        <v/>
      </c>
      <c r="I147" s="15">
        <f>IFERROR(IF(D147="","",D147/INDEX($D:$D,MATCH(EDATE($A147,-1),$A:$A,0))-1),"")</f>
        <v/>
      </c>
      <c r="J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5.57</v>
      </c>
      <c r="E148" s="18" t="n"/>
      <c r="F148" s="18" t="n">
        <v>7.49</v>
      </c>
      <c r="G148" s="18" t="n"/>
      <c r="H148" s="18">
        <f>IF(D148="","",D148*'参数与说明'!$B$6/45.3592)</f>
        <v/>
      </c>
      <c r="I148" s="19">
        <f>IFERROR(IF(D148="","",D148/INDEX($D:$D,MATCH(EDATE($A148,-1),$A:$A,0))-1),"")</f>
        <v/>
      </c>
      <c r="J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5.6</v>
      </c>
      <c r="E149" s="14" t="n"/>
      <c r="F149" s="14" t="n">
        <v>7.34</v>
      </c>
      <c r="G149" s="14" t="n"/>
      <c r="H149" s="14">
        <f>IF(D149="","",D149*'参数与说明'!$B$6/45.3592)</f>
        <v/>
      </c>
      <c r="I149" s="15">
        <f>IFERROR(IF(D149="","",D149/INDEX($D:$D,MATCH(EDATE($A149,-1),$A:$A,0))-1),"")</f>
        <v/>
      </c>
      <c r="J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5.17</v>
      </c>
      <c r="E150" s="18" t="n"/>
      <c r="F150" s="18" t="n">
        <v>7.69</v>
      </c>
      <c r="G150" s="18" t="n"/>
      <c r="H150" s="18">
        <f>IF(D150="","",D150*'参数与说明'!$B$6/45.3592)</f>
        <v/>
      </c>
      <c r="I150" s="19">
        <f>IFERROR(IF(D150="","",D150/INDEX($D:$D,MATCH(EDATE($A150,-1),$A:$A,0))-1),"")</f>
        <v/>
      </c>
      <c r="J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4.99</v>
      </c>
      <c r="E151" s="14" t="n"/>
      <c r="F151" s="14" t="n">
        <v>7.62</v>
      </c>
      <c r="G151" s="14" t="n"/>
      <c r="H151" s="14">
        <f>IF(D151="","",D151*'参数与说明'!$B$6/45.3592)</f>
        <v/>
      </c>
      <c r="I151" s="15">
        <f>IFERROR(IF(D151="","",D151/INDEX($D:$D,MATCH(EDATE($A151,-1),$A:$A,0))-1),"")</f>
        <v/>
      </c>
      <c r="J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4.83</v>
      </c>
      <c r="E152" s="18" t="n"/>
      <c r="F152" s="18" t="n">
        <v>7.16</v>
      </c>
      <c r="G152" s="18" t="n"/>
      <c r="H152" s="18">
        <f>IF(D152="","",D152*'参数与说明'!$B$6/45.3592)</f>
        <v/>
      </c>
      <c r="I152" s="19">
        <f>IFERROR(IF(D152="","",D152/INDEX($D:$D,MATCH(EDATE($A152,-1),$A:$A,0))-1),"")</f>
        <v/>
      </c>
      <c r="J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4.8</v>
      </c>
      <c r="E153" s="14" t="n"/>
      <c r="F153" s="14" t="n">
        <v>7.07</v>
      </c>
      <c r="G153" s="14" t="n"/>
      <c r="H153" s="14">
        <f>IF(D153="","",D153*'参数与说明'!$B$6/45.3592)</f>
        <v/>
      </c>
      <c r="I153" s="15">
        <f>IFERROR(IF(D153="","",D153/INDEX($D:$D,MATCH(EDATE($A153,-1),$A:$A,0))-1),"")</f>
        <v/>
      </c>
      <c r="J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4.93</v>
      </c>
      <c r="E154" s="18" t="n"/>
      <c r="F154" s="18" t="n">
        <v>7.19</v>
      </c>
      <c r="G154" s="18" t="n"/>
      <c r="H154" s="18">
        <f>IF(D154="","",D154*'参数与说明'!$B$6/45.3592)</f>
        <v/>
      </c>
      <c r="I154" s="19">
        <f>IFERROR(IF(D154="","",D154/INDEX($D:$D,MATCH(EDATE($A154,-1),$A:$A,0))-1),"")</f>
        <v/>
      </c>
      <c r="J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5.3</v>
      </c>
      <c r="E155" s="14" t="n"/>
      <c r="F155" s="14" t="n">
        <v>7.75</v>
      </c>
      <c r="G155" s="14" t="n"/>
      <c r="H155" s="14">
        <f>IF(D155="","",D155*'参数与说明'!$B$6/45.3592)</f>
        <v/>
      </c>
      <c r="I155" s="15">
        <f>IFERROR(IF(D155="","",D155/INDEX($D:$D,MATCH(EDATE($A155,-1),$A:$A,0))-1),"")</f>
        <v/>
      </c>
      <c r="J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5.71</v>
      </c>
      <c r="E156" s="18" t="n"/>
      <c r="F156" s="18" t="n">
        <v>7.76</v>
      </c>
      <c r="G156" s="18" t="n"/>
      <c r="H156" s="18">
        <f>IF(D156="","",D156*'参数与说明'!$B$6/45.3592)</f>
        <v/>
      </c>
      <c r="I156" s="19">
        <f>IFERROR(IF(D156="","",D156/INDEX($D:$D,MATCH(EDATE($A156,-1),$A:$A,0))-1),"")</f>
        <v/>
      </c>
      <c r="J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5.75</v>
      </c>
      <c r="E157" s="14" t="n"/>
      <c r="F157" s="14" t="n">
        <v>7.31</v>
      </c>
      <c r="G157" s="14" t="n"/>
      <c r="H157" s="14">
        <f>IF(D157="","",D157*'参数与说明'!$B$6/45.3592)</f>
        <v/>
      </c>
      <c r="I157" s="15">
        <f>IFERROR(IF(D157="","",D157/INDEX($D:$D,MATCH(EDATE($A157,-1),$A:$A,0))-1),"")</f>
        <v/>
      </c>
      <c r="J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5.95</v>
      </c>
      <c r="E158" s="18" t="n"/>
      <c r="F158" s="18" t="n">
        <v>7.3</v>
      </c>
      <c r="G158" s="18" t="n"/>
      <c r="H158" s="18">
        <f>IF(D158="","",D158*'参数与说明'!$B$6/45.3592)</f>
        <v/>
      </c>
      <c r="I158" s="19">
        <f>IFERROR(IF(D158="","",D158/INDEX($D:$D,MATCH(EDATE($A158,-1),$A:$A,0))-1),"")</f>
        <v/>
      </c>
      <c r="J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6.13</v>
      </c>
      <c r="E159" s="14" t="n"/>
      <c r="F159" s="14" t="n">
        <v>7.71</v>
      </c>
      <c r="G159" s="14" t="n"/>
      <c r="H159" s="14">
        <f>IF(D159="","",D159*'参数与说明'!$B$6/45.3592)</f>
        <v/>
      </c>
      <c r="I159" s="15">
        <f>IFERROR(IF(D159="","",D159/INDEX($D:$D,MATCH(EDATE($A159,-1),$A:$A,0))-1),"")</f>
        <v/>
      </c>
      <c r="J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6.08</v>
      </c>
      <c r="E160" s="18" t="n"/>
      <c r="F160" s="18" t="n">
        <v>7.44</v>
      </c>
      <c r="G160" s="18" t="n"/>
      <c r="H160" s="18">
        <f>IF(D160="","",D160*'参数与说明'!$B$6/45.3592)</f>
        <v/>
      </c>
      <c r="I160" s="19">
        <f>IFERROR(IF(D160="","",D160/INDEX($D:$D,MATCH(EDATE($A160,-1),$A:$A,0))-1),"")</f>
        <v/>
      </c>
      <c r="J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5.83</v>
      </c>
      <c r="E161" s="14" t="n"/>
      <c r="F161" s="14" t="n">
        <v>7.57</v>
      </c>
      <c r="G161" s="14" t="n"/>
      <c r="H161" s="14">
        <f>IF(D161="","",D161*'参数与说明'!$B$6/45.3592)</f>
        <v/>
      </c>
      <c r="I161" s="15">
        <f>IFERROR(IF(D161="","",D161/INDEX($D:$D,MATCH(EDATE($A161,-1),$A:$A,0))-1),"")</f>
        <v/>
      </c>
      <c r="J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5.8</v>
      </c>
      <c r="E162" s="18" t="n"/>
      <c r="F162" s="18" t="n">
        <v>7.95</v>
      </c>
      <c r="G162" s="18" t="n"/>
      <c r="H162" s="18">
        <f>IF(D162="","",D162*'参数与说明'!$B$6/45.3592)</f>
        <v/>
      </c>
      <c r="I162" s="19">
        <f>IFERROR(IF(D162="","",D162/INDEX($D:$D,MATCH(EDATE($A162,-1),$A:$A,0))-1),"")</f>
        <v/>
      </c>
      <c r="J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5.87</v>
      </c>
      <c r="E163" s="14" t="n"/>
      <c r="F163" s="14" t="n">
        <v>7.96</v>
      </c>
      <c r="G163" s="14" t="n"/>
      <c r="H163" s="14">
        <f>IF(D163="","",D163*'参数与说明'!$B$6/45.3592)</f>
        <v/>
      </c>
      <c r="I163" s="15">
        <f>IFERROR(IF(D163="","",D163/INDEX($D:$D,MATCH(EDATE($A163,-1),$A:$A,0))-1),"")</f>
        <v/>
      </c>
      <c r="J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5.62</v>
      </c>
      <c r="E164" s="18" t="n"/>
      <c r="F164" s="18" t="n">
        <v>7.79</v>
      </c>
      <c r="G164" s="18" t="n"/>
      <c r="H164" s="18">
        <f>IF(D164="","",D164*'参数与说明'!$B$6/45.3592)</f>
        <v/>
      </c>
      <c r="I164" s="19">
        <f>IFERROR(IF(D164="","",D164/INDEX($D:$D,MATCH(EDATE($A164,-1),$A:$A,0))-1),"")</f>
        <v/>
      </c>
      <c r="J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5.61</v>
      </c>
      <c r="E165" s="14" t="n"/>
      <c r="F165" s="14" t="n">
        <v>7.64</v>
      </c>
      <c r="G165" s="14" t="n"/>
      <c r="H165" s="14">
        <f>IF(D165="","",D165*'参数与说明'!$B$6/45.3592)</f>
        <v/>
      </c>
      <c r="I165" s="15">
        <f>IFERROR(IF(D165="","",D165/INDEX($D:$D,MATCH(EDATE($A165,-1),$A:$A,0))-1),"")</f>
        <v/>
      </c>
      <c r="J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5.77</v>
      </c>
      <c r="E166" s="18" t="n"/>
      <c r="F166" s="18" t="n">
        <v>7.9</v>
      </c>
      <c r="G166" s="18" t="n"/>
      <c r="H166" s="18">
        <f>IF(D166="","",D166*'参数与说明'!$B$6/45.3592)</f>
        <v/>
      </c>
      <c r="I166" s="19">
        <f>IFERROR(IF(D166="","",D166/INDEX($D:$D,MATCH(EDATE($A166,-1),$A:$A,0))-1),"")</f>
        <v/>
      </c>
      <c r="J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5.8</v>
      </c>
      <c r="E167" s="14" t="n"/>
      <c r="F167" s="14" t="n">
        <v>8.220000000000001</v>
      </c>
      <c r="G167" s="14" t="n"/>
      <c r="H167" s="14">
        <f>IF(D167="","",D167*'参数与说明'!$B$6/45.3592)</f>
        <v/>
      </c>
      <c r="I167" s="15">
        <f>IFERROR(IF(D167="","",D167/INDEX($D:$D,MATCH(EDATE($A167,-1),$A:$A,0))-1),"")</f>
        <v/>
      </c>
      <c r="J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5.85</v>
      </c>
      <c r="E168" s="18" t="n"/>
      <c r="F168" s="18" t="n">
        <v>8.140000000000001</v>
      </c>
      <c r="G168" s="18" t="n"/>
      <c r="H168" s="18">
        <f>IF(D168="","",D168*'参数与说明'!$B$6/45.3592)</f>
        <v/>
      </c>
      <c r="I168" s="19">
        <f>IFERROR(IF(D168="","",D168/INDEX($D:$D,MATCH(EDATE($A168,-1),$A:$A,0))-1),"")</f>
        <v/>
      </c>
      <c r="J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6.03</v>
      </c>
      <c r="E169" s="14" t="n"/>
      <c r="F169" s="14" t="n">
        <v>7.8</v>
      </c>
      <c r="G169" s="14" t="n"/>
      <c r="H169" s="14">
        <f>IF(D169="","",D169*'参数与说明'!$B$6/45.3592)</f>
        <v/>
      </c>
      <c r="I169" s="15">
        <f>IFERROR(IF(D169="","",D169/INDEX($D:$D,MATCH(EDATE($A169,-1),$A:$A,0))-1),"")</f>
        <v/>
      </c>
      <c r="J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6.03</v>
      </c>
      <c r="E170" s="18" t="n"/>
      <c r="F170" s="18" t="n">
        <v>7.63</v>
      </c>
      <c r="G170" s="18" t="n"/>
      <c r="H170" s="18">
        <f>IF(D170="","",D170*'参数与说明'!$B$6/45.3592)</f>
        <v/>
      </c>
      <c r="I170" s="19">
        <f>IFERROR(IF(D170="","",D170/INDEX($D:$D,MATCH(EDATE($A170,-1),$A:$A,0))-1),"")</f>
        <v/>
      </c>
      <c r="J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6.1</v>
      </c>
      <c r="E171" s="14" t="n"/>
      <c r="F171" s="14" t="n">
        <v>7.56</v>
      </c>
      <c r="G171" s="14" t="n"/>
      <c r="H171" s="14">
        <f>IF(D171="","",D171*'参数与说明'!$B$6/45.3592)</f>
        <v/>
      </c>
      <c r="I171" s="15">
        <f>IFERROR(IF(D171="","",D171/INDEX($D:$D,MATCH(EDATE($A171,-1),$A:$A,0))-1),"")</f>
        <v/>
      </c>
      <c r="J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6.01</v>
      </c>
      <c r="E172" s="18" t="n"/>
      <c r="F172" s="18" t="n">
        <v>7.88</v>
      </c>
      <c r="G172" s="18" t="n"/>
      <c r="H172" s="18">
        <f>IF(D172="","",D172*'参数与说明'!$B$6/45.3592)</f>
        <v/>
      </c>
      <c r="I172" s="19">
        <f>IFERROR(IF(D172="","",D172/INDEX($D:$D,MATCH(EDATE($A172,-1),$A:$A,0))-1),"")</f>
        <v/>
      </c>
      <c r="J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5.88</v>
      </c>
      <c r="E173" s="14" t="n"/>
      <c r="F173" s="14" t="n">
        <v>7.85</v>
      </c>
      <c r="G173" s="14" t="n"/>
      <c r="H173" s="14">
        <f>IF(D173="","",D173*'参数与说明'!$B$6/45.3592)</f>
        <v/>
      </c>
      <c r="I173" s="15">
        <f>IFERROR(IF(D173="","",D173/INDEX($D:$D,MATCH(EDATE($A173,-1),$A:$A,0))-1),"")</f>
        <v/>
      </c>
      <c r="J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6.01</v>
      </c>
      <c r="E174" s="18" t="n"/>
      <c r="F174" s="18" t="n">
        <v>8.15</v>
      </c>
      <c r="G174" s="18" t="n"/>
      <c r="H174" s="18">
        <f>IF(D174="","",D174*'参数与说明'!$B$6/45.3592)</f>
        <v/>
      </c>
      <c r="I174" s="19">
        <f>IFERROR(IF(D174="","",D174/INDEX($D:$D,MATCH(EDATE($A174,-1),$A:$A,0))-1),"")</f>
        <v/>
      </c>
      <c r="J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5.75</v>
      </c>
      <c r="E175" s="14" t="n"/>
      <c r="F175" s="14" t="n">
        <v>8.19</v>
      </c>
      <c r="G175" s="14" t="n"/>
      <c r="H175" s="14">
        <f>IF(D175="","",D175*'参数与说明'!$B$6/45.3592)</f>
        <v/>
      </c>
      <c r="I175" s="15">
        <f>IFERROR(IF(D175="","",D175/INDEX($D:$D,MATCH(EDATE($A175,-1),$A:$A,0))-1),"")</f>
        <v/>
      </c>
      <c r="J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5.47</v>
      </c>
      <c r="E176" s="18" t="n"/>
      <c r="F176" s="18" t="n">
        <v>7.79</v>
      </c>
      <c r="G176" s="18" t="n"/>
      <c r="H176" s="18">
        <f>IF(D176="","",D176*'参数与说明'!$B$6/45.3592)</f>
        <v/>
      </c>
      <c r="I176" s="19">
        <f>IFERROR(IF(D176="","",D176/INDEX($D:$D,MATCH(EDATE($A176,-1),$A:$A,0))-1),"")</f>
        <v/>
      </c>
      <c r="J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5.52</v>
      </c>
      <c r="E177" s="14" t="n"/>
      <c r="F177" s="14" t="n">
        <v>7.68</v>
      </c>
      <c r="G177" s="14" t="n"/>
      <c r="H177" s="14">
        <f>IF(D177="","",D177*'参数与说明'!$B$6/45.3592)</f>
        <v/>
      </c>
      <c r="I177" s="15">
        <f>IFERROR(IF(D177="","",D177/INDEX($D:$D,MATCH(EDATE($A177,-1),$A:$A,0))-1),"")</f>
        <v/>
      </c>
      <c r="J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5.62</v>
      </c>
      <c r="E178" s="18" t="n"/>
      <c r="F178" s="18" t="n">
        <v>8.140000000000001</v>
      </c>
      <c r="G178" s="18" t="n"/>
      <c r="H178" s="18">
        <f>IF(D178="","",D178*'参数与说明'!$B$6/45.3592)</f>
        <v/>
      </c>
      <c r="I178" s="19">
        <f>IFERROR(IF(D178="","",D178/INDEX($D:$D,MATCH(EDATE($A178,-1),$A:$A,0))-1),"")</f>
        <v/>
      </c>
      <c r="J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5.71</v>
      </c>
      <c r="E179" s="14" t="n"/>
      <c r="F179" s="14" t="n">
        <v>8.26</v>
      </c>
      <c r="G179" s="14" t="n"/>
      <c r="H179" s="14">
        <f>IF(D179="","",D179*'参数与说明'!$B$6/45.3592)</f>
        <v/>
      </c>
      <c r="I179" s="15">
        <f>IFERROR(IF(D179="","",D179/INDEX($D:$D,MATCH(EDATE($A179,-1),$A:$A,0))-1),"")</f>
        <v/>
      </c>
      <c r="J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5.9</v>
      </c>
      <c r="E180" s="18" t="n"/>
      <c r="F180" s="18" t="n">
        <v>8.300000000000001</v>
      </c>
      <c r="G180" s="18" t="n"/>
      <c r="H180" s="18">
        <f>IF(D180="","",D180*'参数与说明'!$B$6/45.3592)</f>
        <v/>
      </c>
      <c r="I180" s="19">
        <f>IFERROR(IF(D180="","",D180/INDEX($D:$D,MATCH(EDATE($A180,-1),$A:$A,0))-1),"")</f>
        <v/>
      </c>
      <c r="J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6.09</v>
      </c>
      <c r="E181" s="14" t="n"/>
      <c r="F181" s="14" t="n">
        <v>8.15</v>
      </c>
      <c r="G181" s="14" t="n"/>
      <c r="H181" s="14">
        <f>IF(D181="","",D181*'参数与说明'!$B$6/45.3592)</f>
        <v/>
      </c>
      <c r="I181" s="15">
        <f>IFERROR(IF(D181="","",D181/INDEX($D:$D,MATCH(EDATE($A181,-1),$A:$A,0))-1),"")</f>
        <v/>
      </c>
      <c r="J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6.22</v>
      </c>
      <c r="E182" s="18" t="n"/>
      <c r="F182" s="18" t="n">
        <v>8.02</v>
      </c>
      <c r="G182" s="18" t="n"/>
      <c r="H182" s="18">
        <f>IF(D182="","",D182*'参数与说明'!$B$6/45.3592)</f>
        <v/>
      </c>
      <c r="I182" s="19">
        <f>IFERROR(IF(D182="","",D182/INDEX($D:$D,MATCH(EDATE($A182,-1),$A:$A,0))-1),"")</f>
        <v/>
      </c>
      <c r="J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6.06</v>
      </c>
      <c r="E183" s="14" t="n"/>
      <c r="F183" s="14" t="n">
        <v>7.82</v>
      </c>
      <c r="G183" s="14" t="n"/>
      <c r="H183" s="14">
        <f>IF(D183="","",D183*'参数与说明'!$B$6/45.3592)</f>
        <v/>
      </c>
      <c r="I183" s="15">
        <f>IFERROR(IF(D183="","",D183/INDEX($D:$D,MATCH(EDATE($A183,-1),$A:$A,0))-1),"")</f>
        <v/>
      </c>
      <c r="J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5.92</v>
      </c>
      <c r="E184" s="18" t="n"/>
      <c r="F184" s="18" t="n">
        <v>7.72</v>
      </c>
      <c r="G184" s="18" t="n"/>
      <c r="H184" s="18">
        <f>IF(D184="","",D184*'参数与说明'!$B$6/45.3592)</f>
        <v/>
      </c>
      <c r="I184" s="19">
        <f>IFERROR(IF(D184="","",D184/INDEX($D:$D,MATCH(EDATE($A184,-1),$A:$A,0))-1),"")</f>
        <v/>
      </c>
      <c r="J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6.01</v>
      </c>
      <c r="E185" s="14" t="n"/>
      <c r="F185" s="14" t="n">
        <v>7.67</v>
      </c>
      <c r="G185" s="14" t="n"/>
      <c r="H185" s="14">
        <f>IF(D185="","",D185*'参数与说明'!$B$6/45.3592)</f>
        <v/>
      </c>
      <c r="I185" s="15">
        <f>IFERROR(IF(D185="","",D185/INDEX($D:$D,MATCH(EDATE($A185,-1),$A:$A,0))-1),"")</f>
        <v/>
      </c>
      <c r="J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5.86</v>
      </c>
      <c r="E186" s="18" t="n"/>
      <c r="F186" s="18" t="n">
        <v>7.86</v>
      </c>
      <c r="G186" s="18" t="n"/>
      <c r="H186" s="18">
        <f>IF(D186="","",D186*'参数与说明'!$B$6/45.3592)</f>
        <v/>
      </c>
      <c r="I186" s="19">
        <f>IFERROR(IF(D186="","",D186/INDEX($D:$D,MATCH(EDATE($A186,-1),$A:$A,0))-1),"")</f>
        <v/>
      </c>
      <c r="J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5.79</v>
      </c>
      <c r="E187" s="14" t="n"/>
      <c r="F187" s="14" t="n">
        <v>7.95</v>
      </c>
      <c r="G187" s="14" t="n"/>
      <c r="H187" s="14">
        <f>IF(D187="","",D187*'参数与说明'!$B$6/45.3592)</f>
        <v/>
      </c>
      <c r="I187" s="15">
        <f>IFERROR(IF(D187="","",D187/INDEX($D:$D,MATCH(EDATE($A187,-1),$A:$A,0))-1),"")</f>
        <v/>
      </c>
      <c r="J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5.69</v>
      </c>
      <c r="E188" s="18" t="n"/>
      <c r="F188" s="18" t="n">
        <v>7.71</v>
      </c>
      <c r="G188" s="18" t="n"/>
      <c r="H188" s="18">
        <f>IF(D188="","",D188*'参数与说明'!$B$6/45.3592)</f>
        <v/>
      </c>
      <c r="I188" s="19">
        <f>IFERROR(IF(D188="","",D188/INDEX($D:$D,MATCH(EDATE($A188,-1),$A:$A,0))-1),"")</f>
        <v/>
      </c>
      <c r="J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5.64</v>
      </c>
      <c r="E189" s="14" t="n"/>
      <c r="F189" s="14" t="n">
        <v>7.61</v>
      </c>
      <c r="G189" s="14" t="n"/>
      <c r="H189" s="14">
        <f>IF(D189="","",D189*'参数与说明'!$B$6/45.3592)</f>
        <v/>
      </c>
      <c r="I189" s="15">
        <f>IFERROR(IF(D189="","",D189/INDEX($D:$D,MATCH(EDATE($A189,-1),$A:$A,0))-1),"")</f>
        <v/>
      </c>
      <c r="J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5.88</v>
      </c>
      <c r="E190" s="18" t="n"/>
      <c r="F190" s="18" t="n">
        <v>8.24</v>
      </c>
      <c r="G190" s="18" t="n"/>
      <c r="H190" s="18">
        <f>IF(D190="","",D190*'参数与说明'!$B$6/45.3592)</f>
        <v/>
      </c>
      <c r="I190" s="19">
        <f>IFERROR(IF(D190="","",D190/INDEX($D:$D,MATCH(EDATE($A190,-1),$A:$A,0))-1),"")</f>
        <v/>
      </c>
      <c r="J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5.95</v>
      </c>
      <c r="E191" s="14" t="n"/>
      <c r="F191" s="14" t="n">
        <v>8.51</v>
      </c>
      <c r="G191" s="14" t="n"/>
      <c r="H191" s="14">
        <f>IF(D191="","",D191*'参数与说明'!$B$6/45.3592)</f>
        <v/>
      </c>
      <c r="I191" s="15">
        <f>IFERROR(IF(D191="","",D191/INDEX($D:$D,MATCH(EDATE($A191,-1),$A:$A,0))-1),"")</f>
        <v/>
      </c>
      <c r="J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6.45</v>
      </c>
      <c r="E192" s="18" t="n"/>
      <c r="F192" s="18" t="n">
        <v>9</v>
      </c>
      <c r="G192" s="18" t="n"/>
      <c r="H192" s="18">
        <f>IF(D192="","",D192*'参数与说明'!$B$6/45.3592)</f>
        <v/>
      </c>
      <c r="I192" s="19">
        <f>IFERROR(IF(D192="","",D192/INDEX($D:$D,MATCH(EDATE($A192,-1),$A:$A,0))-1),"")</f>
        <v/>
      </c>
      <c r="J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6.81</v>
      </c>
      <c r="E193" s="14" t="n"/>
      <c r="F193" s="14" t="n">
        <v>8.68</v>
      </c>
      <c r="G193" s="14" t="n"/>
      <c r="H193" s="14">
        <f>IF(D193="","",D193*'参数与说明'!$B$6/45.3592)</f>
        <v/>
      </c>
      <c r="I193" s="15">
        <f>IFERROR(IF(D193="","",D193/INDEX($D:$D,MATCH(EDATE($A193,-1),$A:$A,0))-1),"")</f>
        <v/>
      </c>
      <c r="J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6.73</v>
      </c>
      <c r="E194" s="18" t="n"/>
      <c r="F194" s="18" t="n">
        <v>8.4</v>
      </c>
      <c r="G194" s="18" t="n"/>
      <c r="H194" s="18">
        <f>IF(D194="","",D194*'参数与说明'!$B$6/45.3592)</f>
        <v/>
      </c>
      <c r="I194" s="19">
        <f>IFERROR(IF(D194="","",D194/INDEX($D:$D,MATCH(EDATE($A194,-1),$A:$A,0))-1),"")</f>
        <v/>
      </c>
      <c r="J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6.73</v>
      </c>
      <c r="E195" s="14" t="n"/>
      <c r="F195" s="14" t="n">
        <v>8.109999999999999</v>
      </c>
      <c r="G195" s="14" t="n"/>
      <c r="H195" s="14">
        <f>IF(D195="","",D195*'参数与说明'!$B$6/45.3592)</f>
        <v/>
      </c>
      <c r="I195" s="15">
        <f>IFERROR(IF(D195="","",D195/INDEX($D:$D,MATCH(EDATE($A195,-1),$A:$A,0))-1),"")</f>
        <v/>
      </c>
      <c r="J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6.88</v>
      </c>
      <c r="E196" s="18" t="n"/>
      <c r="F196" s="18" t="n">
        <v>8.49</v>
      </c>
      <c r="G196" s="18" t="n"/>
      <c r="H196" s="18">
        <f>IF(D196="","",D196*'参数与说明'!$B$6/45.3592)</f>
        <v/>
      </c>
      <c r="I196" s="19">
        <f>IFERROR(IF(D196="","",D196/INDEX($D:$D,MATCH(EDATE($A196,-1),$A:$A,0))-1),"")</f>
        <v/>
      </c>
      <c r="J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6.95</v>
      </c>
      <c r="E197" s="14" t="n"/>
      <c r="F197" s="14" t="n">
        <v>8.6</v>
      </c>
      <c r="G197" s="14" t="n"/>
      <c r="H197" s="14">
        <f>IF(D197="","",D197*'参数与说明'!$B$6/45.3592)</f>
        <v/>
      </c>
      <c r="I197" s="15">
        <f>IFERROR(IF(D197="","",D197/INDEX($D:$D,MATCH(EDATE($A197,-1),$A:$A,0))-1),"")</f>
        <v/>
      </c>
      <c r="J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6.58</v>
      </c>
      <c r="E198" s="18" t="n"/>
      <c r="F198" s="18" t="n">
        <v>8.76</v>
      </c>
      <c r="G198" s="18" t="n"/>
      <c r="H198" s="18">
        <f>IF(D198="","",D198*'参数与说明'!$B$6/45.3592)</f>
        <v/>
      </c>
      <c r="I198" s="19">
        <f>IFERROR(IF(D198="","",D198/INDEX($D:$D,MATCH(EDATE($A198,-1),$A:$A,0))-1),"")</f>
        <v/>
      </c>
      <c r="J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6.59</v>
      </c>
      <c r="E199" s="14" t="n"/>
      <c r="F199" s="14" t="n">
        <v>9.210000000000001</v>
      </c>
      <c r="G199" s="14" t="n"/>
      <c r="H199" s="14">
        <f>IF(D199="","",D199*'参数与说明'!$B$6/45.3592)</f>
        <v/>
      </c>
      <c r="I199" s="15">
        <f>IFERROR(IF(D199="","",D199/INDEX($D:$D,MATCH(EDATE($A199,-1),$A:$A,0))-1),"")</f>
        <v/>
      </c>
      <c r="J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6.41</v>
      </c>
      <c r="E200" s="18" t="n"/>
      <c r="F200" s="18" t="n">
        <v>8.789999999999999</v>
      </c>
      <c r="G200" s="18" t="n"/>
      <c r="H200" s="18">
        <f>IF(D200="","",D200*'参数与说明'!$B$6/45.3592)</f>
        <v/>
      </c>
      <c r="I200" s="19">
        <f>IFERROR(IF(D200="","",D200/INDEX($D:$D,MATCH(EDATE($A200,-1),$A:$A,0))-1),"")</f>
        <v/>
      </c>
      <c r="J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6.46</v>
      </c>
      <c r="E201" s="14" t="n"/>
      <c r="F201" s="14" t="n">
        <v>8.970000000000001</v>
      </c>
      <c r="G201" s="14" t="n"/>
      <c r="H201" s="14">
        <f>IF(D201="","",D201*'参数与说明'!$B$6/45.3592)</f>
        <v/>
      </c>
      <c r="I201" s="15">
        <f>IFERROR(IF(D201="","",D201/INDEX($D:$D,MATCH(EDATE($A201,-1),$A:$A,0))-1),"")</f>
        <v/>
      </c>
      <c r="J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6.69</v>
      </c>
      <c r="E202" s="18" t="n"/>
      <c r="F202" s="18" t="n">
        <v>9.16</v>
      </c>
      <c r="G202" s="18" t="n"/>
      <c r="H202" s="18">
        <f>IF(D202="","",D202*'参数与说明'!$B$6/45.3592)</f>
        <v/>
      </c>
      <c r="I202" s="19">
        <f>IFERROR(IF(D202="","",D202/INDEX($D:$D,MATCH(EDATE($A202,-1),$A:$A,0))-1),"")</f>
        <v/>
      </c>
      <c r="J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6.75</v>
      </c>
      <c r="E203" s="14" t="n"/>
      <c r="F203" s="14" t="n">
        <v>9.529999999999999</v>
      </c>
      <c r="G203" s="14" t="n"/>
      <c r="H203" s="14">
        <f>IF(D203="","",D203*'参数与说明'!$B$6/45.3592)</f>
        <v/>
      </c>
      <c r="I203" s="15">
        <f>IFERROR(IF(D203="","",D203/INDEX($D:$D,MATCH(EDATE($A203,-1),$A:$A,0))-1),"")</f>
        <v/>
      </c>
      <c r="J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6.96</v>
      </c>
      <c r="E204" s="18" t="n"/>
      <c r="F204" s="18" t="n">
        <v>9.529999999999999</v>
      </c>
      <c r="G204" s="18" t="n"/>
      <c r="H204" s="18">
        <f>IF(D204="","",D204*'参数与说明'!$B$6/45.3592)</f>
        <v/>
      </c>
      <c r="I204" s="19">
        <f>IFERROR(IF(D204="","",D204/INDEX($D:$D,MATCH(EDATE($A204,-1),$A:$A,0))-1),"")</f>
        <v/>
      </c>
      <c r="J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6.97</v>
      </c>
      <c r="E205" s="14" t="n"/>
      <c r="F205" s="14" t="n">
        <v>9.300000000000001</v>
      </c>
      <c r="G205" s="14" t="n"/>
      <c r="H205" s="14">
        <f>IF(D205="","",D205*'参数与说明'!$B$6/45.3592)</f>
        <v/>
      </c>
      <c r="I205" s="15">
        <f>IFERROR(IF(D205="","",D205/INDEX($D:$D,MATCH(EDATE($A205,-1),$A:$A,0))-1),"")</f>
        <v/>
      </c>
      <c r="J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6.87</v>
      </c>
      <c r="E206" s="18" t="n"/>
      <c r="F206" s="18" t="n">
        <v>8.82</v>
      </c>
      <c r="G206" s="18" t="n"/>
      <c r="H206" s="18">
        <f>IF(D206="","",D206*'参数与说明'!$B$6/45.3592)</f>
        <v/>
      </c>
      <c r="I206" s="19">
        <f>IFERROR(IF(D206="","",D206/INDEX($D:$D,MATCH(EDATE($A206,-1),$A:$A,0))-1),"")</f>
        <v/>
      </c>
      <c r="J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6.9</v>
      </c>
      <c r="E207" s="14" t="n"/>
      <c r="F207" s="14" t="n">
        <v>9.390000000000001</v>
      </c>
      <c r="G207" s="14" t="n"/>
      <c r="H207" s="14">
        <f>IF(D207="","",D207*'参数与说明'!$B$6/45.3592)</f>
        <v/>
      </c>
      <c r="I207" s="15">
        <f>IFERROR(IF(D207="","",D207/INDEX($D:$D,MATCH(EDATE($A207,-1),$A:$A,0))-1),"")</f>
        <v/>
      </c>
      <c r="J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6.79</v>
      </c>
      <c r="E208" s="18" t="n"/>
      <c r="F208" s="18" t="n">
        <v>9.25</v>
      </c>
      <c r="G208" s="18" t="n"/>
      <c r="H208" s="18">
        <f>IF(D208="","",D208*'参数与说明'!$B$6/45.3592)</f>
        <v/>
      </c>
      <c r="I208" s="19">
        <f>IFERROR(IF(D208="","",D208/INDEX($D:$D,MATCH(EDATE($A208,-1),$A:$A,0))-1),"")</f>
        <v/>
      </c>
      <c r="J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6.61</v>
      </c>
      <c r="E209" s="14" t="n"/>
      <c r="F209" s="14" t="n">
        <v>9.289999999999999</v>
      </c>
      <c r="G209" s="14" t="n"/>
      <c r="H209" s="14">
        <f>IF(D209="","",D209*'参数与说明'!$B$6/45.3592)</f>
        <v/>
      </c>
      <c r="I209" s="15">
        <f>IFERROR(IF(D209="","",D209/INDEX($D:$D,MATCH(EDATE($A209,-1),$A:$A,0))-1),"")</f>
        <v/>
      </c>
      <c r="J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6.79</v>
      </c>
      <c r="E210" s="18" t="n"/>
      <c r="F210" s="18" t="n">
        <v>9.789999999999999</v>
      </c>
      <c r="G210" s="18" t="n"/>
      <c r="H210" s="18">
        <f>IF(D210="","",D210*'参数与说明'!$B$6/45.3592)</f>
        <v/>
      </c>
      <c r="I210" s="19">
        <f>IFERROR(IF(D210="","",D210/INDEX($D:$D,MATCH(EDATE($A210,-1),$A:$A,0))-1),"")</f>
        <v/>
      </c>
      <c r="J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6.76</v>
      </c>
      <c r="E211" s="14" t="n"/>
      <c r="F211" s="14" t="n">
        <v>9.92</v>
      </c>
      <c r="G211" s="14" t="n"/>
      <c r="H211" s="14">
        <f>IF(D211="","",D211*'参数与说明'!$B$6/45.3592)</f>
        <v/>
      </c>
      <c r="I211" s="15">
        <f>IFERROR(IF(D211="","",D211/INDEX($D:$D,MATCH(EDATE($A211,-1),$A:$A,0))-1),"")</f>
        <v/>
      </c>
      <c r="J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6.63</v>
      </c>
      <c r="E212" s="18" t="n"/>
      <c r="F212" s="18" t="n">
        <v>9.289999999999999</v>
      </c>
      <c r="G212" s="18" t="n"/>
      <c r="H212" s="18">
        <f>IF(D212="","",D212*'参数与说明'!$B$6/45.3592)</f>
        <v/>
      </c>
      <c r="I212" s="19">
        <f>IFERROR(IF(D212="","",D212/INDEX($D:$D,MATCH(EDATE($A212,-1),$A:$A,0))-1),"")</f>
        <v/>
      </c>
      <c r="J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6.68</v>
      </c>
      <c r="E213" s="14" t="n"/>
      <c r="F213" s="14" t="n">
        <v>9.27</v>
      </c>
      <c r="G213" s="14" t="n"/>
      <c r="H213" s="14">
        <f>IF(D213="","",D213*'参数与说明'!$B$6/45.3592)</f>
        <v/>
      </c>
      <c r="I213" s="15">
        <f>IFERROR(IF(D213="","",D213/INDEX($D:$D,MATCH(EDATE($A213,-1),$A:$A,0))-1),"")</f>
        <v/>
      </c>
      <c r="J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6.71</v>
      </c>
      <c r="E214" s="18" t="n"/>
      <c r="F214" s="18" t="n">
        <v>9.630000000000001</v>
      </c>
      <c r="G214" s="18" t="n"/>
      <c r="H214" s="18">
        <f>IF(D214="","",D214*'参数与说明'!$B$6/45.3592)</f>
        <v/>
      </c>
      <c r="I214" s="19">
        <f>IFERROR(IF(D214="","",D214/INDEX($D:$D,MATCH(EDATE($A214,-1),$A:$A,0))-1),"")</f>
        <v/>
      </c>
      <c r="J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6.95</v>
      </c>
      <c r="E215" s="14" t="n"/>
      <c r="F215" s="14" t="n">
        <v>10.2</v>
      </c>
      <c r="G215" s="14" t="n"/>
      <c r="H215" s="14">
        <f>IF(D215="","",D215*'参数与说明'!$B$6/45.3592)</f>
        <v/>
      </c>
      <c r="I215" s="15">
        <f>IFERROR(IF(D215="","",D215/INDEX($D:$D,MATCH(EDATE($A215,-1),$A:$A,0))-1),"")</f>
        <v/>
      </c>
      <c r="J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7.17</v>
      </c>
      <c r="E216" s="18" t="n"/>
      <c r="F216" s="18" t="n">
        <v>10.1</v>
      </c>
      <c r="G216" s="18" t="n"/>
      <c r="H216" s="18">
        <f>IF(D216="","",D216*'参数与说明'!$B$6/45.3592)</f>
        <v/>
      </c>
      <c r="I216" s="19">
        <f>IFERROR(IF(D216="","",D216/INDEX($D:$D,MATCH(EDATE($A216,-1),$A:$A,0))-1),"")</f>
        <v/>
      </c>
      <c r="J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7.47</v>
      </c>
      <c r="E217" s="14" t="n"/>
      <c r="F217" s="14" t="n">
        <v>9.880000000000001</v>
      </c>
      <c r="G217" s="14" t="n"/>
      <c r="H217" s="14">
        <f>IF(D217="","",D217*'参数与说明'!$B$6/45.3592)</f>
        <v/>
      </c>
      <c r="I217" s="15">
        <f>IFERROR(IF(D217="","",D217/INDEX($D:$D,MATCH(EDATE($A217,-1),$A:$A,0))-1),"")</f>
        <v/>
      </c>
      <c r="J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7.52</v>
      </c>
      <c r="E218" s="18" t="n"/>
      <c r="F218" s="18" t="n">
        <v>9.41</v>
      </c>
      <c r="G218" s="18" t="n"/>
      <c r="H218" s="18">
        <f>IF(D218="","",D218*'参数与说明'!$B$6/45.3592)</f>
        <v/>
      </c>
      <c r="I218" s="19">
        <f>IFERROR(IF(D218="","",D218/INDEX($D:$D,MATCH(EDATE($A218,-1),$A:$A,0))-1),"")</f>
        <v/>
      </c>
      <c r="J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7.45</v>
      </c>
      <c r="E219" s="14" t="n"/>
      <c r="F219" s="14" t="n">
        <v>9.390000000000001</v>
      </c>
      <c r="G219" s="14" t="n"/>
      <c r="H219" s="14">
        <f>IF(D219="","",D219*'参数与说明'!$B$6/45.3592)</f>
        <v/>
      </c>
      <c r="I219" s="15">
        <f>IFERROR(IF(D219="","",D219/INDEX($D:$D,MATCH(EDATE($A219,-1),$A:$A,0))-1),"")</f>
        <v/>
      </c>
      <c r="J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7.52</v>
      </c>
      <c r="E220" s="18" t="n"/>
      <c r="F220" s="18" t="n">
        <v>9.83</v>
      </c>
      <c r="G220" s="18" t="n"/>
      <c r="H220" s="18">
        <f>IF(D220="","",D220*'参数与说明'!$B$6/45.3592)</f>
        <v/>
      </c>
      <c r="I220" s="19">
        <f>IFERROR(IF(D220="","",D220/INDEX($D:$D,MATCH(EDATE($A220,-1),$A:$A,0))-1),"")</f>
        <v/>
      </c>
      <c r="J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7.56</v>
      </c>
      <c r="E221" s="14" t="n"/>
      <c r="F221" s="14" t="n">
        <v>10.3</v>
      </c>
      <c r="G221" s="14" t="n"/>
      <c r="H221" s="14">
        <f>IF(D221="","",D221*'参数与说明'!$B$6/45.3592)</f>
        <v/>
      </c>
      <c r="I221" s="15">
        <f>IFERROR(IF(D221="","",D221/INDEX($D:$D,MATCH(EDATE($A221,-1),$A:$A,0))-1),"")</f>
        <v/>
      </c>
      <c r="J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7.81</v>
      </c>
      <c r="E222" s="18" t="n"/>
      <c r="F222" s="18" t="n">
        <v>10.7</v>
      </c>
      <c r="G222" s="18" t="n"/>
      <c r="H222" s="18">
        <f>IF(D222="","",D222*'参数与说明'!$B$6/45.3592)</f>
        <v/>
      </c>
      <c r="I222" s="19">
        <f>IFERROR(IF(D222="","",D222/INDEX($D:$D,MATCH(EDATE($A222,-1),$A:$A,0))-1),"")</f>
        <v/>
      </c>
      <c r="J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7.96</v>
      </c>
      <c r="E223" s="14" t="n"/>
      <c r="F223" s="14" t="n">
        <v>10.9</v>
      </c>
      <c r="G223" s="14" t="n"/>
      <c r="H223" s="14">
        <f>IF(D223="","",D223*'参数与说明'!$B$6/45.3592)</f>
        <v/>
      </c>
      <c r="I223" s="15">
        <f>IFERROR(IF(D223="","",D223/INDEX($D:$D,MATCH(EDATE($A223,-1),$A:$A,0))-1),"")</f>
        <v/>
      </c>
      <c r="J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8.43</v>
      </c>
      <c r="E224" s="18" t="n"/>
      <c r="F224" s="18" t="n">
        <v>10.7</v>
      </c>
      <c r="G224" s="18" t="n"/>
      <c r="H224" s="18">
        <f>IF(D224="","",D224*'参数与说明'!$B$6/45.3592)</f>
        <v/>
      </c>
      <c r="I224" s="19">
        <f>IFERROR(IF(D224="","",D224/INDEX($D:$D,MATCH(EDATE($A224,-1),$A:$A,0))-1),"")</f>
        <v/>
      </c>
      <c r="J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8.75</v>
      </c>
      <c r="E225" s="14" t="n"/>
      <c r="F225" s="14" t="n">
        <v>10.7</v>
      </c>
      <c r="G225" s="14" t="n"/>
      <c r="H225" s="14">
        <f>IF(D225="","",D225*'参数与说明'!$B$6/45.3592)</f>
        <v/>
      </c>
      <c r="I225" s="15">
        <f>IFERROR(IF(D225="","",D225/INDEX($D:$D,MATCH(EDATE($A225,-1),$A:$A,0))-1),"")</f>
        <v/>
      </c>
      <c r="J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8.880000000000001</v>
      </c>
      <c r="E226" s="18" t="n"/>
      <c r="F226" s="18" t="n">
        <v>10.8</v>
      </c>
      <c r="G226" s="18" t="n"/>
      <c r="H226" s="18">
        <f>IF(D226="","",D226*'参数与说明'!$B$6/45.3592)</f>
        <v/>
      </c>
      <c r="I226" s="19">
        <f>IFERROR(IF(D226="","",D226/INDEX($D:$D,MATCH(EDATE($A226,-1),$A:$A,0))-1),"")</f>
        <v/>
      </c>
      <c r="J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9.09</v>
      </c>
      <c r="E227" s="14" t="n"/>
      <c r="F227" s="14" t="n">
        <v>11.3</v>
      </c>
      <c r="G227" s="14" t="n"/>
      <c r="H227" s="14">
        <f>IF(D227="","",D227*'参数与说明'!$B$6/45.3592)</f>
        <v/>
      </c>
      <c r="I227" s="15">
        <f>IFERROR(IF(D227="","",D227/INDEX($D:$D,MATCH(EDATE($A227,-1),$A:$A,0))-1),"")</f>
        <v/>
      </c>
      <c r="J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9.140000000000001</v>
      </c>
      <c r="E228" s="18" t="n"/>
      <c r="F228" s="18" t="n">
        <v>11.3</v>
      </c>
      <c r="G228" s="18" t="n"/>
      <c r="H228" s="18">
        <f>IF(D228="","",D228*'参数与说明'!$B$6/45.3592)</f>
        <v/>
      </c>
      <c r="I228" s="19">
        <f>IFERROR(IF(D228="","",D228/INDEX($D:$D,MATCH(EDATE($A228,-1),$A:$A,0))-1),"")</f>
        <v/>
      </c>
      <c r="J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9.18</v>
      </c>
      <c r="E229" s="14" t="n"/>
      <c r="F229" s="14" t="n">
        <v>11.2</v>
      </c>
      <c r="G229" s="14" t="n"/>
      <c r="H229" s="14">
        <f>IF(D229="","",D229*'参数与说明'!$B$6/45.3592)</f>
        <v/>
      </c>
      <c r="I229" s="15">
        <f>IFERROR(IF(D229="","",D229/INDEX($D:$D,MATCH(EDATE($A229,-1),$A:$A,0))-1),"")</f>
        <v/>
      </c>
      <c r="J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9.32</v>
      </c>
      <c r="E230" s="18" t="n"/>
      <c r="F230" s="18" t="n">
        <v>11.2</v>
      </c>
      <c r="G230" s="18" t="n"/>
      <c r="H230" s="18">
        <f>IF(D230="","",D230*'参数与说明'!$B$6/45.3592)</f>
        <v/>
      </c>
      <c r="I230" s="19">
        <f>IFERROR(IF(D230="","",D230/INDEX($D:$D,MATCH(EDATE($A230,-1),$A:$A,0))-1),"")</f>
        <v/>
      </c>
      <c r="J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9.390000000000001</v>
      </c>
      <c r="E231" s="14" t="n"/>
      <c r="F231" s="14" t="n">
        <v>11.6</v>
      </c>
      <c r="G231" s="14" t="n"/>
      <c r="H231" s="14">
        <f>IF(D231="","",D231*'参数与说明'!$B$6/45.3592)</f>
        <v/>
      </c>
      <c r="I231" s="15">
        <f>IFERROR(IF(D231="","",D231/INDEX($D:$D,MATCH(EDATE($A231,-1),$A:$A,0))-1),"")</f>
        <v/>
      </c>
      <c r="J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9.56</v>
      </c>
      <c r="E232" s="18" t="n"/>
      <c r="F232" s="18" t="n">
        <v>11.9</v>
      </c>
      <c r="G232" s="18" t="n"/>
      <c r="H232" s="18">
        <f>IF(D232="","",D232*'参数与说明'!$B$6/45.3592)</f>
        <v/>
      </c>
      <c r="I232" s="19">
        <f>IFERROR(IF(D232="","",D232/INDEX($D:$D,MATCH(EDATE($A232,-1),$A:$A,0))-1),"")</f>
        <v/>
      </c>
      <c r="J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9.869999999999999</v>
      </c>
      <c r="E233" s="14" t="n"/>
      <c r="F233" s="14" t="n">
        <v>12.2</v>
      </c>
      <c r="G233" s="14" t="n"/>
      <c r="H233" s="14">
        <f>IF(D233="","",D233*'参数与说明'!$B$6/45.3592)</f>
        <v/>
      </c>
      <c r="I233" s="15">
        <f>IFERROR(IF(D233="","",D233/INDEX($D:$D,MATCH(EDATE($A233,-1),$A:$A,0))-1),"")</f>
        <v/>
      </c>
      <c r="J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10.4</v>
      </c>
      <c r="E234" s="18" t="n"/>
      <c r="F234" s="18" t="n">
        <v>12.9</v>
      </c>
      <c r="G234" s="18" t="n"/>
      <c r="H234" s="18">
        <f>IF(D234="","",D234*'参数与说明'!$B$6/45.3592)</f>
        <v/>
      </c>
      <c r="I234" s="19">
        <f>IFERROR(IF(D234="","",D234/INDEX($D:$D,MATCH(EDATE($A234,-1),$A:$A,0))-1),"")</f>
        <v/>
      </c>
      <c r="J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9.99</v>
      </c>
      <c r="E235" s="14" t="n"/>
      <c r="F235" s="14" t="n">
        <v>12.5</v>
      </c>
      <c r="G235" s="14" t="n"/>
      <c r="H235" s="14">
        <f>IF(D235="","",D235*'参数与说明'!$B$6/45.3592)</f>
        <v/>
      </c>
      <c r="I235" s="15">
        <f>IFERROR(IF(D235="","",D235/INDEX($D:$D,MATCH(EDATE($A235,-1),$A:$A,0))-1),"")</f>
        <v/>
      </c>
      <c r="J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9.550000000000001</v>
      </c>
      <c r="E236" s="18" t="n"/>
      <c r="F236" s="18" t="n">
        <v>11.9</v>
      </c>
      <c r="G236" s="18" t="n"/>
      <c r="H236" s="18">
        <f>IF(D236="","",D236*'参数与说明'!$B$6/45.3592)</f>
        <v/>
      </c>
      <c r="I236" s="19">
        <f>IFERROR(IF(D236="","",D236/INDEX($D:$D,MATCH(EDATE($A236,-1),$A:$A,0))-1),"")</f>
        <v/>
      </c>
      <c r="J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9.25</v>
      </c>
      <c r="E237" s="14" t="n"/>
      <c r="F237" s="14" t="n">
        <v>11.8</v>
      </c>
      <c r="G237" s="14" t="n"/>
      <c r="H237" s="14">
        <f>IF(D237="","",D237*'参数与说明'!$B$6/45.3592)</f>
        <v/>
      </c>
      <c r="I237" s="15">
        <f>IFERROR(IF(D237="","",D237/INDEX($D:$D,MATCH(EDATE($A237,-1),$A:$A,0))-1),"")</f>
        <v/>
      </c>
      <c r="J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9.300000000000001</v>
      </c>
      <c r="E238" s="18" t="n"/>
      <c r="F238" s="18" t="n">
        <v>12.2</v>
      </c>
      <c r="G238" s="18" t="n"/>
      <c r="H238" s="18">
        <f>IF(D238="","",D238*'参数与说明'!$B$6/45.3592)</f>
        <v/>
      </c>
      <c r="I238" s="19">
        <f>IFERROR(IF(D238="","",D238/INDEX($D:$D,MATCH(EDATE($A238,-1),$A:$A,0))-1),"")</f>
        <v/>
      </c>
      <c r="J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9.16</v>
      </c>
      <c r="E239" s="14" t="n"/>
      <c r="F239" s="14" t="n">
        <v>12.2</v>
      </c>
      <c r="G239" s="14" t="n"/>
      <c r="H239" s="14">
        <f>IF(D239="","",D239*'参数与说明'!$B$6/45.3592)</f>
        <v/>
      </c>
      <c r="I239" s="15">
        <f>IFERROR(IF(D239="","",D239/INDEX($D:$D,MATCH(EDATE($A239,-1),$A:$A,0))-1),"")</f>
        <v/>
      </c>
      <c r="J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9.43</v>
      </c>
      <c r="E240" s="18" t="n"/>
      <c r="F240" s="18" t="n">
        <v>12.6</v>
      </c>
      <c r="G240" s="18" t="n"/>
      <c r="H240" s="18">
        <f>IF(D240="","",D240*'参数与说明'!$B$6/45.3592)</f>
        <v/>
      </c>
      <c r="I240" s="19">
        <f>IFERROR(IF(D240="","",D240/INDEX($D:$D,MATCH(EDATE($A240,-1),$A:$A,0))-1),"")</f>
        <v/>
      </c>
      <c r="J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9.81</v>
      </c>
      <c r="E241" s="14" t="n"/>
      <c r="F241" s="14" t="n">
        <v>12.2</v>
      </c>
      <c r="G241" s="14" t="n"/>
      <c r="H241" s="14">
        <f>IF(D241="","",D241*'参数与说明'!$B$6/45.3592)</f>
        <v/>
      </c>
      <c r="I241" s="15">
        <f>IFERROR(IF(D241="","",D241/INDEX($D:$D,MATCH(EDATE($A241,-1),$A:$A,0))-1),"")</f>
        <v/>
      </c>
      <c r="J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</v>
      </c>
      <c r="E242" s="18" t="n"/>
      <c r="F242" s="18" t="n">
        <v>12.1</v>
      </c>
      <c r="G242" s="18" t="n"/>
      <c r="H242" s="18">
        <f>IF(D242="","",D242*'参数与说明'!$B$6/45.3592)</f>
        <v/>
      </c>
      <c r="I242" s="19">
        <f>IFERROR(IF(D242="","",D242/INDEX($D:$D,MATCH(EDATE($A242,-1),$A:$A,0))-1),"")</f>
        <v/>
      </c>
      <c r="J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10</v>
      </c>
      <c r="E243" s="14" t="n"/>
      <c r="F243" s="14" t="n">
        <v>12.1</v>
      </c>
      <c r="G243" s="14" t="n"/>
      <c r="H243" s="14">
        <f>IF(D243="","",D243*'参数与说明'!$B$6/45.3592)</f>
        <v/>
      </c>
      <c r="I243" s="15">
        <f>IFERROR(IF(D243="","",D243/INDEX($D:$D,MATCH(EDATE($A243,-1),$A:$A,0))-1),"")</f>
        <v/>
      </c>
      <c r="J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10.2</v>
      </c>
      <c r="E244" s="18" t="n"/>
      <c r="F244" s="18" t="n">
        <v>12.3</v>
      </c>
      <c r="G244" s="18" t="n"/>
      <c r="H244" s="18">
        <f>IF(D244="","",D244*'参数与说明'!$B$6/45.3592)</f>
        <v/>
      </c>
      <c r="I244" s="19">
        <f>IFERROR(IF(D244="","",D244/INDEX($D:$D,MATCH(EDATE($A244,-1),$A:$A,0))-1),"")</f>
        <v/>
      </c>
      <c r="J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9.960000000000001</v>
      </c>
      <c r="E245" s="14" t="n"/>
      <c r="F245" s="14" t="n">
        <v>12.4</v>
      </c>
      <c r="G245" s="14" t="n"/>
      <c r="H245" s="14">
        <f>IF(D245="","",D245*'参数与说明'!$B$6/45.3592)</f>
        <v/>
      </c>
      <c r="I245" s="15">
        <f>IFERROR(IF(D245="","",D245/INDEX($D:$D,MATCH(EDATE($A245,-1),$A:$A,0))-1),"")</f>
        <v/>
      </c>
      <c r="J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9.529999999999999</v>
      </c>
      <c r="E246" s="18" t="n"/>
      <c r="F246" s="18" t="n">
        <v>12.5</v>
      </c>
      <c r="G246" s="18" t="n"/>
      <c r="H246" s="18">
        <f>IF(D246="","",D246*'参数与说明'!$B$6/45.3592)</f>
        <v/>
      </c>
      <c r="I246" s="19">
        <f>IFERROR(IF(D246="","",D246/INDEX($D:$D,MATCH(EDATE($A246,-1),$A:$A,0))-1),"")</f>
        <v/>
      </c>
      <c r="J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9.210000000000001</v>
      </c>
      <c r="E247" s="14" t="n"/>
      <c r="F247" s="14" t="n">
        <v>12.1</v>
      </c>
      <c r="G247" s="14" t="n"/>
      <c r="H247" s="14">
        <f>IF(D247="","",D247*'参数与说明'!$B$6/45.3592)</f>
        <v/>
      </c>
      <c r="I247" s="15">
        <f>IFERROR(IF(D247="","",D247/INDEX($D:$D,MATCH(EDATE($A247,-1),$A:$A,0))-1),"")</f>
        <v/>
      </c>
      <c r="J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8.92</v>
      </c>
      <c r="E248" s="18" t="n"/>
      <c r="F248" s="18" t="n">
        <v>11.8</v>
      </c>
      <c r="G248" s="18" t="n"/>
      <c r="H248" s="18">
        <f>IF(D248="","",D248*'参数与说明'!$B$6/45.3592)</f>
        <v/>
      </c>
      <c r="I248" s="19">
        <f>IFERROR(IF(D248="","",D248/INDEX($D:$D,MATCH(EDATE($A248,-1),$A:$A,0))-1),"")</f>
        <v/>
      </c>
      <c r="J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8.81</v>
      </c>
      <c r="E249" s="14" t="n"/>
      <c r="F249" s="14" t="n">
        <v>11.7</v>
      </c>
      <c r="G249" s="14" t="n"/>
      <c r="H249" s="14">
        <f>IF(D249="","",D249*'参数与说明'!$B$6/45.3592)</f>
        <v/>
      </c>
      <c r="I249" s="15">
        <f>IFERROR(IF(D249="","",D249/INDEX($D:$D,MATCH(EDATE($A249,-1),$A:$A,0))-1),"")</f>
        <v/>
      </c>
      <c r="J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9.07</v>
      </c>
      <c r="E250" s="18" t="n"/>
      <c r="F250" s="18" t="n">
        <v>11.8</v>
      </c>
      <c r="G250" s="18" t="n"/>
      <c r="H250" s="18">
        <f>IF(D250="","",D250*'参数与说明'!$B$6/45.3592)</f>
        <v/>
      </c>
      <c r="I250" s="19">
        <f>IFERROR(IF(D250="","",D250/INDEX($D:$D,MATCH(EDATE($A250,-1),$A:$A,0))-1),"")</f>
        <v/>
      </c>
      <c r="J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9.050000000000001</v>
      </c>
      <c r="E251" s="14" t="n"/>
      <c r="F251" s="14" t="n">
        <v>11.6</v>
      </c>
      <c r="G251" s="14" t="n"/>
      <c r="H251" s="14">
        <f>IF(D251="","",D251*'参数与说明'!$B$6/45.3592)</f>
        <v/>
      </c>
      <c r="I251" s="15">
        <f>IFERROR(IF(D251="","",D251/INDEX($D:$D,MATCH(EDATE($A251,-1),$A:$A,0))-1),"")</f>
        <v/>
      </c>
      <c r="J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9.109999999999999</v>
      </c>
      <c r="E252" s="18" t="n"/>
      <c r="F252" s="18" t="n">
        <v>11.2</v>
      </c>
      <c r="G252" s="18" t="n"/>
      <c r="H252" s="18">
        <f>IF(D252="","",D252*'参数与说明'!$B$6/45.3592)</f>
        <v/>
      </c>
      <c r="I252" s="19">
        <f>IFERROR(IF(D252="","",D252/INDEX($D:$D,MATCH(EDATE($A252,-1),$A:$A,0))-1),"")</f>
        <v/>
      </c>
      <c r="J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8.960000000000001</v>
      </c>
      <c r="E253" s="14" t="n"/>
      <c r="F253" s="14" t="n">
        <v>10.8</v>
      </c>
      <c r="G253" s="14" t="n"/>
      <c r="H253" s="14">
        <f>IF(D253="","",D253*'参数与说明'!$B$6/45.3592)</f>
        <v/>
      </c>
      <c r="I253" s="15">
        <f>IFERROR(IF(D253="","",D253/INDEX($D:$D,MATCH(EDATE($A253,-1),$A:$A,0))-1),"")</f>
        <v/>
      </c>
      <c r="J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8.640000000000001</v>
      </c>
      <c r="E254" s="18" t="n"/>
      <c r="F254" s="18" t="n">
        <v>9.76</v>
      </c>
      <c r="G254" s="18" t="n"/>
      <c r="H254" s="18">
        <f>IF(D254="","",D254*'参数与说明'!$B$6/45.3592)</f>
        <v/>
      </c>
      <c r="I254" s="19">
        <f>IFERROR(IF(D254="","",D254/INDEX($D:$D,MATCH(EDATE($A254,-1),$A:$A,0))-1),"")</f>
        <v/>
      </c>
      <c r="J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8.449999999999999</v>
      </c>
      <c r="E255" s="14" t="n"/>
      <c r="F255" s="14" t="n">
        <v>9.83</v>
      </c>
      <c r="G255" s="14" t="n"/>
      <c r="H255" s="14">
        <f>IF(D255="","",D255*'参数与说明'!$B$6/45.3592)</f>
        <v/>
      </c>
      <c r="I255" s="15">
        <f>IFERROR(IF(D255="","",D255/INDEX($D:$D,MATCH(EDATE($A255,-1),$A:$A,0))-1),"")</f>
        <v/>
      </c>
      <c r="J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7.33</v>
      </c>
      <c r="E256" s="18" t="n"/>
      <c r="F256" s="18" t="n">
        <v>9.210000000000001</v>
      </c>
      <c r="G256" s="18" t="n"/>
      <c r="H256" s="18">
        <f>IF(D256="","",D256*'参数与说明'!$B$6/45.3592)</f>
        <v/>
      </c>
      <c r="I256" s="19">
        <f>IFERROR(IF(D256="","",D256/INDEX($D:$D,MATCH(EDATE($A256,-1),$A:$A,0))-1),"")</f>
        <v/>
      </c>
      <c r="J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6.51</v>
      </c>
      <c r="E257" s="14" t="n"/>
      <c r="F257" s="14" t="n">
        <v>8.710000000000001</v>
      </c>
      <c r="G257" s="14" t="n"/>
      <c r="H257" s="14">
        <f>IF(D257="","",D257*'参数与说明'!$B$6/45.3592)</f>
        <v/>
      </c>
      <c r="I257" s="15">
        <f>IFERROR(IF(D257="","",D257/INDEX($D:$D,MATCH(EDATE($A257,-1),$A:$A,0))-1),"")</f>
        <v/>
      </c>
      <c r="J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6.99</v>
      </c>
      <c r="E258" s="18" t="n"/>
      <c r="F258" s="18" t="n">
        <v>9.109999999999999</v>
      </c>
      <c r="G258" s="18" t="n"/>
      <c r="H258" s="18">
        <f>IF(D258="","",D258*'参数与说明'!$B$6/45.3592)</f>
        <v/>
      </c>
      <c r="I258" s="19">
        <f>IFERROR(IF(D258="","",D258/INDEX($D:$D,MATCH(EDATE($A258,-1),$A:$A,0))-1),"")</f>
        <v/>
      </c>
      <c r="J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6.87</v>
      </c>
      <c r="E259" s="14" t="n"/>
      <c r="F259" s="14" t="n">
        <v>9.18</v>
      </c>
      <c r="G259" s="14" t="n"/>
      <c r="H259" s="14">
        <f>IF(D259="","",D259*'参数与说明'!$B$6/45.3592)</f>
        <v/>
      </c>
      <c r="I259" s="15">
        <f>IFERROR(IF(D259="","",D259/INDEX($D:$D,MATCH(EDATE($A259,-1),$A:$A,0))-1),"")</f>
        <v/>
      </c>
      <c r="J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6.75</v>
      </c>
      <c r="E260" s="18" t="n"/>
      <c r="F260" s="18" t="n">
        <v>8.76</v>
      </c>
      <c r="G260" s="18" t="n"/>
      <c r="H260" s="18">
        <f>IF(D260="","",D260*'参数与说明'!$B$6/45.3592)</f>
        <v/>
      </c>
      <c r="I260" s="19">
        <f>IFERROR(IF(D260="","",D260/INDEX($D:$D,MATCH(EDATE($A260,-1),$A:$A,0))-1),"")</f>
        <v/>
      </c>
      <c r="J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6.68</v>
      </c>
      <c r="E261" s="14" t="n"/>
      <c r="F261" s="14" t="n">
        <v>8.470000000000001</v>
      </c>
      <c r="G261" s="14" t="n"/>
      <c r="H261" s="14">
        <f>IF(D261="","",D261*'参数与说明'!$B$6/45.3592)</f>
        <v/>
      </c>
      <c r="I261" s="15">
        <f>IFERROR(IF(D261="","",D261/INDEX($D:$D,MATCH(EDATE($A261,-1),$A:$A,0))-1),"")</f>
        <v/>
      </c>
      <c r="J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6.72</v>
      </c>
      <c r="E262" s="18" t="n"/>
      <c r="F262" s="18" t="n">
        <v>8.66</v>
      </c>
      <c r="G262" s="18" t="n"/>
      <c r="H262" s="18">
        <f>IF(D262="","",D262*'参数与说明'!$B$6/45.3592)</f>
        <v/>
      </c>
      <c r="I262" s="19">
        <f>IFERROR(IF(D262="","",D262/INDEX($D:$D,MATCH(EDATE($A262,-1),$A:$A,0))-1),"")</f>
        <v/>
      </c>
      <c r="J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6.25</v>
      </c>
      <c r="E263" s="14" t="n"/>
      <c r="F263" s="14" t="n">
        <v>8.26</v>
      </c>
      <c r="G263" s="14" t="n"/>
      <c r="H263" s="14">
        <f>IF(D263="","",D263*'参数与说明'!$B$6/45.3592)</f>
        <v/>
      </c>
      <c r="I263" s="15">
        <f>IFERROR(IF(D263="","",D263/INDEX($D:$D,MATCH(EDATE($A263,-1),$A:$A,0))-1),"")</f>
        <v/>
      </c>
      <c r="J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6.22</v>
      </c>
      <c r="E264" s="18" t="n"/>
      <c r="F264" s="18" t="n">
        <v>7.77</v>
      </c>
      <c r="G264" s="18" t="n"/>
      <c r="H264" s="18">
        <f>IF(D264="","",D264*'参数与说明'!$B$6/45.3592)</f>
        <v/>
      </c>
      <c r="I264" s="19">
        <f>IFERROR(IF(D264="","",D264/INDEX($D:$D,MATCH(EDATE($A264,-1),$A:$A,0))-1),"")</f>
        <v/>
      </c>
      <c r="J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6.18</v>
      </c>
      <c r="E265" s="14" t="n"/>
      <c r="F265" s="14" t="n">
        <v>7.44</v>
      </c>
      <c r="G265" s="14" t="n"/>
      <c r="H265" s="14">
        <f>IF(D265="","",D265*'参数与说明'!$B$6/45.3592)</f>
        <v/>
      </c>
      <c r="I265" s="15">
        <f>IFERROR(IF(D265="","",D265/INDEX($D:$D,MATCH(EDATE($A265,-1),$A:$A,0))-1),"")</f>
        <v/>
      </c>
      <c r="J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5.82</v>
      </c>
      <c r="E266" s="18" t="n"/>
      <c r="F266" s="18" t="n">
        <v>7.18</v>
      </c>
      <c r="G266" s="18" t="n"/>
      <c r="H266" s="18">
        <f>IF(D266="","",D266*'参数与说明'!$B$6/45.3592)</f>
        <v/>
      </c>
      <c r="I266" s="19">
        <f>IFERROR(IF(D266="","",D266/INDEX($D:$D,MATCH(EDATE($A266,-1),$A:$A,0))-1),"")</f>
        <v/>
      </c>
      <c r="J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5.43</v>
      </c>
      <c r="E267" s="14" t="n"/>
      <c r="F267" s="14" t="n">
        <v>6.8</v>
      </c>
      <c r="G267" s="14" t="n"/>
      <c r="H267" s="14">
        <f>IF(D267="","",D267*'参数与说明'!$B$6/45.3592)</f>
        <v/>
      </c>
      <c r="I267" s="15">
        <f>IFERROR(IF(D267="","",D267/INDEX($D:$D,MATCH(EDATE($A267,-1),$A:$A,0))-1),"")</f>
        <v/>
      </c>
      <c r="J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5.33</v>
      </c>
      <c r="E268" s="18" t="n"/>
      <c r="F268" s="18" t="n">
        <v>6.64</v>
      </c>
      <c r="G268" s="18" t="n"/>
      <c r="H268" s="18">
        <f>IF(D268="","",D268*'参数与说明'!$B$6/45.3592)</f>
        <v/>
      </c>
      <c r="I268" s="19">
        <f>IFERROR(IF(D268="","",D268/INDEX($D:$D,MATCH(EDATE($A268,-1),$A:$A,0))-1),"")</f>
        <v/>
      </c>
      <c r="J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5.32</v>
      </c>
      <c r="E269" s="14" t="n"/>
      <c r="F269" s="14" t="n">
        <v>6.72</v>
      </c>
      <c r="G269" s="14" t="n"/>
      <c r="H269" s="14">
        <f>IF(D269="","",D269*'参数与说明'!$B$6/45.3592)</f>
        <v/>
      </c>
      <c r="I269" s="15">
        <f>IFERROR(IF(D269="","",D269/INDEX($D:$D,MATCH(EDATE($A269,-1),$A:$A,0))-1),"")</f>
        <v/>
      </c>
      <c r="J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5.25</v>
      </c>
      <c r="E270" s="18" t="n"/>
      <c r="F270" s="18" t="n">
        <v>6.9</v>
      </c>
      <c r="G270" s="18" t="n"/>
      <c r="H270" s="18">
        <f>IF(D270="","",D270*'参数与说明'!$B$6/45.3592)</f>
        <v/>
      </c>
      <c r="I270" s="19">
        <f>IFERROR(IF(D270="","",D270/INDEX($D:$D,MATCH(EDATE($A270,-1),$A:$A,0))-1),"")</f>
        <v/>
      </c>
      <c r="J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5.01</v>
      </c>
      <c r="E271" s="14" t="n"/>
      <c r="F271" s="14" t="n">
        <v>6.55</v>
      </c>
      <c r="G271" s="14" t="n"/>
      <c r="H271" s="14">
        <f>IF(D271="","",D271*'参数与说明'!$B$6/45.3592)</f>
        <v/>
      </c>
      <c r="I271" s="15">
        <f>IFERROR(IF(D271="","",D271/INDEX($D:$D,MATCH(EDATE($A271,-1),$A:$A,0))-1),"")</f>
        <v/>
      </c>
      <c r="J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5.1</v>
      </c>
      <c r="E272" s="18" t="n"/>
      <c r="F272" s="18" t="n">
        <v>6.01</v>
      </c>
      <c r="G272" s="18" t="n"/>
      <c r="H272" s="18">
        <f>IF(D272="","",D272*'参数与说明'!$B$6/45.3592)</f>
        <v/>
      </c>
      <c r="I272" s="19">
        <f>IFERROR(IF(D272="","",D272/INDEX($D:$D,MATCH(EDATE($A272,-1),$A:$A,0))-1),"")</f>
        <v/>
      </c>
      <c r="J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4.59</v>
      </c>
      <c r="E273" s="14" t="n"/>
      <c r="F273" s="14" t="n">
        <v>5.62</v>
      </c>
      <c r="G273" s="14" t="n"/>
      <c r="H273" s="14">
        <f>IF(D273="","",D273*'参数与说明'!$B$6/45.3592)</f>
        <v/>
      </c>
      <c r="I273" s="15">
        <f>IFERROR(IF(D273="","",D273/INDEX($D:$D,MATCH(EDATE($A273,-1),$A:$A,0))-1),"")</f>
        <v/>
      </c>
      <c r="J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4.49</v>
      </c>
      <c r="E274" s="18" t="n"/>
      <c r="F274" s="18" t="n">
        <v>5.69</v>
      </c>
      <c r="G274" s="18" t="n"/>
      <c r="H274" s="18">
        <f>IF(D274="","",D274*'参数与说明'!$B$6/45.3592)</f>
        <v/>
      </c>
      <c r="I274" s="19">
        <f>IFERROR(IF(D274="","",D274/INDEX($D:$D,MATCH(EDATE($A274,-1),$A:$A,0))-1),"")</f>
        <v/>
      </c>
      <c r="J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4.21</v>
      </c>
      <c r="E275" s="14" t="n"/>
      <c r="F275" s="14" t="n">
        <v>5.8</v>
      </c>
      <c r="G275" s="14" t="n"/>
      <c r="H275" s="14">
        <f>IF(D275="","",D275*'参数与说明'!$B$6/45.3592)</f>
        <v/>
      </c>
      <c r="I275" s="15">
        <f>IFERROR(IF(D275="","",D275/INDEX($D:$D,MATCH(EDATE($A275,-1),$A:$A,0))-1),"")</f>
        <v/>
      </c>
      <c r="J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4.4</v>
      </c>
      <c r="E276" s="18" t="n"/>
      <c r="F276" s="18" t="n">
        <v>5.73</v>
      </c>
      <c r="G276" s="18" t="n"/>
      <c r="H276" s="18">
        <f>IF(D276="","",D276*'参数与说明'!$B$6/45.3592)</f>
        <v/>
      </c>
      <c r="I276" s="19">
        <f>IFERROR(IF(D276="","",D276/INDEX($D:$D,MATCH(EDATE($A276,-1),$A:$A,0))-1),"")</f>
        <v/>
      </c>
      <c r="J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4.35</v>
      </c>
      <c r="E277" s="14" t="n"/>
      <c r="F277" s="14" t="n">
        <v>5.11</v>
      </c>
      <c r="G277" s="14" t="n"/>
      <c r="H277" s="14">
        <f>IF(D277="","",D277*'参数与说明'!$B$6/45.3592)</f>
        <v/>
      </c>
      <c r="I277" s="15">
        <f>IFERROR(IF(D277="","",D277/INDEX($D:$D,MATCH(EDATE($A277,-1),$A:$A,0))-1),"")</f>
        <v/>
      </c>
      <c r="J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4.03</v>
      </c>
      <c r="E278" s="18" t="n"/>
      <c r="F278" s="18" t="n">
        <v>4.73</v>
      </c>
      <c r="G278" s="18" t="n"/>
      <c r="H278" s="18">
        <f>IF(D278="","",D278*'参数与说明'!$B$6/45.3592)</f>
        <v/>
      </c>
      <c r="I278" s="19">
        <f>IFERROR(IF(D278="","",D278/INDEX($D:$D,MATCH(EDATE($A278,-1),$A:$A,0))-1),"")</f>
        <v/>
      </c>
      <c r="J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3.99</v>
      </c>
      <c r="E279" s="14" t="n"/>
      <c r="F279" s="14" t="n">
        <v>5.65</v>
      </c>
      <c r="G279" s="14" t="n"/>
      <c r="H279" s="14">
        <f>IF(D279="","",D279*'参数与说明'!$B$6/45.3592)</f>
        <v/>
      </c>
      <c r="I279" s="15">
        <f>IFERROR(IF(D279="","",D279/INDEX($D:$D,MATCH(EDATE($A279,-1),$A:$A,0))-1),"")</f>
        <v/>
      </c>
      <c r="J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4.8</v>
      </c>
      <c r="E280" s="18" t="n"/>
      <c r="F280" s="18" t="n">
        <v>5.02</v>
      </c>
      <c r="G280" s="18" t="n"/>
      <c r="H280" s="18">
        <f>IF(D280="","",D280*'参数与说明'!$B$6/45.3592)</f>
        <v/>
      </c>
      <c r="I280" s="19">
        <f>IFERROR(IF(D280="","",D280/INDEX($D:$D,MATCH(EDATE($A280,-1),$A:$A,0))-1),"")</f>
        <v/>
      </c>
      <c r="J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4.61</v>
      </c>
      <c r="E281" s="14" t="n"/>
      <c r="F281" s="14" t="n">
        <v>4.93</v>
      </c>
      <c r="G281" s="14" t="n"/>
      <c r="H281" s="14">
        <f>IF(D281="","",D281*'参数与说明'!$B$6/45.3592)</f>
        <v/>
      </c>
      <c r="I281" s="15">
        <f>IFERROR(IF(D281="","",D281/INDEX($D:$D,MATCH(EDATE($A281,-1),$A:$A,0))-1),"")</f>
        <v/>
      </c>
      <c r="J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4.55</v>
      </c>
      <c r="E282" s="18" t="n"/>
      <c r="F282" s="18" t="n">
        <v>5.1</v>
      </c>
      <c r="G282" s="18" t="n"/>
      <c r="H282" s="18">
        <f>IF(D282="","",D282*'参数与说明'!$B$6/45.3592)</f>
        <v/>
      </c>
      <c r="I282" s="19">
        <f>IFERROR(IF(D282="","",D282/INDEX($D:$D,MATCH(EDATE($A282,-1),$A:$A,0))-1),"")</f>
        <v/>
      </c>
      <c r="J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4.18</v>
      </c>
      <c r="E283" s="14" t="n"/>
      <c r="F283" s="14" t="n">
        <v>4.75</v>
      </c>
      <c r="G283" s="14" t="n"/>
      <c r="H283" s="14">
        <f>IF(D283="","",D283*'参数与说明'!$B$6/45.3592)</f>
        <v/>
      </c>
      <c r="I283" s="15">
        <f>IFERROR(IF(D283="","",D283/INDEX($D:$D,MATCH(EDATE($A283,-1),$A:$A,0))-1),"")</f>
        <v/>
      </c>
      <c r="J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3.99</v>
      </c>
      <c r="E284" s="18" t="n"/>
      <c r="F284" s="18" t="n">
        <v>4.47</v>
      </c>
      <c r="G284" s="18" t="n"/>
      <c r="H284" s="18">
        <f>IF(D284="","",D284*'参数与说明'!$B$6/45.3592)</f>
        <v/>
      </c>
      <c r="I284" s="19">
        <f>IFERROR(IF(D284="","",D284/INDEX($D:$D,MATCH(EDATE($A284,-1),$A:$A,0))-1),"")</f>
        <v/>
      </c>
      <c r="J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3.63</v>
      </c>
      <c r="E285" s="14" t="n"/>
      <c r="F285" s="14" t="n">
        <v>4.2</v>
      </c>
      <c r="G285" s="14" t="n"/>
      <c r="H285" s="14">
        <f>IF(D285="","",D285*'参数与说明'!$B$6/45.3592)</f>
        <v/>
      </c>
      <c r="I285" s="15">
        <f>IFERROR(IF(D285="","",D285/INDEX($D:$D,MATCH(EDATE($A285,-1),$A:$A,0))-1),"")</f>
        <v/>
      </c>
      <c r="J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3.42</v>
      </c>
      <c r="E286" s="18" t="n"/>
      <c r="F286" s="18" t="n">
        <v>4.17</v>
      </c>
      <c r="G286" s="18" t="n"/>
      <c r="H286" s="18">
        <f>IF(D286="","",D286*'参数与说明'!$B$6/45.3592)</f>
        <v/>
      </c>
      <c r="I286" s="19">
        <f>IFERROR(IF(D286="","",D286/INDEX($D:$D,MATCH(EDATE($A286,-1),$A:$A,0))-1),"")</f>
        <v/>
      </c>
      <c r="J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3.46</v>
      </c>
      <c r="E287" s="14" t="n"/>
      <c r="F287" s="14" t="n">
        <v>4.77</v>
      </c>
      <c r="G287" s="14" t="n"/>
      <c r="H287" s="14">
        <f>IF(D287="","",D287*'参数与说明'!$B$6/45.3592)</f>
        <v/>
      </c>
      <c r="I287" s="15">
        <f>IFERROR(IF(D287="","",D287/INDEX($D:$D,MATCH(EDATE($A287,-1),$A:$A,0))-1),"")</f>
        <v/>
      </c>
      <c r="J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3.57</v>
      </c>
      <c r="E288" s="18" t="n"/>
      <c r="F288" s="18" t="n">
        <v>4.63</v>
      </c>
      <c r="G288" s="18" t="n"/>
      <c r="H288" s="18">
        <f>IF(D288="","",D288*'参数与说明'!$B$6/45.3592)</f>
        <v/>
      </c>
      <c r="I288" s="19">
        <f>IFERROR(IF(D288="","",D288/INDEX($D:$D,MATCH(EDATE($A288,-1),$A:$A,0))-1),"")</f>
        <v/>
      </c>
      <c r="J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3.66</v>
      </c>
      <c r="E289" s="14" t="n"/>
      <c r="F289" s="14" t="n">
        <v>4.44</v>
      </c>
      <c r="G289" s="14" t="n"/>
      <c r="H289" s="14">
        <f>IF(D289="","",D289*'参数与说明'!$B$6/45.3592)</f>
        <v/>
      </c>
      <c r="I289" s="15">
        <f>IFERROR(IF(D289="","",D289/INDEX($D:$D,MATCH(EDATE($A289,-1),$A:$A,0))-1),"")</f>
        <v/>
      </c>
      <c r="J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4.09</v>
      </c>
      <c r="E290" s="18" t="n"/>
      <c r="F290" s="18" t="n">
        <v>4.54</v>
      </c>
      <c r="G290" s="18" t="n"/>
      <c r="H290" s="18">
        <f>IF(D290="","",D290*'参数与说明'!$B$6/45.3592)</f>
        <v/>
      </c>
      <c r="I290" s="19">
        <f>IFERROR(IF(D290="","",D290/INDEX($D:$D,MATCH(EDATE($A290,-1),$A:$A,0))-1),"")</f>
        <v/>
      </c>
      <c r="J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4.17</v>
      </c>
      <c r="E291" s="14" t="n"/>
      <c r="F291" s="14" t="n">
        <v>4.55</v>
      </c>
      <c r="G291" s="14" t="n"/>
      <c r="H291" s="14">
        <f>IF(D291="","",D291*'参数与说明'!$B$6/45.3592)</f>
        <v/>
      </c>
      <c r="I291" s="15">
        <f>IFERROR(IF(D291="","",D291/INDEX($D:$D,MATCH(EDATE($A291,-1),$A:$A,0))-1),"")</f>
        <v/>
      </c>
      <c r="J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4.11</v>
      </c>
      <c r="E292" s="18" t="n"/>
      <c r="F292" s="18" t="n">
        <v>4.69</v>
      </c>
      <c r="G292" s="18" t="n"/>
      <c r="H292" s="18">
        <f>IF(D292="","",D292*'参数与说明'!$B$6/45.3592)</f>
        <v/>
      </c>
      <c r="I292" s="19">
        <f>IFERROR(IF(D292="","",D292/INDEX($D:$D,MATCH(EDATE($A292,-1),$A:$A,0))-1),"")</f>
        <v/>
      </c>
      <c r="J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3.96</v>
      </c>
      <c r="E293" s="14" t="n"/>
      <c r="F293" s="14" t="n">
        <v>4.81</v>
      </c>
      <c r="G293" s="14" t="n"/>
      <c r="H293" s="14">
        <f>IF(D293="","",D293*'参数与说明'!$B$6/45.3592)</f>
        <v/>
      </c>
      <c r="I293" s="15">
        <f>IFERROR(IF(D293="","",D293/INDEX($D:$D,MATCH(EDATE($A293,-1),$A:$A,0))-1),"")</f>
        <v/>
      </c>
      <c r="J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3.81</v>
      </c>
      <c r="E294" s="18" t="n"/>
      <c r="F294" s="18" t="n">
        <v>5.01</v>
      </c>
      <c r="G294" s="18" t="n"/>
      <c r="H294" s="18">
        <f>IF(D294="","",D294*'参数与说明'!$B$6/45.3592)</f>
        <v/>
      </c>
      <c r="I294" s="19">
        <f>IFERROR(IF(D294="","",D294/INDEX($D:$D,MATCH(EDATE($A294,-1),$A:$A,0))-1),"")</f>
        <v/>
      </c>
      <c r="J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3.71</v>
      </c>
      <c r="E295" s="14" t="n"/>
      <c r="F295" s="14" t="n">
        <v>4.9</v>
      </c>
      <c r="G295" s="14" t="n"/>
      <c r="H295" s="14">
        <f>IF(D295="","",D295*'参数与说明'!$B$6/45.3592)</f>
        <v/>
      </c>
      <c r="I295" s="15">
        <f>IFERROR(IF(D295="","",D295/INDEX($D:$D,MATCH(EDATE($A295,-1),$A:$A,0))-1),"")</f>
        <v/>
      </c>
      <c r="J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3.5</v>
      </c>
      <c r="E296" s="18" t="n"/>
      <c r="F296" s="18" t="n">
        <v>4.71</v>
      </c>
      <c r="G296" s="18" t="n"/>
      <c r="H296" s="18">
        <f>IF(D296="","",D296*'参数与说明'!$B$6/45.3592)</f>
        <v/>
      </c>
      <c r="I296" s="19">
        <f>IFERROR(IF(D296="","",D296/INDEX($D:$D,MATCH(EDATE($A296,-1),$A:$A,0))-1),"")</f>
        <v/>
      </c>
      <c r="J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3.28</v>
      </c>
      <c r="E297" s="14" t="n"/>
      <c r="F297" s="14" t="n">
        <v>4.29</v>
      </c>
      <c r="G297" s="14" t="n"/>
      <c r="H297" s="14">
        <f>IF(D297="","",D297*'参数与说明'!$B$6/45.3592)</f>
        <v/>
      </c>
      <c r="I297" s="15">
        <f>IFERROR(IF(D297="","",D297/INDEX($D:$D,MATCH(EDATE($A297,-1),$A:$A,0))-1),"")</f>
        <v/>
      </c>
      <c r="J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3.48</v>
      </c>
      <c r="E298" s="18" t="n"/>
      <c r="F298" s="18" t="n">
        <v>4.54</v>
      </c>
      <c r="G298" s="18" t="n"/>
      <c r="H298" s="18">
        <f>IF(D298="","",D298*'参数与说明'!$B$6/45.3592)</f>
        <v/>
      </c>
      <c r="I298" s="19">
        <f>IFERROR(IF(D298="","",D298/INDEX($D:$D,MATCH(EDATE($A298,-1),$A:$A,0))-1),"")</f>
        <v/>
      </c>
      <c r="J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>
        <v>5.07</v>
      </c>
      <c r="G299" s="14" t="n"/>
      <c r="H299" s="14">
        <f>IF(D299="","",D299*'参数与说明'!$B$6/45.3592)</f>
        <v/>
      </c>
      <c r="I299" s="15">
        <f>IFERROR(IF(D299="","",D299/INDEX($D:$D,MATCH(EDATE($A299,-1),$A:$A,0))-1),"")</f>
        <v/>
      </c>
      <c r="J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3.97</v>
      </c>
      <c r="E300" s="18" t="n"/>
      <c r="F300" s="18" t="n">
        <v>5.02</v>
      </c>
      <c r="G300" s="18" t="n"/>
      <c r="H300" s="18">
        <f>IF(D300="","",D300*'参数与说明'!$B$6/45.3592)</f>
        <v/>
      </c>
      <c r="I300" s="19">
        <f>IFERROR(IF(D300="","",D300/INDEX($D:$D,MATCH(EDATE($A300,-1),$A:$A,0))-1),"")</f>
        <v/>
      </c>
      <c r="J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4.06</v>
      </c>
      <c r="E301" s="14" t="n"/>
      <c r="F301" s="14" t="n">
        <v>4.89</v>
      </c>
      <c r="G301" s="14" t="n"/>
      <c r="H301" s="14">
        <f>IF(D301="","",D301*'参数与说明'!$B$6/45.3592)</f>
        <v/>
      </c>
      <c r="I301" s="15">
        <f>IFERROR(IF(D301="","",D301/INDEX($D:$D,MATCH(EDATE($A301,-1),$A:$A,0))-1),"")</f>
        <v/>
      </c>
      <c r="J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4.37</v>
      </c>
      <c r="E302" s="18" t="n"/>
      <c r="F302" s="18" t="n">
        <v>4.92</v>
      </c>
      <c r="G302" s="18" t="n"/>
      <c r="H302" s="18">
        <f>IF(D302="","",D302*'参数与说明'!$B$6/45.3592)</f>
        <v/>
      </c>
      <c r="I302" s="19">
        <f>IFERROR(IF(D302="","",D302/INDEX($D:$D,MATCH(EDATE($A302,-1),$A:$A,0))-1),"")</f>
        <v/>
      </c>
      <c r="J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4.26</v>
      </c>
      <c r="E303" s="14" t="n"/>
      <c r="F303" s="14" t="n">
        <v>4.61</v>
      </c>
      <c r="G303" s="14" t="n"/>
      <c r="H303" s="14">
        <f>IF(D303="","",D303*'参数与说明'!$B$6/45.3592)</f>
        <v/>
      </c>
      <c r="I303" s="15">
        <f>IFERROR(IF(D303="","",D303/INDEX($D:$D,MATCH(EDATE($A303,-1),$A:$A,0))-1),"")</f>
        <v/>
      </c>
      <c r="J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4.16</v>
      </c>
      <c r="E304" s="18" t="n"/>
      <c r="F304" s="18" t="n">
        <v>4.52</v>
      </c>
      <c r="G304" s="18" t="n"/>
      <c r="H304" s="18">
        <f>IF(D304="","",D304*'参数与说明'!$B$6/45.3592)</f>
        <v/>
      </c>
      <c r="I304" s="19">
        <f>IFERROR(IF(D304="","",D304/INDEX($D:$D,MATCH(EDATE($A304,-1),$A:$A,0))-1),"")</f>
        <v/>
      </c>
      <c r="J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3.99</v>
      </c>
      <c r="E305" s="14" t="n"/>
      <c r="F305" s="14" t="n">
        <v>4.62</v>
      </c>
      <c r="G305" s="14" t="n"/>
      <c r="H305" s="14">
        <f>IF(D305="","",D305*'参数与说明'!$B$6/45.3592)</f>
        <v/>
      </c>
      <c r="I305" s="15">
        <f>IFERROR(IF(D305="","",D305/INDEX($D:$D,MATCH(EDATE($A305,-1),$A:$A,0))-1),"")</f>
        <v/>
      </c>
      <c r="J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4.55</v>
      </c>
      <c r="E306" s="18" t="n"/>
      <c r="F306" s="18" t="n">
        <v>5.25</v>
      </c>
      <c r="G306" s="18" t="n"/>
      <c r="H306" s="18">
        <f>IF(D306="","",D306*'参数与说明'!$B$6/45.3592)</f>
        <v/>
      </c>
      <c r="I306" s="19">
        <f>IFERROR(IF(D306="","",D306/INDEX($D:$D,MATCH(EDATE($A306,-1),$A:$A,0))-1),"")</f>
        <v/>
      </c>
      <c r="J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4.26</v>
      </c>
      <c r="E307" s="14" t="n"/>
      <c r="F307" s="14" t="n">
        <v>5.23</v>
      </c>
      <c r="G307" s="14" t="n"/>
      <c r="H307" s="14">
        <f>IF(D307="","",D307*'参数与说明'!$B$6/45.3592)</f>
        <v/>
      </c>
      <c r="I307" s="15">
        <f>IFERROR(IF(D307="","",D307/INDEX($D:$D,MATCH(EDATE($A307,-1),$A:$A,0))-1),"")</f>
        <v/>
      </c>
      <c r="J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4.09</v>
      </c>
      <c r="E308" s="18" t="n"/>
      <c r="F308" s="18" t="n">
        <v>5.01</v>
      </c>
      <c r="G308" s="18" t="n"/>
      <c r="H308" s="18">
        <f>IF(D308="","",D308*'参数与说明'!$B$6/45.3592)</f>
        <v/>
      </c>
      <c r="I308" s="19">
        <f>IFERROR(IF(D308="","",D308/INDEX($D:$D,MATCH(EDATE($A308,-1),$A:$A,0))-1),"")</f>
        <v/>
      </c>
      <c r="J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4.13</v>
      </c>
      <c r="E309" s="14" t="n"/>
      <c r="F309" s="14" t="n">
        <v>4.95</v>
      </c>
      <c r="G309" s="14" t="n"/>
      <c r="H309" s="14">
        <f>IF(D309="","",D309*'参数与说明'!$B$6/45.3592)</f>
        <v/>
      </c>
      <c r="I309" s="15">
        <f>IFERROR(IF(D309="","",D309/INDEX($D:$D,MATCH(EDATE($A309,-1),$A:$A,0))-1),"")</f>
        <v/>
      </c>
      <c r="J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5.17</v>
      </c>
      <c r="E310" s="18" t="n"/>
      <c r="F310" s="18" t="n">
        <v>5.92</v>
      </c>
      <c r="G310" s="18" t="n"/>
      <c r="H310" s="18">
        <f>IF(D310="","",D310*'参数与说明'!$B$6/45.3592)</f>
        <v/>
      </c>
      <c r="I310" s="19">
        <f>IFERROR(IF(D310="","",D310/INDEX($D:$D,MATCH(EDATE($A310,-1),$A:$A,0))-1),"")</f>
        <v/>
      </c>
      <c r="J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5.93</v>
      </c>
      <c r="E311" s="14" t="n"/>
      <c r="F311" s="14" t="n">
        <v>6.58</v>
      </c>
      <c r="G311" s="14" t="n"/>
      <c r="H311" s="14">
        <f>IF(D311="","",D311*'参数与说明'!$B$6/45.3592)</f>
        <v/>
      </c>
      <c r="I311" s="15">
        <f>IFERROR(IF(D311="","",D311/INDEX($D:$D,MATCH(EDATE($A311,-1),$A:$A,0))-1),"")</f>
        <v/>
      </c>
      <c r="J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6.57</v>
      </c>
      <c r="E312" s="18" t="n"/>
      <c r="F312" s="18" t="n">
        <v>7.13</v>
      </c>
      <c r="G312" s="18" t="n"/>
      <c r="H312" s="18">
        <f>IF(D312="","",D312*'参数与说明'!$B$6/45.3592)</f>
        <v/>
      </c>
      <c r="I312" s="19">
        <f>IFERROR(IF(D312="","",D312/INDEX($D:$D,MATCH(EDATE($A312,-1),$A:$A,0))-1),"")</f>
        <v/>
      </c>
      <c r="J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6.94</v>
      </c>
      <c r="E313" s="14" t="n"/>
      <c r="F313" s="14" t="n">
        <v>7.34</v>
      </c>
      <c r="G313" s="14" t="n"/>
      <c r="H313" s="14">
        <f>IF(D313="","",D313*'参数与说明'!$B$6/45.3592)</f>
        <v/>
      </c>
      <c r="I313" s="15">
        <f>IFERROR(IF(D313="","",D313/INDEX($D:$D,MATCH(EDATE($A313,-1),$A:$A,0))-1),"")</f>
        <v/>
      </c>
      <c r="J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7.1</v>
      </c>
      <c r="E314" s="18" t="n"/>
      <c r="F314" s="18" t="n">
        <v>7.07</v>
      </c>
      <c r="G314" s="18" t="n"/>
      <c r="H314" s="18">
        <f>IF(D314="","",D314*'参数与说明'!$B$6/45.3592)</f>
        <v/>
      </c>
      <c r="I314" s="19">
        <f>IFERROR(IF(D314="","",D314/INDEX($D:$D,MATCH(EDATE($A314,-1),$A:$A,0))-1),"")</f>
        <v/>
      </c>
      <c r="J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6.8</v>
      </c>
      <c r="E315" s="14" t="n"/>
      <c r="F315" s="14" t="n">
        <v>7.2</v>
      </c>
      <c r="G315" s="14" t="n"/>
      <c r="H315" s="14">
        <f>IF(D315="","",D315*'参数与说明'!$B$6/45.3592)</f>
        <v/>
      </c>
      <c r="I315" s="15">
        <f>IFERROR(IF(D315="","",D315/INDEX($D:$D,MATCH(EDATE($A315,-1),$A:$A,0))-1),"")</f>
        <v/>
      </c>
      <c r="J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6.27</v>
      </c>
      <c r="E316" s="18" t="n"/>
      <c r="F316" s="18" t="n">
        <v>6.86</v>
      </c>
      <c r="G316" s="18" t="n"/>
      <c r="H316" s="18">
        <f>IF(D316="","",D316*'参数与说明'!$B$6/45.3592)</f>
        <v/>
      </c>
      <c r="I316" s="19">
        <f>IFERROR(IF(D316="","",D316/INDEX($D:$D,MATCH(EDATE($A316,-1),$A:$A,0))-1),"")</f>
        <v/>
      </c>
      <c r="J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6.18</v>
      </c>
      <c r="E317" s="14" t="n"/>
      <c r="F317" s="14" t="n">
        <v>7.23</v>
      </c>
      <c r="G317" s="14" t="n"/>
      <c r="H317" s="14">
        <f>IF(D317="","",D317*'参数与说明'!$B$6/45.3592)</f>
        <v/>
      </c>
      <c r="I317" s="15">
        <f>IFERROR(IF(D317="","",D317/INDEX($D:$D,MATCH(EDATE($A317,-1),$A:$A,0))-1),"")</f>
        <v/>
      </c>
      <c r="J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6.08</v>
      </c>
      <c r="E318" s="18" t="n"/>
      <c r="F318" s="18" t="n">
        <v>7.75</v>
      </c>
      <c r="G318" s="18" t="n"/>
      <c r="H318" s="18">
        <f>IF(D318="","",D318*'参数与说明'!$B$6/45.3592)</f>
        <v/>
      </c>
      <c r="I318" s="19">
        <f>IFERROR(IF(D318="","",D318/INDEX($D:$D,MATCH(EDATE($A318,-1),$A:$A,0))-1),"")</f>
        <v/>
      </c>
      <c r="J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5.81</v>
      </c>
      <c r="E319" s="14" t="n"/>
      <c r="F319" s="14" t="n">
        <v>7.74</v>
      </c>
      <c r="G319" s="14" t="n"/>
      <c r="H319" s="14">
        <f>IF(D319="","",D319*'参数与说明'!$B$6/45.3592)</f>
        <v/>
      </c>
      <c r="I319" s="15">
        <f>IFERROR(IF(D319="","",D319/INDEX($D:$D,MATCH(EDATE($A319,-1),$A:$A,0))-1),"")</f>
        <v/>
      </c>
      <c r="J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5.67</v>
      </c>
      <c r="E320" s="18" t="n"/>
      <c r="F320" s="18" t="n">
        <v>7.73</v>
      </c>
      <c r="G320" s="18" t="n"/>
      <c r="H320" s="18">
        <f>IF(D320="","",D320*'参数与说明'!$B$6/45.3592)</f>
        <v/>
      </c>
      <c r="I320" s="19">
        <f>IFERROR(IF(D320="","",D320/INDEX($D:$D,MATCH(EDATE($A320,-1),$A:$A,0))-1),"")</f>
        <v/>
      </c>
      <c r="J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5.95</v>
      </c>
      <c r="E321" s="14" t="n"/>
      <c r="F321" s="14" t="n">
        <v>7.92</v>
      </c>
      <c r="G321" s="14" t="n"/>
      <c r="H321" s="14">
        <f>IF(D321="","",D321*'参数与说明'!$B$6/45.3592)</f>
        <v/>
      </c>
      <c r="I321" s="15">
        <f>IFERROR(IF(D321="","",D321/INDEX($D:$D,MATCH(EDATE($A321,-1),$A:$A,0))-1),"")</f>
        <v/>
      </c>
      <c r="J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6.11</v>
      </c>
      <c r="E322" s="18" t="n"/>
      <c r="F322" s="18" t="n">
        <v>8.029999999999999</v>
      </c>
      <c r="G322" s="18" t="n"/>
      <c r="H322" s="18">
        <f>IF(D322="","",D322*'参数与说明'!$B$6/45.3592)</f>
        <v/>
      </c>
      <c r="I322" s="19">
        <f>IFERROR(IF(D322="","",D322/INDEX($D:$D,MATCH(EDATE($A322,-1),$A:$A,0))-1),"")</f>
        <v/>
      </c>
      <c r="J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6.03</v>
      </c>
      <c r="E323" s="14" t="n"/>
      <c r="F323" s="14" t="n">
        <v>8.15</v>
      </c>
      <c r="G323" s="14" t="n"/>
      <c r="H323" s="14">
        <f>IF(D323="","",D323*'参数与说明'!$B$6/45.3592)</f>
        <v/>
      </c>
      <c r="I323" s="15">
        <f>IFERROR(IF(D323="","",D323/INDEX($D:$D,MATCH(EDATE($A323,-1),$A:$A,0))-1),"")</f>
        <v/>
      </c>
      <c r="J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6.04</v>
      </c>
      <c r="E324" s="18" t="n"/>
      <c r="F324" s="18" t="n">
        <v>7.42</v>
      </c>
      <c r="G324" s="18" t="n"/>
      <c r="H324" s="18">
        <f>IF(D324="","",D324*'参数与说明'!$B$6/45.3592)</f>
        <v/>
      </c>
      <c r="I324" s="19">
        <f>IFERROR(IF(D324="","",D324/INDEX($D:$D,MATCH(EDATE($A324,-1),$A:$A,0))-1),"")</f>
        <v/>
      </c>
      <c r="J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6.29</v>
      </c>
      <c r="E325" s="14" t="n"/>
      <c r="F325" s="14" t="n">
        <v>7.56</v>
      </c>
      <c r="G325" s="14" t="n"/>
      <c r="H325" s="14">
        <f>IF(D325="","",D325*'参数与说明'!$B$6/45.3592)</f>
        <v/>
      </c>
      <c r="I325" s="15">
        <f>IFERROR(IF(D325="","",D325/INDEX($D:$D,MATCH(EDATE($A325,-1),$A:$A,0))-1),"")</f>
        <v/>
      </c>
      <c r="J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6.2</v>
      </c>
      <c r="E326" s="18" t="n"/>
      <c r="F326" s="18" t="n">
        <v>7.48</v>
      </c>
      <c r="G326" s="18" t="n"/>
      <c r="H326" s="18">
        <f>IF(D326="","",D326*'参数与说明'!$B$6/45.3592)</f>
        <v/>
      </c>
      <c r="I326" s="19">
        <f>IFERROR(IF(D326="","",D326/INDEX($D:$D,MATCH(EDATE($A326,-1),$A:$A,0))-1),"")</f>
        <v/>
      </c>
      <c r="J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5.98</v>
      </c>
      <c r="E327" s="14" t="n"/>
      <c r="F327" s="14" t="n">
        <v>7.43</v>
      </c>
      <c r="G327" s="14" t="n"/>
      <c r="H327" s="14">
        <f>IF(D327="","",D327*'参数与说明'!$B$6/45.3592)</f>
        <v/>
      </c>
      <c r="I327" s="15">
        <f>IFERROR(IF(D327="","",D327/INDEX($D:$D,MATCH(EDATE($A327,-1),$A:$A,0))-1),"")</f>
        <v/>
      </c>
      <c r="J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5.6</v>
      </c>
      <c r="E328" s="18" t="n"/>
      <c r="F328" s="18" t="n">
        <v>6.92</v>
      </c>
      <c r="G328" s="18" t="n"/>
      <c r="H328" s="18">
        <f>IF(D328="","",D328*'参数与说明'!$B$6/45.3592)</f>
        <v/>
      </c>
      <c r="I328" s="19">
        <f>IFERROR(IF(D328="","",D328/INDEX($D:$D,MATCH(EDATE($A328,-1),$A:$A,0))-1),"")</f>
        <v/>
      </c>
      <c r="J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5.52</v>
      </c>
      <c r="E329" s="14" t="n"/>
      <c r="F329" s="14" t="n">
        <v>6.76</v>
      </c>
      <c r="G329" s="14" t="n"/>
      <c r="H329" s="14">
        <f>IF(D329="","",D329*'参数与说明'!$B$6/45.3592)</f>
        <v/>
      </c>
      <c r="I329" s="15">
        <f>IFERROR(IF(D329="","",D329/INDEX($D:$D,MATCH(EDATE($A329,-1),$A:$A,0))-1),"")</f>
        <v/>
      </c>
      <c r="J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5.72</v>
      </c>
      <c r="E330" s="18" t="n"/>
      <c r="F330" s="18" t="n">
        <v>7.16</v>
      </c>
      <c r="G330" s="18" t="n"/>
      <c r="H330" s="18">
        <f>IF(D330="","",D330*'参数与说明'!$B$6/45.3592)</f>
        <v/>
      </c>
      <c r="I330" s="19">
        <f>IFERROR(IF(D330="","",D330/INDEX($D:$D,MATCH(EDATE($A330,-1),$A:$A,0))-1),"")</f>
        <v/>
      </c>
      <c r="J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5.58</v>
      </c>
      <c r="E331" s="14" t="n"/>
      <c r="F331" s="14" t="n">
        <v>7.12</v>
      </c>
      <c r="G331" s="14" t="n"/>
      <c r="H331" s="14">
        <f>IF(D331="","",D331*'参数与说明'!$B$6/45.3592)</f>
        <v/>
      </c>
      <c r="I331" s="15">
        <f>IFERROR(IF(D331="","",D331/INDEX($D:$D,MATCH(EDATE($A331,-1),$A:$A,0))-1),"")</f>
        <v/>
      </c>
      <c r="J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5.68</v>
      </c>
      <c r="E332" s="18" t="n"/>
      <c r="F332" s="18" t="n">
        <v>6.93</v>
      </c>
      <c r="G332" s="18" t="n"/>
      <c r="H332" s="18">
        <f>IF(D332="","",D332*'参数与说明'!$B$6/45.3592)</f>
        <v/>
      </c>
      <c r="I332" s="19">
        <f>IFERROR(IF(D332="","",D332/INDEX($D:$D,MATCH(EDATE($A332,-1),$A:$A,0))-1),"")</f>
        <v/>
      </c>
      <c r="J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6.01</v>
      </c>
      <c r="E333" s="14" t="n"/>
      <c r="F333" s="14" t="n">
        <v>7.45</v>
      </c>
      <c r="G333" s="14" t="n"/>
      <c r="H333" s="14">
        <f>IF(D333="","",D333*'参数与说明'!$B$6/45.3592)</f>
        <v/>
      </c>
      <c r="I333" s="15">
        <f>IFERROR(IF(D333="","",D333/INDEX($D:$D,MATCH(EDATE($A333,-1),$A:$A,0))-1),"")</f>
        <v/>
      </c>
      <c r="J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6.6</v>
      </c>
      <c r="E334" s="18" t="n"/>
      <c r="F334" s="18" t="n">
        <v>8.289999999999999</v>
      </c>
      <c r="G334" s="18" t="n"/>
      <c r="H334" s="18">
        <f>IF(D334="","",D334*'参数与说明'!$B$6/45.3592)</f>
        <v/>
      </c>
      <c r="I334" s="19">
        <f>IFERROR(IF(D334="","",D334/INDEX($D:$D,MATCH(EDATE($A334,-1),$A:$A,0))-1),"")</f>
        <v/>
      </c>
      <c r="J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6.63</v>
      </c>
      <c r="E335" s="14" t="n"/>
      <c r="F335" s="14" t="n">
        <v>7.93</v>
      </c>
      <c r="G335" s="14" t="n"/>
      <c r="H335" s="14">
        <f>IF(D335="","",D335*'参数与说明'!$B$6/45.3592)</f>
        <v/>
      </c>
      <c r="I335" s="15">
        <f>IFERROR(IF(D335="","",D335/INDEX($D:$D,MATCH(EDATE($A335,-1),$A:$A,0))-1),"")</f>
        <v/>
      </c>
      <c r="J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7.02</v>
      </c>
      <c r="E336" s="18" t="n"/>
      <c r="F336" s="18" t="n">
        <v>7.91</v>
      </c>
      <c r="G336" s="18" t="n"/>
      <c r="H336" s="18">
        <f>IF(D336="","",D336*'参数与说明'!$B$6/45.3592)</f>
        <v/>
      </c>
      <c r="I336" s="19">
        <f>IFERROR(IF(D336="","",D336/INDEX($D:$D,MATCH(EDATE($A336,-1),$A:$A,0))-1),"")</f>
        <v/>
      </c>
      <c r="J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7.26</v>
      </c>
      <c r="E337" s="14" t="n"/>
      <c r="F337" s="14" t="n">
        <v>7.95</v>
      </c>
      <c r="G337" s="14" t="n"/>
      <c r="H337" s="14">
        <f>IF(D337="","",D337*'参数与说明'!$B$6/45.3592)</f>
        <v/>
      </c>
      <c r="I337" s="15">
        <f>IFERROR(IF(D337="","",D337/INDEX($D:$D,MATCH(EDATE($A337,-1),$A:$A,0))-1),"")</f>
        <v/>
      </c>
      <c r="J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7.46</v>
      </c>
      <c r="E338" s="18" t="n"/>
      <c r="F338" s="18" t="n">
        <v>7.85</v>
      </c>
      <c r="G338" s="18" t="n"/>
      <c r="H338" s="18">
        <f>IF(D338="","",D338*'参数与说明'!$B$6/45.3592)</f>
        <v/>
      </c>
      <c r="I338" s="19">
        <f>IFERROR(IF(D338="","",D338/INDEX($D:$D,MATCH(EDATE($A338,-1),$A:$A,0))-1),"")</f>
        <v/>
      </c>
      <c r="J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7.48</v>
      </c>
      <c r="E339" s="14" t="n"/>
      <c r="F339" s="14" t="n">
        <v>7.91</v>
      </c>
      <c r="G339" s="14" t="n"/>
      <c r="H339" s="14">
        <f>IF(D339="","",D339*'参数与说明'!$B$6/45.3592)</f>
        <v/>
      </c>
      <c r="I339" s="15">
        <f>IFERROR(IF(D339="","",D339/INDEX($D:$D,MATCH(EDATE($A339,-1),$A:$A,0))-1),"")</f>
        <v/>
      </c>
      <c r="J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7.67</v>
      </c>
      <c r="E340" s="18" t="n"/>
      <c r="F340" s="18" t="n">
        <v>8.15</v>
      </c>
      <c r="G340" s="18" t="n"/>
      <c r="H340" s="18">
        <f>IF(D340="","",D340*'参数与说明'!$B$6/45.3592)</f>
        <v/>
      </c>
      <c r="I340" s="19">
        <f>IFERROR(IF(D340="","",D340/INDEX($D:$D,MATCH(EDATE($A340,-1),$A:$A,0))-1),"")</f>
        <v/>
      </c>
      <c r="J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7.4</v>
      </c>
      <c r="E341" s="14" t="n"/>
      <c r="F341" s="14" t="n">
        <v>8.5</v>
      </c>
      <c r="G341" s="14" t="n"/>
      <c r="H341" s="14">
        <f>IF(D341="","",D341*'参数与说明'!$B$6/45.3592)</f>
        <v/>
      </c>
      <c r="I341" s="15">
        <f>IFERROR(IF(D341="","",D341/INDEX($D:$D,MATCH(EDATE($A341,-1),$A:$A,0))-1),"")</f>
        <v/>
      </c>
      <c r="J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7.36</v>
      </c>
      <c r="E342" s="18" t="n"/>
      <c r="F342" s="18" t="n">
        <v>8.66</v>
      </c>
      <c r="G342" s="18" t="n"/>
      <c r="H342" s="18">
        <f>IF(D342="","",D342*'参数与说明'!$B$6/45.3592)</f>
        <v/>
      </c>
      <c r="I342" s="19">
        <f>IFERROR(IF(D342="","",D342/INDEX($D:$D,MATCH(EDATE($A342,-1),$A:$A,0))-1),"")</f>
        <v/>
      </c>
      <c r="J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6.79</v>
      </c>
      <c r="E343" s="14" t="n"/>
      <c r="F343" s="14" t="n">
        <v>8.32</v>
      </c>
      <c r="G343" s="14" t="n"/>
      <c r="H343" s="14">
        <f>IF(D343="","",D343*'参数与说明'!$B$6/45.3592)</f>
        <v/>
      </c>
      <c r="I343" s="15">
        <f>IFERROR(IF(D343="","",D343/INDEX($D:$D,MATCH(EDATE($A343,-1),$A:$A,0))-1),"")</f>
        <v/>
      </c>
      <c r="J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6.33</v>
      </c>
      <c r="E344" s="18" t="n"/>
      <c r="F344" s="18" t="n">
        <v>8.039999999999999</v>
      </c>
      <c r="G344" s="18" t="n"/>
      <c r="H344" s="18">
        <f>IF(D344="","",D344*'参数与说明'!$B$6/45.3592)</f>
        <v/>
      </c>
      <c r="I344" s="19">
        <f>IFERROR(IF(D344="","",D344/INDEX($D:$D,MATCH(EDATE($A344,-1),$A:$A,0))-1),"")</f>
        <v/>
      </c>
      <c r="J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6.15</v>
      </c>
      <c r="E345" s="14" t="n"/>
      <c r="F345" s="14" t="n">
        <v>7.83</v>
      </c>
      <c r="G345" s="14" t="n"/>
      <c r="H345" s="14">
        <f>IF(D345="","",D345*'参数与说明'!$B$6/45.3592)</f>
        <v/>
      </c>
      <c r="I345" s="15">
        <f>IFERROR(IF(D345="","",D345/INDEX($D:$D,MATCH(EDATE($A345,-1),$A:$A,0))-1),"")</f>
        <v/>
      </c>
      <c r="J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6.21</v>
      </c>
      <c r="E346" s="18" t="n"/>
      <c r="F346" s="18" t="n">
        <v>8.16</v>
      </c>
      <c r="G346" s="18" t="n"/>
      <c r="H346" s="18">
        <f>IF(D346="","",D346*'参数与说明'!$B$6/45.3592)</f>
        <v/>
      </c>
      <c r="I346" s="19">
        <f>IFERROR(IF(D346="","",D346/INDEX($D:$D,MATCH(EDATE($A346,-1),$A:$A,0))-1),"")</f>
        <v/>
      </c>
      <c r="J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6.02</v>
      </c>
      <c r="E347" s="14" t="n"/>
      <c r="F347" s="14" t="n">
        <v>8.050000000000001</v>
      </c>
      <c r="G347" s="14" t="n"/>
      <c r="H347" s="14">
        <f>IF(D347="","",D347*'参数与说明'!$B$6/45.3592)</f>
        <v/>
      </c>
      <c r="I347" s="15">
        <f>IFERROR(IF(D347="","",D347/INDEX($D:$D,MATCH(EDATE($A347,-1),$A:$A,0))-1),"")</f>
        <v/>
      </c>
      <c r="J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6.35</v>
      </c>
      <c r="E348" s="18" t="n"/>
      <c r="F348" s="18" t="n">
        <v>8.06</v>
      </c>
      <c r="G348" s="18" t="n"/>
      <c r="H348" s="18">
        <f>IF(D348="","",D348*'参数与说明'!$B$6/45.3592)</f>
        <v/>
      </c>
      <c r="I348" s="19">
        <f>IFERROR(IF(D348="","",D348/INDEX($D:$D,MATCH(EDATE($A348,-1),$A:$A,0))-1),"")</f>
        <v/>
      </c>
      <c r="J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6.52</v>
      </c>
      <c r="E349" s="14" t="n"/>
      <c r="F349" s="14" t="n">
        <v>7.91</v>
      </c>
      <c r="G349" s="14" t="n"/>
      <c r="H349" s="14">
        <f>IF(D349="","",D349*'参数与说明'!$B$6/45.3592)</f>
        <v/>
      </c>
      <c r="I349" s="15">
        <f>IFERROR(IF(D349="","",D349/INDEX($D:$D,MATCH(EDATE($A349,-1),$A:$A,0))-1),"")</f>
        <v/>
      </c>
      <c r="J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6.5</v>
      </c>
      <c r="E350" s="18" t="n"/>
      <c r="F350" s="18" t="n">
        <v>7.54</v>
      </c>
      <c r="G350" s="18" t="n"/>
      <c r="H350" s="18">
        <f>IF(D350="","",D350*'参数与说明'!$B$6/45.3592)</f>
        <v/>
      </c>
      <c r="I350" s="19">
        <f>IFERROR(IF(D350="","",D350/INDEX($D:$D,MATCH(EDATE($A350,-1),$A:$A,0))-1),"")</f>
        <v/>
      </c>
      <c r="J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6.65</v>
      </c>
      <c r="E351" s="14" t="n"/>
      <c r="F351" s="14" t="n">
        <v>7.61</v>
      </c>
      <c r="G351" s="14" t="n"/>
      <c r="H351" s="14">
        <f>IF(D351="","",D351*'参数与说明'!$B$6/45.3592)</f>
        <v/>
      </c>
      <c r="I351" s="15">
        <f>IFERROR(IF(D351="","",D351/INDEX($D:$D,MATCH(EDATE($A351,-1),$A:$A,0))-1),"")</f>
        <v/>
      </c>
      <c r="J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7.14</v>
      </c>
      <c r="E352" s="18" t="n"/>
      <c r="F352" s="18" t="n">
        <v>7.79</v>
      </c>
      <c r="G352" s="18" t="n"/>
      <c r="H352" s="18">
        <f>IF(D352="","",D352*'参数与说明'!$B$6/45.3592)</f>
        <v/>
      </c>
      <c r="I352" s="19">
        <f>IFERROR(IF(D352="","",D352/INDEX($D:$D,MATCH(EDATE($A352,-1),$A:$A,0))-1),"")</f>
        <v/>
      </c>
      <c r="J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6.7</v>
      </c>
      <c r="E353" s="14" t="n"/>
      <c r="F353" s="14" t="n">
        <v>7.81</v>
      </c>
      <c r="G353" s="14" t="n"/>
      <c r="H353" s="14">
        <f>IF(D353="","",D353*'参数与说明'!$B$6/45.3592)</f>
        <v/>
      </c>
      <c r="I353" s="15">
        <f>IFERROR(IF(D353="","",D353/INDEX($D:$D,MATCH(EDATE($A353,-1),$A:$A,0))-1),"")</f>
        <v/>
      </c>
      <c r="J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6.79</v>
      </c>
      <c r="E354" s="18" t="n"/>
      <c r="F354" s="18" t="n">
        <v>8.109999999999999</v>
      </c>
      <c r="G354" s="18" t="n"/>
      <c r="H354" s="18">
        <f>IF(D354="","",D354*'参数与说明'!$B$6/45.3592)</f>
        <v/>
      </c>
      <c r="I354" s="19">
        <f>IFERROR(IF(D354="","",D354/INDEX($D:$D,MATCH(EDATE($A354,-1),$A:$A,0))-1),"")</f>
        <v/>
      </c>
      <c r="J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6.63</v>
      </c>
      <c r="E355" s="14" t="n"/>
      <c r="F355" s="14" t="n">
        <v>8.07</v>
      </c>
      <c r="G355" s="14" t="n"/>
      <c r="H355" s="14">
        <f>IF(D355="","",D355*'参数与说明'!$B$6/45.3592)</f>
        <v/>
      </c>
      <c r="I355" s="15">
        <f>IFERROR(IF(D355="","",D355/INDEX($D:$D,MATCH(EDATE($A355,-1),$A:$A,0))-1),"")</f>
        <v/>
      </c>
      <c r="J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6.62</v>
      </c>
      <c r="E356" s="18" t="n"/>
      <c r="F356" s="18" t="n">
        <v>8.06</v>
      </c>
      <c r="G356" s="18" t="n"/>
      <c r="H356" s="18">
        <f>IF(D356="","",D356*'参数与说明'!$B$6/45.3592)</f>
        <v/>
      </c>
      <c r="I356" s="19">
        <f>IFERROR(IF(D356="","",D356/INDEX($D:$D,MATCH(EDATE($A356,-1),$A:$A,0))-1),"")</f>
        <v/>
      </c>
      <c r="J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6.67</v>
      </c>
      <c r="E357" s="14" t="n"/>
      <c r="F357" s="14" t="n">
        <v>7.93</v>
      </c>
      <c r="G357" s="14" t="n"/>
      <c r="H357" s="14">
        <f>IF(D357="","",D357*'参数与说明'!$B$6/45.3592)</f>
        <v/>
      </c>
      <c r="I357" s="15">
        <f>IFERROR(IF(D357="","",D357/INDEX($D:$D,MATCH(EDATE($A357,-1),$A:$A,0))-1),"")</f>
        <v/>
      </c>
      <c r="J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>
        <v>8.23</v>
      </c>
      <c r="G358" s="18" t="n"/>
      <c r="H358" s="18">
        <f>IF(D358="","",D358*'参数与说明'!$B$6/45.3592)</f>
        <v/>
      </c>
      <c r="I358" s="19">
        <f>IFERROR(IF(D358="","",D358/INDEX($D:$D,MATCH(EDATE($A358,-1),$A:$A,0))-1),"")</f>
        <v/>
      </c>
      <c r="J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7.12</v>
      </c>
      <c r="E359" s="14" t="n"/>
      <c r="F359" s="14" t="n">
        <v>8.66</v>
      </c>
      <c r="G359" s="14" t="n"/>
      <c r="H359" s="14">
        <f>IF(D359="","",D359*'参数与说明'!$B$6/45.3592)</f>
        <v/>
      </c>
      <c r="I359" s="15">
        <f>IFERROR(IF(D359="","",D359/INDEX($D:$D,MATCH(EDATE($A359,-1),$A:$A,0))-1),"")</f>
        <v/>
      </c>
      <c r="J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7.26</v>
      </c>
      <c r="E360" s="18" t="n"/>
      <c r="F360" s="18" t="n">
        <v>8.640000000000001</v>
      </c>
      <c r="G360" s="18" t="n"/>
      <c r="H360" s="18">
        <f>IF(D360="","",D360*'参数与说明'!$B$6/45.3592)</f>
        <v/>
      </c>
      <c r="I360" s="19">
        <f>IFERROR(IF(D360="","",D360/INDEX($D:$D,MATCH(EDATE($A360,-1),$A:$A,0))-1),"")</f>
        <v/>
      </c>
      <c r="J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7.35</v>
      </c>
      <c r="E361" s="14" t="n"/>
      <c r="F361" s="14" t="n">
        <v>8.35</v>
      </c>
      <c r="G361" s="14" t="n"/>
      <c r="H361" s="14">
        <f>IF(D361="","",D361*'参数与说明'!$B$6/45.3592)</f>
        <v/>
      </c>
      <c r="I361" s="15">
        <f>IFERROR(IF(D361="","",D361/INDEX($D:$D,MATCH(EDATE($A361,-1),$A:$A,0))-1),"")</f>
        <v/>
      </c>
      <c r="J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7.33</v>
      </c>
      <c r="E362" s="18" t="n"/>
      <c r="F362" s="18" t="n">
        <v>8.24</v>
      </c>
      <c r="G362" s="18" t="n"/>
      <c r="H362" s="18">
        <f>IF(D362="","",D362*'参数与说明'!$B$6/45.3592)</f>
        <v/>
      </c>
      <c r="I362" s="19">
        <f>IFERROR(IF(D362="","",D362/INDEX($D:$D,MATCH(EDATE($A362,-1),$A:$A,0))-1),"")</f>
        <v/>
      </c>
      <c r="J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7.05</v>
      </c>
      <c r="E363" s="14" t="n"/>
      <c r="F363" s="14" t="n">
        <v>7.98</v>
      </c>
      <c r="G363" s="14" t="n"/>
      <c r="H363" s="14">
        <f>IF(D363="","",D363*'参数与说明'!$B$6/45.3592)</f>
        <v/>
      </c>
      <c r="I363" s="15">
        <f>IFERROR(IF(D363="","",D363/INDEX($D:$D,MATCH(EDATE($A363,-1),$A:$A,0))-1),"")</f>
        <v/>
      </c>
      <c r="J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6.91</v>
      </c>
      <c r="E364" s="18" t="n"/>
      <c r="F364" s="18" t="n">
        <v>8.06</v>
      </c>
      <c r="G364" s="18" t="n"/>
      <c r="H364" s="18">
        <f>IF(D364="","",D364*'参数与说明'!$B$6/45.3592)</f>
        <v/>
      </c>
      <c r="I364" s="19">
        <f>IFERROR(IF(D364="","",D364/INDEX($D:$D,MATCH(EDATE($A364,-1),$A:$A,0))-1),"")</f>
        <v/>
      </c>
      <c r="J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6.74</v>
      </c>
      <c r="E365" s="14" t="n"/>
      <c r="F365" s="14" t="n">
        <v>8.08</v>
      </c>
      <c r="G365" s="14" t="n"/>
      <c r="H365" s="14">
        <f>IF(D365="","",D365*'参数与说明'!$B$6/45.3592)</f>
        <v/>
      </c>
      <c r="I365" s="15">
        <f>IFERROR(IF(D365="","",D365/INDEX($D:$D,MATCH(EDATE($A365,-1),$A:$A,0))-1),"")</f>
        <v/>
      </c>
      <c r="J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7.36</v>
      </c>
      <c r="E366" s="18" t="n"/>
      <c r="F366" s="18" t="n">
        <v>8.81</v>
      </c>
      <c r="G366" s="18" t="n"/>
      <c r="H366" s="18">
        <f>IF(D366="","",D366*'参数与说明'!$B$6/45.3592)</f>
        <v/>
      </c>
      <c r="I366" s="19">
        <f>IFERROR(IF(D366="","",D366/INDEX($D:$D,MATCH(EDATE($A366,-1),$A:$A,0))-1),"")</f>
        <v/>
      </c>
      <c r="J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7.25</v>
      </c>
      <c r="E367" s="14" t="n"/>
      <c r="F367" s="14" t="n">
        <v>8.800000000000001</v>
      </c>
      <c r="G367" s="14" t="n"/>
      <c r="H367" s="14">
        <f>IF(D367="","",D367*'参数与说明'!$B$6/45.3592)</f>
        <v/>
      </c>
      <c r="I367" s="15">
        <f>IFERROR(IF(D367="","",D367/INDEX($D:$D,MATCH(EDATE($A367,-1),$A:$A,0))-1),"")</f>
        <v/>
      </c>
      <c r="J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7.14</v>
      </c>
      <c r="E368" s="18" t="n"/>
      <c r="F368" s="18" t="n">
        <v>8.59</v>
      </c>
      <c r="G368" s="18" t="n"/>
      <c r="H368" s="18">
        <f>IF(D368="","",D368*'参数与说明'!$B$6/45.3592)</f>
        <v/>
      </c>
      <c r="I368" s="19">
        <f>IFERROR(IF(D368="","",D368/INDEX($D:$D,MATCH(EDATE($A368,-1),$A:$A,0))-1),"")</f>
        <v/>
      </c>
      <c r="J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7.11</v>
      </c>
      <c r="E369" s="14" t="n"/>
      <c r="F369" s="14" t="n">
        <v>8.4</v>
      </c>
      <c r="G369" s="14" t="n"/>
      <c r="H369" s="14">
        <f>IF(D369="","",D369*'参数与说明'!$B$6/45.3592)</f>
        <v/>
      </c>
      <c r="I369" s="15">
        <f>IFERROR(IF(D369="","",D369/INDEX($D:$D,MATCH(EDATE($A369,-1),$A:$A,0))-1),"")</f>
        <v/>
      </c>
      <c r="J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7.19</v>
      </c>
      <c r="E370" s="18" t="n"/>
      <c r="F370" s="18" t="n">
        <v>8.91</v>
      </c>
      <c r="G370" s="18" t="n"/>
      <c r="H370" s="18">
        <f>IF(D370="","",D370*'参数与说明'!$B$6/45.3592)</f>
        <v/>
      </c>
      <c r="I370" s="19">
        <f>IFERROR(IF(D370="","",D370/INDEX($D:$D,MATCH(EDATE($A370,-1),$A:$A,0))-1),"")</f>
        <v/>
      </c>
      <c r="J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7.03</v>
      </c>
      <c r="E371" s="14" t="n"/>
      <c r="F371" s="14" t="n">
        <v>8.77</v>
      </c>
      <c r="G371" s="14" t="n"/>
      <c r="H371" s="14">
        <f>IF(D371="","",D371*'参数与说明'!$B$6/45.3592)</f>
        <v/>
      </c>
      <c r="I371" s="15">
        <f>IFERROR(IF(D371="","",D371/INDEX($D:$D,MATCH(EDATE($A371,-1),$A:$A,0))-1),"")</f>
        <v/>
      </c>
      <c r="J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7.16</v>
      </c>
      <c r="E372" s="18" t="n"/>
      <c r="F372" s="18" t="n">
        <v>8.82</v>
      </c>
      <c r="G372" s="18" t="n"/>
      <c r="H372" s="18">
        <f>IF(D372="","",D372*'参数与说明'!$B$6/45.3592)</f>
        <v/>
      </c>
      <c r="I372" s="19">
        <f>IFERROR(IF(D372="","",D372/INDEX($D:$D,MATCH(EDATE($A372,-1),$A:$A,0))-1),"")</f>
        <v/>
      </c>
      <c r="J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7.32</v>
      </c>
      <c r="E373" s="14" t="n"/>
      <c r="F373" s="14" t="n">
        <v>8.65</v>
      </c>
      <c r="G373" s="14" t="n"/>
      <c r="H373" s="14">
        <f>IF(D373="","",D373*'参数与说明'!$B$6/45.3592)</f>
        <v/>
      </c>
      <c r="I373" s="15">
        <f>IFERROR(IF(D373="","",D373/INDEX($D:$D,MATCH(EDATE($A373,-1),$A:$A,0))-1),"")</f>
        <v/>
      </c>
      <c r="J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7.51</v>
      </c>
      <c r="E374" s="18" t="n"/>
      <c r="F374" s="18" t="n">
        <v>8.93</v>
      </c>
      <c r="G374" s="18" t="n"/>
      <c r="H374" s="18">
        <f>IF(D374="","",D374*'参数与说明'!$B$6/45.3592)</f>
        <v/>
      </c>
      <c r="I374" s="19">
        <f>IFERROR(IF(D374="","",D374/INDEX($D:$D,MATCH(EDATE($A374,-1),$A:$A,0))-1),"")</f>
        <v/>
      </c>
      <c r="J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7.28</v>
      </c>
      <c r="E375" s="14" t="n"/>
      <c r="F375" s="14" t="n">
        <v>8.51</v>
      </c>
      <c r="G375" s="14" t="n"/>
      <c r="H375" s="14">
        <f>IF(D375="","",D375*'参数与说明'!$B$6/45.3592)</f>
        <v/>
      </c>
      <c r="I375" s="15">
        <f>IFERROR(IF(D375="","",D375/INDEX($D:$D,MATCH(EDATE($A375,-1),$A:$A,0))-1),"")</f>
        <v/>
      </c>
      <c r="J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7.48</v>
      </c>
      <c r="E376" s="18" t="n"/>
      <c r="F376" s="18" t="n">
        <v>8.619999999999999</v>
      </c>
      <c r="G376" s="18" t="n"/>
      <c r="H376" s="18">
        <f>IF(D376="","",D376*'参数与说明'!$B$6/45.3592)</f>
        <v/>
      </c>
      <c r="I376" s="19">
        <f>IFERROR(IF(D376="","",D376/INDEX($D:$D,MATCH(EDATE($A376,-1),$A:$A,0))-1),"")</f>
        <v/>
      </c>
      <c r="J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7.51</v>
      </c>
      <c r="E377" s="14" t="n"/>
      <c r="F377" s="14" t="n">
        <v>8.609999999999999</v>
      </c>
      <c r="G377" s="14" t="n"/>
      <c r="H377" s="14">
        <f>IF(D377="","",D377*'参数与说明'!$B$6/45.3592)</f>
        <v/>
      </c>
      <c r="I377" s="15">
        <f>IFERROR(IF(D377="","",D377/INDEX($D:$D,MATCH(EDATE($A377,-1),$A:$A,0))-1),"")</f>
        <v/>
      </c>
      <c r="J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7.77</v>
      </c>
      <c r="E378" s="18" t="n"/>
      <c r="F378" s="18" t="n">
        <v>9.07</v>
      </c>
      <c r="G378" s="18" t="n"/>
      <c r="H378" s="18">
        <f>IF(D378="","",D378*'参数与说明'!$B$6/45.3592)</f>
        <v/>
      </c>
      <c r="I378" s="19">
        <f>IFERROR(IF(D378="","",D378/INDEX($D:$D,MATCH(EDATE($A378,-1),$A:$A,0))-1),"")</f>
        <v/>
      </c>
      <c r="J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7.78</v>
      </c>
      <c r="E379" s="14" t="n"/>
      <c r="F379" s="14" t="n">
        <v>9.119999999999999</v>
      </c>
      <c r="G379" s="14" t="n"/>
      <c r="H379" s="14">
        <f>IF(D379="","",D379*'参数与说明'!$B$6/45.3592)</f>
        <v/>
      </c>
      <c r="I379" s="15">
        <f>IFERROR(IF(D379="","",D379/INDEX($D:$D,MATCH(EDATE($A379,-1),$A:$A,0))-1),"")</f>
        <v/>
      </c>
      <c r="J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7.88</v>
      </c>
      <c r="E380" s="18" t="n"/>
      <c r="F380" s="18" t="n">
        <v>9.109999999999999</v>
      </c>
      <c r="G380" s="18" t="n"/>
      <c r="H380" s="18">
        <f>IF(D380="","",D380*'参数与说明'!$B$6/45.3592)</f>
        <v/>
      </c>
      <c r="I380" s="19">
        <f>IFERROR(IF(D380="","",D380/INDEX($D:$D,MATCH(EDATE($A380,-1),$A:$A,0))-1),"")</f>
        <v/>
      </c>
      <c r="J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7.84</v>
      </c>
      <c r="E381" s="14" t="n"/>
      <c r="F381" s="14" t="n">
        <v>9.07</v>
      </c>
      <c r="G381" s="14" t="n"/>
      <c r="H381" s="14">
        <f>IF(D381="","",D381*'参数与说明'!$B$6/45.3592)</f>
        <v/>
      </c>
      <c r="I381" s="15">
        <f>IFERROR(IF(D381="","",D381/INDEX($D:$D,MATCH(EDATE($A381,-1),$A:$A,0))-1),"")</f>
        <v/>
      </c>
      <c r="J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8.369999999999999</v>
      </c>
      <c r="E382" s="18" t="n"/>
      <c r="F382" s="18" t="n">
        <v>9.710000000000001</v>
      </c>
      <c r="G382" s="18" t="n"/>
      <c r="H382" s="18">
        <f>IF(D382="","",D382*'参数与说明'!$B$6/45.3592)</f>
        <v/>
      </c>
      <c r="I382" s="19">
        <f>IFERROR(IF(D382="","",D382/INDEX($D:$D,MATCH(EDATE($A382,-1),$A:$A,0))-1),"")</f>
        <v/>
      </c>
      <c r="J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8.31</v>
      </c>
      <c r="E383" s="14" t="n"/>
      <c r="F383" s="14" t="n">
        <v>10.1</v>
      </c>
      <c r="G383" s="14" t="n"/>
      <c r="H383" s="14">
        <f>IF(D383="","",D383*'参数与说明'!$B$6/45.3592)</f>
        <v/>
      </c>
      <c r="I383" s="15">
        <f>IFERROR(IF(D383="","",D383/INDEX($D:$D,MATCH(EDATE($A383,-1),$A:$A,0))-1),"")</f>
        <v/>
      </c>
      <c r="J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8.27</v>
      </c>
      <c r="E384" s="18" t="n"/>
      <c r="F384" s="18" t="n">
        <v>9.779999999999999</v>
      </c>
      <c r="G384" s="18" t="n"/>
      <c r="H384" s="18">
        <f>IF(D384="","",D384*'参数与说明'!$B$6/45.3592)</f>
        <v/>
      </c>
      <c r="I384" s="19">
        <f>IFERROR(IF(D384="","",D384/INDEX($D:$D,MATCH(EDATE($A384,-1),$A:$A,0))-1),"")</f>
        <v/>
      </c>
      <c r="J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8.550000000000001</v>
      </c>
      <c r="E385" s="14" t="n"/>
      <c r="F385" s="14" t="n">
        <v>9.859999999999999</v>
      </c>
      <c r="G385" s="14" t="n"/>
      <c r="H385" s="14">
        <f>IF(D385="","",D385*'参数与说明'!$B$6/45.3592)</f>
        <v/>
      </c>
      <c r="I385" s="15">
        <f>IFERROR(IF(D385="","",D385/INDEX($D:$D,MATCH(EDATE($A385,-1),$A:$A,0))-1),"")</f>
        <v/>
      </c>
      <c r="J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8.51</v>
      </c>
      <c r="E386" s="18" t="n"/>
      <c r="F386" s="18" t="n">
        <v>9.91</v>
      </c>
      <c r="G386" s="18" t="n"/>
      <c r="H386" s="18">
        <f>IF(D386="","",D386*'参数与说明'!$B$6/45.3592)</f>
        <v/>
      </c>
      <c r="I386" s="19">
        <f>IFERROR(IF(D386="","",D386/INDEX($D:$D,MATCH(EDATE($A386,-1),$A:$A,0))-1),"")</f>
        <v/>
      </c>
      <c r="J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8.609999999999999</v>
      </c>
      <c r="E387" s="14" t="n"/>
      <c r="F387" s="14" t="n">
        <v>9.91</v>
      </c>
      <c r="G387" s="14" t="n"/>
      <c r="H387" s="14">
        <f>IF(D387="","",D387*'参数与说明'!$B$6/45.3592)</f>
        <v/>
      </c>
      <c r="I387" s="15">
        <f>IFERROR(IF(D387="","",D387/INDEX($D:$D,MATCH(EDATE($A387,-1),$A:$A,0))-1),"")</f>
        <v/>
      </c>
      <c r="J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8.73</v>
      </c>
      <c r="E388" s="18" t="n"/>
      <c r="F388" s="18" t="n">
        <v>10.2</v>
      </c>
      <c r="G388" s="18" t="n"/>
      <c r="H388" s="18">
        <f>IF(D388="","",D388*'参数与说明'!$B$6/45.3592)</f>
        <v/>
      </c>
      <c r="I388" s="19">
        <f>IFERROR(IF(D388="","",D388/INDEX($D:$D,MATCH(EDATE($A388,-1),$A:$A,0))-1),"")</f>
        <v/>
      </c>
      <c r="J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9.039999999999999</v>
      </c>
      <c r="E389" s="14" t="n"/>
      <c r="F389" s="14" t="n">
        <v>10.5</v>
      </c>
      <c r="G389" s="14" t="n"/>
      <c r="H389" s="14">
        <f>IF(D389="","",D389*'参数与说明'!$B$6/45.3592)</f>
        <v/>
      </c>
      <c r="I389" s="15">
        <f>IFERROR(IF(D389="","",D389/INDEX($D:$D,MATCH(EDATE($A389,-1),$A:$A,0))-1),"")</f>
        <v/>
      </c>
      <c r="J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9.32</v>
      </c>
      <c r="E390" s="18" t="n"/>
      <c r="F390" s="18" t="n">
        <v>11.2</v>
      </c>
      <c r="G390" s="18" t="n"/>
      <c r="H390" s="18">
        <f>IF(D390="","",D390*'参数与说明'!$B$6/45.3592)</f>
        <v/>
      </c>
      <c r="I390" s="19">
        <f>IFERROR(IF(D390="","",D390/INDEX($D:$D,MATCH(EDATE($A390,-1),$A:$A,0))-1),"")</f>
        <v/>
      </c>
      <c r="J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9.140000000000001</v>
      </c>
      <c r="E391" s="14" t="n"/>
      <c r="F391" s="14" t="n">
        <v>11.1</v>
      </c>
      <c r="G391" s="14" t="n"/>
      <c r="H391" s="14">
        <f>IF(D391="","",D391*'参数与说明'!$B$6/45.3592)</f>
        <v/>
      </c>
      <c r="I391" s="15">
        <f>IFERROR(IF(D391="","",D391/INDEX($D:$D,MATCH(EDATE($A391,-1),$A:$A,0))-1),"")</f>
        <v/>
      </c>
      <c r="J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8.82</v>
      </c>
      <c r="E392" s="18" t="n"/>
      <c r="F392" s="18" t="n">
        <v>10.7</v>
      </c>
      <c r="G392" s="18" t="n"/>
      <c r="H392" s="18">
        <f>IF(D392="","",D392*'参数与说明'!$B$6/45.3592)</f>
        <v/>
      </c>
      <c r="I392" s="19">
        <f>IFERROR(IF(D392="","",D392/INDEX($D:$D,MATCH(EDATE($A392,-1),$A:$A,0))-1),"")</f>
        <v/>
      </c>
      <c r="J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9.34</v>
      </c>
      <c r="E393" s="14" t="n"/>
      <c r="F393" s="14" t="n">
        <v>11.2</v>
      </c>
      <c r="G393" s="14" t="n"/>
      <c r="H393" s="14">
        <f>IF(D393="","",D393*'参数与说明'!$B$6/45.3592)</f>
        <v/>
      </c>
      <c r="I393" s="15">
        <f>IFERROR(IF(D393="","",D393/INDEX($D:$D,MATCH(EDATE($A393,-1),$A:$A,0))-1),"")</f>
        <v/>
      </c>
      <c r="J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9.720000000000001</v>
      </c>
      <c r="E394" s="18" t="n"/>
      <c r="F394" s="18" t="n">
        <v>12</v>
      </c>
      <c r="G394" s="18" t="n"/>
      <c r="H394" s="18">
        <f>IF(D394="","",D394*'参数与说明'!$B$6/45.3592)</f>
        <v/>
      </c>
      <c r="I394" s="19">
        <f>IFERROR(IF(D394="","",D394/INDEX($D:$D,MATCH(EDATE($A394,-1),$A:$A,0))-1),"")</f>
        <v/>
      </c>
      <c r="J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9.890000000000001</v>
      </c>
      <c r="E395" s="14" t="n"/>
      <c r="F395" s="14" t="n">
        <v>11.8</v>
      </c>
      <c r="G395" s="14" t="n"/>
      <c r="H395" s="14">
        <f>IF(D395="","",D395*'参数与说明'!$B$6/45.3592)</f>
        <v/>
      </c>
      <c r="I395" s="15">
        <f>IFERROR(IF(D395="","",D395/INDEX($D:$D,MATCH(EDATE($A395,-1),$A:$A,0))-1),"")</f>
        <v/>
      </c>
      <c r="J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10.1</v>
      </c>
      <c r="E396" s="18" t="n"/>
      <c r="F396" s="18" t="n">
        <v>12.1</v>
      </c>
      <c r="G396" s="18" t="n"/>
      <c r="H396" s="18">
        <f>IF(D396="","",D396*'参数与说明'!$B$6/45.3592)</f>
        <v/>
      </c>
      <c r="I396" s="19">
        <f>IFERROR(IF(D396="","",D396/INDEX($D:$D,MATCH(EDATE($A396,-1),$A:$A,0))-1),"")</f>
        <v/>
      </c>
      <c r="J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10.5</v>
      </c>
      <c r="E397" s="14" t="n"/>
      <c r="F397" s="14" t="n">
        <v>12.2</v>
      </c>
      <c r="G397" s="14" t="n"/>
      <c r="H397" s="14">
        <f>IF(D397="","",D397*'参数与说明'!$B$6/45.3592)</f>
        <v/>
      </c>
      <c r="I397" s="15">
        <f>IFERROR(IF(D397="","",D397/INDEX($D:$D,MATCH(EDATE($A397,-1),$A:$A,0))-1),"")</f>
        <v/>
      </c>
      <c r="J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10.6</v>
      </c>
      <c r="E398" s="18" t="n"/>
      <c r="F398" s="18" t="n">
        <v>12.4</v>
      </c>
      <c r="G398" s="18" t="n"/>
      <c r="H398" s="18">
        <f>IF(D398="","",D398*'参数与说明'!$B$6/45.3592)</f>
        <v/>
      </c>
      <c r="I398" s="19">
        <f>IFERROR(IF(D398="","",D398/INDEX($D:$D,MATCH(EDATE($A398,-1),$A:$A,0))-1),"")</f>
        <v/>
      </c>
      <c r="J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10.7</v>
      </c>
      <c r="E399" s="14" t="n"/>
      <c r="F399" s="14" t="n">
        <v>12.3</v>
      </c>
      <c r="G399" s="14" t="n"/>
      <c r="H399" s="14">
        <f>IF(D399="","",D399*'参数与说明'!$B$6/45.3592)</f>
        <v/>
      </c>
      <c r="I399" s="15">
        <f>IFERROR(IF(D399="","",D399/INDEX($D:$D,MATCH(EDATE($A399,-1),$A:$A,0))-1),"")</f>
        <v/>
      </c>
      <c r="J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10.7</v>
      </c>
      <c r="E400" s="18" t="n"/>
      <c r="F400" s="18" t="n">
        <v>12.4</v>
      </c>
      <c r="G400" s="18" t="n"/>
      <c r="H400" s="18">
        <f>IF(D400="","",D400*'参数与说明'!$B$6/45.3592)</f>
        <v/>
      </c>
      <c r="I400" s="19">
        <f>IFERROR(IF(D400="","",D400/INDEX($D:$D,MATCH(EDATE($A400,-1),$A:$A,0))-1),"")</f>
        <v/>
      </c>
      <c r="J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11.1</v>
      </c>
      <c r="E401" s="14" t="n"/>
      <c r="F401" s="14" t="n">
        <v>12.7</v>
      </c>
      <c r="G401" s="14" t="n"/>
      <c r="H401" s="14">
        <f>IF(D401="","",D401*'参数与说明'!$B$6/45.3592)</f>
        <v/>
      </c>
      <c r="I401" s="15">
        <f>IFERROR(IF(D401="","",D401/INDEX($D:$D,MATCH(EDATE($A401,-1),$A:$A,0))-1),"")</f>
        <v/>
      </c>
      <c r="J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11</v>
      </c>
      <c r="E402" s="18" t="n"/>
      <c r="F402" s="18" t="n">
        <v>12.8</v>
      </c>
      <c r="G402" s="18" t="n"/>
      <c r="H402" s="18">
        <f>IF(D402="","",D402*'参数与说明'!$B$6/45.3592)</f>
        <v/>
      </c>
      <c r="I402" s="19">
        <f>IFERROR(IF(D402="","",D402/INDEX($D:$D,MATCH(EDATE($A402,-1),$A:$A,0))-1),"")</f>
        <v/>
      </c>
      <c r="J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11</v>
      </c>
      <c r="E403" s="14" t="n"/>
      <c r="F403" s="14" t="n">
        <v>12.8</v>
      </c>
      <c r="G403" s="14" t="n"/>
      <c r="H403" s="14">
        <f>IF(D403="","",D403*'参数与说明'!$B$6/45.3592)</f>
        <v/>
      </c>
      <c r="I403" s="15">
        <f>IFERROR(IF(D403="","",D403/INDEX($D:$D,MATCH(EDATE($A403,-1),$A:$A,0))-1),"")</f>
        <v/>
      </c>
      <c r="J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11</v>
      </c>
      <c r="E404" s="18" t="n"/>
      <c r="F404" s="18" t="n">
        <v>12.8</v>
      </c>
      <c r="G404" s="18" t="n"/>
      <c r="H404" s="18">
        <f>IF(D404="","",D404*'参数与说明'!$B$6/45.3592)</f>
        <v/>
      </c>
      <c r="I404" s="19">
        <f>IFERROR(IF(D404="","",D404/INDEX($D:$D,MATCH(EDATE($A404,-1),$A:$A,0))-1),"")</f>
        <v/>
      </c>
      <c r="J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11.2</v>
      </c>
      <c r="E405" s="14" t="n"/>
      <c r="F405" s="14" t="n">
        <v>12.9</v>
      </c>
      <c r="G405" s="14" t="n"/>
      <c r="H405" s="14">
        <f>IF(D405="","",D405*'参数与说明'!$B$6/45.3592)</f>
        <v/>
      </c>
      <c r="I405" s="15">
        <f>IFERROR(IF(D405="","",D405/INDEX($D:$D,MATCH(EDATE($A405,-1),$A:$A,0))-1),"")</f>
        <v/>
      </c>
      <c r="J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11.8</v>
      </c>
      <c r="E406" s="18" t="n"/>
      <c r="F406" s="18" t="n">
        <v>13.5</v>
      </c>
      <c r="G406" s="18" t="n"/>
      <c r="H406" s="18">
        <f>IF(D406="","",D406*'参数与说明'!$B$6/45.3592)</f>
        <v/>
      </c>
      <c r="I406" s="19">
        <f>IFERROR(IF(D406="","",D406/INDEX($D:$D,MATCH(EDATE($A406,-1),$A:$A,0))-1),"")</f>
        <v/>
      </c>
      <c r="J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12.3</v>
      </c>
      <c r="E407" s="14" t="n"/>
      <c r="F407" s="14" t="n">
        <v>14.1</v>
      </c>
      <c r="G407" s="14" t="n"/>
      <c r="H407" s="14">
        <f>IF(D407="","",D407*'参数与说明'!$B$6/45.3592)</f>
        <v/>
      </c>
      <c r="I407" s="15">
        <f>IFERROR(IF(D407="","",D407/INDEX($D:$D,MATCH(EDATE($A407,-1),$A:$A,0))-1),"")</f>
        <v/>
      </c>
      <c r="J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12.8</v>
      </c>
      <c r="E408" s="18" t="n"/>
      <c r="F408" s="18" t="n">
        <v>14.4</v>
      </c>
      <c r="G408" s="18" t="n"/>
      <c r="H408" s="18">
        <f>IF(D408="","",D408*'参数与说明'!$B$6/45.3592)</f>
        <v/>
      </c>
      <c r="I408" s="19">
        <f>IFERROR(IF(D408="","",D408/INDEX($D:$D,MATCH(EDATE($A408,-1),$A:$A,0))-1),"")</f>
        <v/>
      </c>
      <c r="J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13</v>
      </c>
      <c r="E409" s="14" t="n"/>
      <c r="F409" s="14" t="n">
        <v>14.2</v>
      </c>
      <c r="G409" s="14" t="n"/>
      <c r="H409" s="14">
        <f>IF(D409="","",D409*'参数与说明'!$B$6/45.3592)</f>
        <v/>
      </c>
      <c r="I409" s="15">
        <f>IFERROR(IF(D409="","",D409/INDEX($D:$D,MATCH(EDATE($A409,-1),$A:$A,0))-1),"")</f>
        <v/>
      </c>
      <c r="J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12.9</v>
      </c>
      <c r="E410" s="18" t="n"/>
      <c r="F410" s="18" t="n">
        <v>14.3</v>
      </c>
      <c r="G410" s="18" t="n"/>
      <c r="H410" s="18">
        <f>IF(D410="","",D410*'参数与说明'!$B$6/45.3592)</f>
        <v/>
      </c>
      <c r="I410" s="19">
        <f>IFERROR(IF(D410="","",D410/INDEX($D:$D,MATCH(EDATE($A410,-1),$A:$A,0))-1),"")</f>
        <v/>
      </c>
      <c r="J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12.7</v>
      </c>
      <c r="E411" s="14" t="n"/>
      <c r="F411" s="14" t="n">
        <v>14.2</v>
      </c>
      <c r="G411" s="14" t="n"/>
      <c r="H411" s="14">
        <f>IF(D411="","",D411*'参数与说明'!$B$6/45.3592)</f>
        <v/>
      </c>
      <c r="I411" s="15">
        <f>IFERROR(IF(D411="","",D411/INDEX($D:$D,MATCH(EDATE($A411,-1),$A:$A,0))-1),"")</f>
        <v/>
      </c>
      <c r="J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12.4</v>
      </c>
      <c r="E412" s="18" t="n"/>
      <c r="F412" s="18" t="n">
        <v>13.9</v>
      </c>
      <c r="G412" s="18" t="n"/>
      <c r="H412" s="18">
        <f>IF(D412="","",D412*'参数与说明'!$B$6/45.3592)</f>
        <v/>
      </c>
      <c r="I412" s="19">
        <f>IFERROR(IF(D412="","",D412/INDEX($D:$D,MATCH(EDATE($A412,-1),$A:$A,0))-1),"")</f>
        <v/>
      </c>
      <c r="J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12</v>
      </c>
      <c r="E413" s="14" t="n"/>
      <c r="F413" s="14" t="n">
        <v>13.6</v>
      </c>
      <c r="G413" s="14" t="n"/>
      <c r="H413" s="14">
        <f>IF(D413="","",D413*'参数与说明'!$B$6/45.3592)</f>
        <v/>
      </c>
      <c r="I413" s="15">
        <f>IFERROR(IF(D413="","",D413/INDEX($D:$D,MATCH(EDATE($A413,-1),$A:$A,0))-1),"")</f>
        <v/>
      </c>
      <c r="J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11.7</v>
      </c>
      <c r="E414" s="18" t="n"/>
      <c r="F414" s="18" t="n">
        <v>13.4</v>
      </c>
      <c r="G414" s="18" t="n"/>
      <c r="H414" s="18">
        <f>IF(D414="","",D414*'参数与说明'!$B$6/45.3592)</f>
        <v/>
      </c>
      <c r="I414" s="19">
        <f>IFERROR(IF(D414="","",D414/INDEX($D:$D,MATCH(EDATE($A414,-1),$A:$A,0))-1),"")</f>
        <v/>
      </c>
      <c r="J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11.1</v>
      </c>
      <c r="E415" s="14" t="n"/>
      <c r="F415" s="14" t="n">
        <v>13</v>
      </c>
      <c r="G415" s="14" t="n"/>
      <c r="H415" s="14">
        <f>IF(D415="","",D415*'参数与说明'!$B$6/45.3592)</f>
        <v/>
      </c>
      <c r="I415" s="15">
        <f>IFERROR(IF(D415="","",D415/INDEX($D:$D,MATCH(EDATE($A415,-1),$A:$A,0))-1),"")</f>
        <v/>
      </c>
      <c r="J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10.6</v>
      </c>
      <c r="E416" s="18" t="n"/>
      <c r="F416" s="18" t="n">
        <v>12.4</v>
      </c>
      <c r="G416" s="18" t="n"/>
      <c r="H416" s="18">
        <f>IF(D416="","",D416*'参数与说明'!$B$6/45.3592)</f>
        <v/>
      </c>
      <c r="I416" s="19">
        <f>IFERROR(IF(D416="","",D416/INDEX($D:$D,MATCH(EDATE($A416,-1),$A:$A,0))-1),"")</f>
        <v/>
      </c>
      <c r="J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10.9</v>
      </c>
      <c r="E417" s="14" t="n"/>
      <c r="F417" s="14" t="n">
        <v>12.5</v>
      </c>
      <c r="G417" s="14" t="n"/>
      <c r="H417" s="14">
        <f>IF(D417="","",D417*'参数与说明'!$B$6/45.3592)</f>
        <v/>
      </c>
      <c r="I417" s="15">
        <f>IFERROR(IF(D417="","",D417/INDEX($D:$D,MATCH(EDATE($A417,-1),$A:$A,0))-1),"")</f>
        <v/>
      </c>
      <c r="J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11.2</v>
      </c>
      <c r="E418" s="18" t="n"/>
      <c r="F418" s="18" t="n">
        <v>12.7</v>
      </c>
      <c r="G418" s="18" t="n"/>
      <c r="H418" s="18">
        <f>IF(D418="","",D418*'参数与说明'!$B$6/45.3592)</f>
        <v/>
      </c>
      <c r="I418" s="19">
        <f>IFERROR(IF(D418="","",D418/INDEX($D:$D,MATCH(EDATE($A418,-1),$A:$A,0))-1),"")</f>
        <v/>
      </c>
      <c r="J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11.6</v>
      </c>
      <c r="E419" s="14" t="n"/>
      <c r="F419" s="14" t="n">
        <v>13</v>
      </c>
      <c r="G419" s="14" t="n"/>
      <c r="H419" s="14">
        <f>IF(D419="","",D419*'参数与说明'!$B$6/45.3592)</f>
        <v/>
      </c>
      <c r="I419" s="15">
        <f>IFERROR(IF(D419="","",D419/INDEX($D:$D,MATCH(EDATE($A419,-1),$A:$A,0))-1),"")</f>
        <v/>
      </c>
      <c r="J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</v>
      </c>
      <c r="E420" s="18" t="n"/>
      <c r="F420" s="18" t="n">
        <v>13.2</v>
      </c>
      <c r="G420" s="18" t="n"/>
      <c r="H420" s="18">
        <f>IF(D420="","",D420*'参数与说明'!$B$6/45.3592)</f>
        <v/>
      </c>
      <c r="I420" s="19">
        <f>IFERROR(IF(D420="","",D420/INDEX($D:$D,MATCH(EDATE($A420,-1),$A:$A,0))-1),"")</f>
        <v/>
      </c>
      <c r="J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12.1</v>
      </c>
      <c r="E421" s="14" t="n"/>
      <c r="F421" s="14" t="n">
        <v>13.1</v>
      </c>
      <c r="G421" s="14" t="n"/>
      <c r="H421" s="14">
        <f>IF(D421="","",D421*'参数与说明'!$B$6/45.3592)</f>
        <v/>
      </c>
      <c r="I421" s="15">
        <f>IFERROR(IF(D421="","",D421/INDEX($D:$D,MATCH(EDATE($A421,-1),$A:$A,0))-1),"")</f>
        <v/>
      </c>
      <c r="J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</v>
      </c>
      <c r="E422" s="18" t="n"/>
      <c r="F422" s="18" t="n">
        <v>13.2</v>
      </c>
      <c r="G422" s="18" t="n"/>
      <c r="H422" s="18">
        <f>IF(D422="","",D422*'参数与说明'!$B$6/45.3592)</f>
        <v/>
      </c>
      <c r="I422" s="19">
        <f>IFERROR(IF(D422="","",D422/INDEX($D:$D,MATCH(EDATE($A422,-1),$A:$A,0))-1),"")</f>
        <v/>
      </c>
      <c r="J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11.7</v>
      </c>
      <c r="E423" s="14" t="n"/>
      <c r="F423" s="14" t="n">
        <v>13.1</v>
      </c>
      <c r="G423" s="14" t="n"/>
      <c r="H423" s="14">
        <f>IF(D423="","",D423*'参数与说明'!$B$6/45.3592)</f>
        <v/>
      </c>
      <c r="I423" s="15">
        <f>IFERROR(IF(D423="","",D423/INDEX($D:$D,MATCH(EDATE($A423,-1),$A:$A,0))-1),"")</f>
        <v/>
      </c>
      <c r="J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10.9</v>
      </c>
      <c r="E424" s="18" t="n"/>
      <c r="F424" s="18" t="n">
        <v>12.7</v>
      </c>
      <c r="G424" s="18" t="n"/>
      <c r="H424" s="18">
        <f>IF(D424="","",D424*'参数与说明'!$B$6/45.3592)</f>
        <v/>
      </c>
      <c r="I424" s="19">
        <f>IFERROR(IF(D424="","",D424/INDEX($D:$D,MATCH(EDATE($A424,-1),$A:$A,0))-1),"")</f>
        <v/>
      </c>
      <c r="J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10.3</v>
      </c>
      <c r="E425" s="14" t="n"/>
      <c r="F425" s="14" t="n">
        <v>12.4</v>
      </c>
      <c r="G425" s="14" t="n"/>
      <c r="H425" s="14">
        <f>IF(D425="","",D425*'参数与说明'!$B$6/45.3592)</f>
        <v/>
      </c>
      <c r="I425" s="15">
        <f>IFERROR(IF(D425="","",D425/INDEX($D:$D,MATCH(EDATE($A425,-1),$A:$A,0))-1),"")</f>
        <v/>
      </c>
      <c r="J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10.1</v>
      </c>
      <c r="E426" s="18" t="n"/>
      <c r="F426" s="18" t="n">
        <v>12.4</v>
      </c>
      <c r="G426" s="18" t="n"/>
      <c r="H426" s="18">
        <f>IF(D426="","",D426*'参数与说明'!$B$6/45.3592)</f>
        <v/>
      </c>
      <c r="I426" s="19">
        <f>IFERROR(IF(D426="","",D426/INDEX($D:$D,MATCH(EDATE($A426,-1),$A:$A,0))-1),"")</f>
        <v/>
      </c>
      <c r="J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9.710000000000001</v>
      </c>
      <c r="E427" s="14" t="n"/>
      <c r="F427" s="14" t="n">
        <v>12.2</v>
      </c>
      <c r="G427" s="14" t="n"/>
      <c r="H427" s="14">
        <f>IF(D427="","",D427*'参数与说明'!$B$6/45.3592)</f>
        <v/>
      </c>
      <c r="I427" s="15">
        <f>IFERROR(IF(D427="","",D427/INDEX($D:$D,MATCH(EDATE($A427,-1),$A:$A,0))-1),"")</f>
        <v/>
      </c>
      <c r="J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9.789999999999999</v>
      </c>
      <c r="E428" s="18" t="n"/>
      <c r="F428" s="18" t="n">
        <v>12.2</v>
      </c>
      <c r="G428" s="18" t="n"/>
      <c r="H428" s="18">
        <f>IF(D428="","",D428*'参数与说明'!$B$6/45.3592)</f>
        <v/>
      </c>
      <c r="I428" s="19">
        <f>IFERROR(IF(D428="","",D428/INDEX($D:$D,MATCH(EDATE($A428,-1),$A:$A,0))-1),"")</f>
        <v/>
      </c>
      <c r="J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10.1</v>
      </c>
      <c r="E429" s="14" t="n"/>
      <c r="F429" s="14" t="n">
        <v>12.3</v>
      </c>
      <c r="G429" s="14" t="n"/>
      <c r="H429" s="14">
        <f>IF(D429="","",D429*'参数与说明'!$B$6/45.3592)</f>
        <v/>
      </c>
      <c r="I429" s="15">
        <f>IFERROR(IF(D429="","",D429/INDEX($D:$D,MATCH(EDATE($A429,-1),$A:$A,0))-1),"")</f>
        <v/>
      </c>
      <c r="J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11</v>
      </c>
      <c r="E430" s="18" t="n"/>
      <c r="F430" s="18" t="n">
        <v>12.9</v>
      </c>
      <c r="G430" s="18" t="n"/>
      <c r="H430" s="18">
        <f>IF(D430="","",D430*'参数与说明'!$B$6/45.3592)</f>
        <v/>
      </c>
      <c r="I430" s="19">
        <f>IFERROR(IF(D430="","",D430/INDEX($D:$D,MATCH(EDATE($A430,-1),$A:$A,0))-1),"")</f>
        <v/>
      </c>
      <c r="J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11.6</v>
      </c>
      <c r="E431" s="14" t="n"/>
      <c r="F431" s="14" t="n">
        <v>13.2</v>
      </c>
      <c r="G431" s="14" t="n"/>
      <c r="H431" s="14">
        <f>IF(D431="","",D431*'参数与说明'!$B$6/45.3592)</f>
        <v/>
      </c>
      <c r="I431" s="15">
        <f>IFERROR(IF(D431="","",D431/INDEX($D:$D,MATCH(EDATE($A431,-1),$A:$A,0))-1),"")</f>
        <v/>
      </c>
      <c r="J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12.5</v>
      </c>
      <c r="E432" s="18" t="n"/>
      <c r="F432" s="18" t="n">
        <v>13.5</v>
      </c>
      <c r="G432" s="18" t="n"/>
      <c r="H432" s="18">
        <f>IF(D432="","",D432*'参数与说明'!$B$6/45.3592)</f>
        <v/>
      </c>
      <c r="I432" s="19">
        <f>IFERROR(IF(D432="","",D432/INDEX($D:$D,MATCH(EDATE($A432,-1),$A:$A,0))-1),"")</f>
        <v/>
      </c>
      <c r="J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13.1</v>
      </c>
      <c r="E433" s="14" t="n"/>
      <c r="F433" s="14" t="n">
        <v>13.9</v>
      </c>
      <c r="G433" s="14" t="n"/>
      <c r="H433" s="14">
        <f>IF(D433="","",D433*'参数与说明'!$B$6/45.3592)</f>
        <v/>
      </c>
      <c r="I433" s="15">
        <f>IFERROR(IF(D433="","",D433/INDEX($D:$D,MATCH(EDATE($A433,-1),$A:$A,0))-1),"")</f>
        <v/>
      </c>
      <c r="J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13.4</v>
      </c>
      <c r="E434" s="18" t="n"/>
      <c r="F434" s="18" t="n">
        <v>13.8</v>
      </c>
      <c r="G434" s="18" t="n"/>
      <c r="H434" s="18">
        <f>IF(D434="","",D434*'参数与说明'!$B$6/45.3592)</f>
        <v/>
      </c>
      <c r="I434" s="19">
        <f>IFERROR(IF(D434="","",D434/INDEX($D:$D,MATCH(EDATE($A434,-1),$A:$A,0))-1),"")</f>
        <v/>
      </c>
      <c r="J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13.4</v>
      </c>
      <c r="E435" s="14" t="n"/>
      <c r="F435" s="14" t="n">
        <v>13.8</v>
      </c>
      <c r="G435" s="14" t="n"/>
      <c r="H435" s="14">
        <f>IF(D435="","",D435*'参数与说明'!$B$6/45.3592)</f>
        <v/>
      </c>
      <c r="I435" s="15">
        <f>IFERROR(IF(D435="","",D435/INDEX($D:$D,MATCH(EDATE($A435,-1),$A:$A,0))-1),"")</f>
        <v/>
      </c>
      <c r="J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13</v>
      </c>
      <c r="E436" s="18" t="n"/>
      <c r="F436" s="18" t="n">
        <v>13.9</v>
      </c>
      <c r="G436" s="18" t="n"/>
      <c r="H436" s="18">
        <f>IF(D436="","",D436*'参数与说明'!$B$6/45.3592)</f>
        <v/>
      </c>
      <c r="I436" s="19">
        <f>IFERROR(IF(D436="","",D436/INDEX($D:$D,MATCH(EDATE($A436,-1),$A:$A,0))-1),"")</f>
        <v/>
      </c>
      <c r="J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12.4</v>
      </c>
      <c r="E437" s="14" t="n"/>
      <c r="F437" s="14" t="n">
        <v>13.3</v>
      </c>
      <c r="G437" s="14" t="n"/>
      <c r="H437" s="14">
        <f>IF(D437="","",D437*'参数与说明'!$B$6/45.3592)</f>
        <v/>
      </c>
      <c r="I437" s="15">
        <f>IFERROR(IF(D437="","",D437/INDEX($D:$D,MATCH(EDATE($A437,-1),$A:$A,0))-1),"")</f>
        <v/>
      </c>
      <c r="J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11.8</v>
      </c>
      <c r="E438" s="18" t="n"/>
      <c r="F438" s="18" t="n">
        <v>12.9</v>
      </c>
      <c r="G438" s="18" t="n"/>
      <c r="H438" s="18">
        <f>IF(D438="","",D438*'参数与说明'!$B$6/45.3592)</f>
        <v/>
      </c>
      <c r="I438" s="19">
        <f>IFERROR(IF(D438="","",D438/INDEX($D:$D,MATCH(EDATE($A438,-1),$A:$A,0))-1),"")</f>
        <v/>
      </c>
      <c r="J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11.5</v>
      </c>
      <c r="E439" s="14" t="n"/>
      <c r="F439" s="14" t="n">
        <v>12.7</v>
      </c>
      <c r="G439" s="14" t="n"/>
      <c r="H439" s="14">
        <f>IF(D439="","",D439*'参数与说明'!$B$6/45.3592)</f>
        <v/>
      </c>
      <c r="I439" s="15">
        <f>IFERROR(IF(D439="","",D439/INDEX($D:$D,MATCH(EDATE($A439,-1),$A:$A,0))-1),"")</f>
        <v/>
      </c>
      <c r="J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11.3</v>
      </c>
      <c r="E440" s="18" t="n"/>
      <c r="F440" s="18" t="n">
        <v>12.6</v>
      </c>
      <c r="G440" s="18" t="n"/>
      <c r="H440" s="18">
        <f>IF(D440="","",D440*'参数与说明'!$B$6/45.3592)</f>
        <v/>
      </c>
      <c r="I440" s="19">
        <f>IFERROR(IF(D440="","",D440/INDEX($D:$D,MATCH(EDATE($A440,-1),$A:$A,0))-1),"")</f>
        <v/>
      </c>
      <c r="J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11.5</v>
      </c>
      <c r="E441" s="14" t="n"/>
      <c r="F441" s="14" t="n">
        <v>12.6</v>
      </c>
      <c r="G441" s="14" t="n"/>
      <c r="H441" s="14">
        <f>IF(D441="","",D441*'参数与说明'!$B$6/45.3592)</f>
        <v/>
      </c>
      <c r="I441" s="15">
        <f>IFERROR(IF(D441="","",D441/INDEX($D:$D,MATCH(EDATE($A441,-1),$A:$A,0))-1),"")</f>
        <v/>
      </c>
      <c r="J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12</v>
      </c>
      <c r="E442" s="18" t="n"/>
      <c r="F442" s="18" t="n">
        <v>13.3</v>
      </c>
      <c r="G442" s="18" t="n"/>
      <c r="H442" s="18">
        <f>IF(D442="","",D442*'参数与说明'!$B$6/45.3592)</f>
        <v/>
      </c>
      <c r="I442" s="19">
        <f>IFERROR(IF(D442="","",D442/INDEX($D:$D,MATCH(EDATE($A442,-1),$A:$A,0))-1),"")</f>
        <v/>
      </c>
      <c r="J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12.6</v>
      </c>
      <c r="E443" s="14" t="n"/>
      <c r="F443" s="14" t="n">
        <v>13.7</v>
      </c>
      <c r="G443" s="14" t="n"/>
      <c r="H443" s="14">
        <f>IF(D443="","",D443*'参数与说明'!$B$6/45.3592)</f>
        <v/>
      </c>
      <c r="I443" s="15">
        <f>IFERROR(IF(D443="","",D443/INDEX($D:$D,MATCH(EDATE($A443,-1),$A:$A,0))-1),"")</f>
        <v/>
      </c>
      <c r="J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13.1</v>
      </c>
      <c r="E444" s="18" t="n"/>
      <c r="F444" s="18" t="n">
        <v>13.9</v>
      </c>
      <c r="G444" s="18" t="n"/>
      <c r="H444" s="18">
        <f>IF(D444="","",D444*'参数与说明'!$B$6/45.3592)</f>
        <v/>
      </c>
      <c r="I444" s="19">
        <f>IFERROR(IF(D444="","",D444/INDEX($D:$D,MATCH(EDATE($A444,-1),$A:$A,0))-1),"")</f>
        <v/>
      </c>
      <c r="J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13.6</v>
      </c>
      <c r="E445" s="14" t="n"/>
      <c r="F445" s="14" t="n">
        <v>14.3</v>
      </c>
      <c r="G445" s="14" t="n"/>
      <c r="H445" s="14">
        <f>IF(D445="","",D445*'参数与说明'!$B$6/45.3592)</f>
        <v/>
      </c>
      <c r="I445" s="15">
        <f>IFERROR(IF(D445="","",D445/INDEX($D:$D,MATCH(EDATE($A445,-1),$A:$A,0))-1),"")</f>
        <v/>
      </c>
      <c r="J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13.7</v>
      </c>
      <c r="E446" s="18" t="n"/>
      <c r="F446" s="18" t="n">
        <v>14.4</v>
      </c>
      <c r="G446" s="18" t="n"/>
      <c r="H446" s="18">
        <f>IF(D446="","",D446*'参数与说明'!$B$6/45.3592)</f>
        <v/>
      </c>
      <c r="I446" s="19">
        <f>IFERROR(IF(D446="","",D446/INDEX($D:$D,MATCH(EDATE($A446,-1),$A:$A,0))-1),"")</f>
        <v/>
      </c>
      <c r="J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13.8</v>
      </c>
      <c r="E447" s="14" t="n"/>
      <c r="F447" s="14" t="n">
        <v>14.8</v>
      </c>
      <c r="G447" s="14" t="n"/>
      <c r="H447" s="14">
        <f>IF(D447="","",D447*'参数与说明'!$B$6/45.3592)</f>
        <v/>
      </c>
      <c r="I447" s="15">
        <f>IFERROR(IF(D447="","",D447/INDEX($D:$D,MATCH(EDATE($A447,-1),$A:$A,0))-1),"")</f>
        <v/>
      </c>
      <c r="J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15.7</v>
      </c>
      <c r="E448" s="18" t="n"/>
      <c r="F448" s="18" t="n">
        <v>16.3</v>
      </c>
      <c r="G448" s="18" t="n"/>
      <c r="H448" s="18">
        <f>IF(D448="","",D448*'参数与说明'!$B$6/45.3592)</f>
        <v/>
      </c>
      <c r="I448" s="19">
        <f>IFERROR(IF(D448="","",D448/INDEX($D:$D,MATCH(EDATE($A448,-1),$A:$A,0))-1),"")</f>
        <v/>
      </c>
      <c r="J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15.7</v>
      </c>
      <c r="E449" s="14" t="n"/>
      <c r="F449" s="14" t="n">
        <v>15.9</v>
      </c>
      <c r="G449" s="14" t="n"/>
      <c r="H449" s="14">
        <f>IF(D449="","",D449*'参数与说明'!$B$6/45.3592)</f>
        <v/>
      </c>
      <c r="I449" s="15">
        <f>IFERROR(IF(D449="","",D449/INDEX($D:$D,MATCH(EDATE($A449,-1),$A:$A,0))-1),"")</f>
        <v/>
      </c>
      <c r="J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13.8</v>
      </c>
      <c r="E450" s="18" t="n"/>
      <c r="F450" s="18" t="n">
        <v>15.2</v>
      </c>
      <c r="G450" s="18" t="n"/>
      <c r="H450" s="18">
        <f>IF(D450="","",D450*'参数与说明'!$B$6/45.3592)</f>
        <v/>
      </c>
      <c r="I450" s="19">
        <f>IFERROR(IF(D450="","",D450/INDEX($D:$D,MATCH(EDATE($A450,-1),$A:$A,0))-1),"")</f>
        <v/>
      </c>
      <c r="J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16</v>
      </c>
      <c r="E451" s="14" t="n"/>
      <c r="F451" s="14" t="n">
        <v>16.2</v>
      </c>
      <c r="G451" s="14" t="n"/>
      <c r="H451" s="14">
        <f>IF(D451="","",D451*'参数与说明'!$B$6/45.3592)</f>
        <v/>
      </c>
      <c r="I451" s="15">
        <f>IFERROR(IF(D451="","",D451/INDEX($D:$D,MATCH(EDATE($A451,-1),$A:$A,0))-1),"")</f>
        <v/>
      </c>
      <c r="J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16.2</v>
      </c>
      <c r="E452" s="18" t="n"/>
      <c r="F452" s="18" t="n">
        <v>16.7</v>
      </c>
      <c r="G452" s="18" t="n"/>
      <c r="H452" s="18">
        <f>IF(D452="","",D452*'参数与说明'!$B$6/45.3592)</f>
        <v/>
      </c>
      <c r="I452" s="19">
        <f>IFERROR(IF(D452="","",D452/INDEX($D:$D,MATCH(EDATE($A452,-1),$A:$A,0))-1),"")</f>
        <v/>
      </c>
      <c r="J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16.5</v>
      </c>
      <c r="E453" s="14" t="n"/>
      <c r="F453" s="14" t="n">
        <v>17</v>
      </c>
      <c r="G453" s="14" t="n"/>
      <c r="H453" s="14">
        <f>IF(D453="","",D453*'参数与说明'!$B$6/45.3592)</f>
        <v/>
      </c>
      <c r="I453" s="15">
        <f>IFERROR(IF(D453="","",D453/INDEX($D:$D,MATCH(EDATE($A453,-1),$A:$A,0))-1),"")</f>
        <v/>
      </c>
      <c r="J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16.7</v>
      </c>
      <c r="E454" s="18" t="n"/>
      <c r="F454" s="18" t="n">
        <v>18</v>
      </c>
      <c r="G454" s="18" t="n"/>
      <c r="H454" s="18">
        <f>IF(D454="","",D454*'参数与说明'!$B$6/45.3592)</f>
        <v/>
      </c>
      <c r="I454" s="19">
        <f>IFERROR(IF(D454="","",D454/INDEX($D:$D,MATCH(EDATE($A454,-1),$A:$A,0))-1),"")</f>
        <v/>
      </c>
      <c r="J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17</v>
      </c>
      <c r="E455" s="14" t="n"/>
      <c r="F455" s="14" t="n">
        <v>19</v>
      </c>
      <c r="G455" s="14" t="n"/>
      <c r="H455" s="14">
        <f>IF(D455="","",D455*'参数与说明'!$B$6/45.3592)</f>
        <v/>
      </c>
      <c r="I455" s="15">
        <f>IFERROR(IF(D455="","",D455/INDEX($D:$D,MATCH(EDATE($A455,-1),$A:$A,0))-1),"")</f>
        <v/>
      </c>
      <c r="J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18</v>
      </c>
      <c r="E456" s="18" t="n"/>
      <c r="F456" s="18" t="n">
        <v>19.6</v>
      </c>
      <c r="G456" s="18" t="n"/>
      <c r="H456" s="18">
        <f>IF(D456="","",D456*'参数与说明'!$B$6/45.3592)</f>
        <v/>
      </c>
      <c r="I456" s="19">
        <f>IFERROR(IF(D456="","",D456/INDEX($D:$D,MATCH(EDATE($A456,-1),$A:$A,0))-1),"")</f>
        <v/>
      </c>
      <c r="J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18.3</v>
      </c>
      <c r="E457" s="14" t="n"/>
      <c r="F457" s="14" t="n">
        <v>19.4</v>
      </c>
      <c r="G457" s="14" t="n"/>
      <c r="H457" s="14">
        <f>IF(D457="","",D457*'参数与说明'!$B$6/45.3592)</f>
        <v/>
      </c>
      <c r="I457" s="15">
        <f>IFERROR(IF(D457="","",D457/INDEX($D:$D,MATCH(EDATE($A457,-1),$A:$A,0))-1),"")</f>
        <v/>
      </c>
      <c r="J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18.8</v>
      </c>
      <c r="E458" s="18" t="n"/>
      <c r="F458" s="18" t="n">
        <v>20.2</v>
      </c>
      <c r="G458" s="18" t="n"/>
      <c r="H458" s="18">
        <f>IF(D458="","",D458*'参数与说明'!$B$6/45.3592)</f>
        <v/>
      </c>
      <c r="I458" s="19">
        <f>IFERROR(IF(D458="","",D458/INDEX($D:$D,MATCH(EDATE($A458,-1),$A:$A,0))-1),"")</f>
        <v/>
      </c>
      <c r="J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19.3</v>
      </c>
      <c r="E459" s="14" t="n"/>
      <c r="F459" s="14" t="n">
        <v>20.9</v>
      </c>
      <c r="G459" s="14" t="n"/>
      <c r="H459" s="14">
        <f>IF(D459="","",D459*'参数与说明'!$B$6/45.3592)</f>
        <v/>
      </c>
      <c r="I459" s="15">
        <f>IFERROR(IF(D459="","",D459/INDEX($D:$D,MATCH(EDATE($A459,-1),$A:$A,0))-1),"")</f>
        <v/>
      </c>
      <c r="J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19.5</v>
      </c>
      <c r="E460" s="18" t="n"/>
      <c r="F460" s="18" t="n">
        <v>20.8</v>
      </c>
      <c r="G460" s="18" t="n"/>
      <c r="H460" s="18">
        <f>IF(D460="","",D460*'参数与说明'!$B$6/45.3592)</f>
        <v/>
      </c>
      <c r="I460" s="19">
        <f>IFERROR(IF(D460="","",D460/INDEX($D:$D,MATCH(EDATE($A460,-1),$A:$A,0))-1),"")</f>
        <v/>
      </c>
      <c r="J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19</v>
      </c>
      <c r="E461" s="14" t="n"/>
      <c r="F461" s="14" t="n">
        <v>20.7</v>
      </c>
      <c r="G461" s="14" t="n"/>
      <c r="H461" s="14">
        <f>IF(D461="","",D461*'参数与说明'!$B$6/45.3592)</f>
        <v/>
      </c>
      <c r="I461" s="15">
        <f>IFERROR(IF(D461="","",D461/INDEX($D:$D,MATCH(EDATE($A461,-1),$A:$A,0))-1),"")</f>
        <v/>
      </c>
      <c r="J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19</v>
      </c>
      <c r="E462" s="18" t="n"/>
      <c r="F462" s="18" t="n">
        <v>21.4</v>
      </c>
      <c r="G462" s="18" t="n"/>
      <c r="H462" s="18">
        <f>IF(D462="","",D462*'参数与说明'!$B$6/45.3592)</f>
        <v/>
      </c>
      <c r="I462" s="19">
        <f>IFERROR(IF(D462="","",D462/INDEX($D:$D,MATCH(EDATE($A462,-1),$A:$A,0))-1),"")</f>
        <v/>
      </c>
      <c r="J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18.3</v>
      </c>
      <c r="E463" s="14" t="n"/>
      <c r="F463" s="14" t="n">
        <v>21</v>
      </c>
      <c r="G463" s="14" t="n"/>
      <c r="H463" s="14">
        <f>IF(D463="","",D463*'参数与说明'!$B$6/45.3592)</f>
        <v/>
      </c>
      <c r="I463" s="15">
        <f>IFERROR(IF(D463="","",D463/INDEX($D:$D,MATCH(EDATE($A463,-1),$A:$A,0))-1),"")</f>
        <v/>
      </c>
      <c r="J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18.2</v>
      </c>
      <c r="E464" s="18" t="n"/>
      <c r="F464" s="18" t="n">
        <v>21.1</v>
      </c>
      <c r="G464" s="18" t="n"/>
      <c r="H464" s="18">
        <f>IF(D464="","",D464*'参数与说明'!$B$6/45.3592)</f>
        <v/>
      </c>
      <c r="I464" s="19">
        <f>IFERROR(IF(D464="","",D464/INDEX($D:$D,MATCH(EDATE($A464,-1),$A:$A,0))-1),"")</f>
        <v/>
      </c>
      <c r="J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19.5</v>
      </c>
      <c r="E465" s="14" t="n"/>
      <c r="F465" s="14" t="n">
        <v>21.9</v>
      </c>
      <c r="G465" s="14" t="n"/>
      <c r="H465" s="14">
        <f>IF(D465="","",D465*'参数与说明'!$B$6/45.3592)</f>
        <v/>
      </c>
      <c r="I465" s="15">
        <f>IFERROR(IF(D465="","",D465/INDEX($D:$D,MATCH(EDATE($A465,-1),$A:$A,0))-1),"")</f>
        <v/>
      </c>
      <c r="J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21.3</v>
      </c>
      <c r="E466" s="18" t="n"/>
      <c r="F466" s="18" t="n">
        <v>23.8</v>
      </c>
      <c r="G466" s="18" t="n"/>
      <c r="H466" s="18">
        <f>IF(D466="","",D466*'参数与说明'!$B$6/45.3592)</f>
        <v/>
      </c>
      <c r="I466" s="19">
        <f>IFERROR(IF(D466="","",D466/INDEX($D:$D,MATCH(EDATE($A466,-1),$A:$A,0))-1),"")</f>
        <v/>
      </c>
      <c r="J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20.1</v>
      </c>
      <c r="E467" s="14" t="n"/>
      <c r="F467" s="14" t="n">
        <v>22.5</v>
      </c>
      <c r="G467" s="14" t="n"/>
      <c r="H467" s="14">
        <f>IF(D467="","",D467*'参数与说明'!$B$6/45.3592)</f>
        <v/>
      </c>
      <c r="I467" s="15">
        <f>IFERROR(IF(D467="","",D467/INDEX($D:$D,MATCH(EDATE($A467,-1),$A:$A,0))-1),"")</f>
        <v/>
      </c>
      <c r="J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>
        <v>23.1</v>
      </c>
      <c r="G468" s="18" t="n"/>
      <c r="H468" s="18">
        <f>IF(D468="","",D468*'参数与说明'!$B$6/45.3592)</f>
        <v/>
      </c>
      <c r="I468" s="19">
        <f>IFERROR(IF(D468="","",D468/INDEX($D:$D,MATCH(EDATE($A468,-1),$A:$A,0))-1),"")</f>
        <v/>
      </c>
      <c r="J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22.5</v>
      </c>
      <c r="E469" s="14" t="n"/>
      <c r="F469" s="14" t="n">
        <v>23.9</v>
      </c>
      <c r="G469" s="14" t="n"/>
      <c r="H469" s="14">
        <f>IF(D469="","",D469*'参数与说明'!$B$6/45.3592)</f>
        <v/>
      </c>
      <c r="I469" s="15">
        <f>IFERROR(IF(D469="","",D469/INDEX($D:$D,MATCH(EDATE($A469,-1),$A:$A,0))-1),"")</f>
        <v/>
      </c>
      <c r="J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23.9</v>
      </c>
      <c r="E470" s="18" t="n"/>
      <c r="F470" s="18" t="n">
        <v>25</v>
      </c>
      <c r="G470" s="18" t="n"/>
      <c r="H470" s="18">
        <f>IF(D470="","",D470*'参数与说明'!$B$6/45.3592)</f>
        <v/>
      </c>
      <c r="I470" s="19">
        <f>IFERROR(IF(D470="","",D470/INDEX($D:$D,MATCH(EDATE($A470,-1),$A:$A,0))-1),"")</f>
        <v/>
      </c>
      <c r="J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24.4</v>
      </c>
      <c r="E471" s="14" t="n"/>
      <c r="F471" s="14" t="n">
        <v>25.2</v>
      </c>
      <c r="G471" s="14" t="n"/>
      <c r="H471" s="14">
        <f>IF(D471="","",D471*'参数与说明'!$B$6/45.3592)</f>
        <v/>
      </c>
      <c r="I471" s="15">
        <f>IFERROR(IF(D471="","",D471/INDEX($D:$D,MATCH(EDATE($A471,-1),$A:$A,0))-1),"")</f>
        <v/>
      </c>
      <c r="J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>
        <v>26.4</v>
      </c>
      <c r="G472" s="18" t="n"/>
      <c r="H472" s="18">
        <f>IF(D472="","",D472*'参数与说明'!$B$6/45.3592)</f>
        <v/>
      </c>
      <c r="I472" s="19">
        <f>IFERROR(IF(D472="","",D472/INDEX($D:$D,MATCH(EDATE($A472,-1),$A:$A,0))-1),"")</f>
        <v/>
      </c>
      <c r="J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23.7</v>
      </c>
      <c r="E473" s="14" t="n"/>
      <c r="F473" s="14" t="n">
        <v>25.9</v>
      </c>
      <c r="G473" s="14" t="n"/>
      <c r="H473" s="14">
        <f>IF(D473="","",D473*'参数与说明'!$B$6/45.3592)</f>
        <v/>
      </c>
      <c r="I473" s="15">
        <f>IFERROR(IF(D473="","",D473/INDEX($D:$D,MATCH(EDATE($A473,-1),$A:$A,0))-1),"")</f>
        <v/>
      </c>
      <c r="J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23.3</v>
      </c>
      <c r="E474" s="18" t="n"/>
      <c r="F474" s="18" t="n">
        <v>25.5</v>
      </c>
      <c r="G474" s="18" t="n"/>
      <c r="H474" s="18">
        <f>IF(D474="","",D474*'参数与说明'!$B$6/45.3592)</f>
        <v/>
      </c>
      <c r="I474" s="19">
        <f>IFERROR(IF(D474="","",D474/INDEX($D:$D,MATCH(EDATE($A474,-1),$A:$A,0))-1),"")</f>
        <v/>
      </c>
      <c r="J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21.2</v>
      </c>
      <c r="E475" s="14" t="n"/>
      <c r="F475" s="14" t="n">
        <v>23.8</v>
      </c>
      <c r="G475" s="14" t="n"/>
      <c r="H475" s="14">
        <f>IF(D475="","",D475*'参数与说明'!$B$6/45.3592)</f>
        <v/>
      </c>
      <c r="I475" s="15">
        <f>IFERROR(IF(D475="","",D475/INDEX($D:$D,MATCH(EDATE($A475,-1),$A:$A,0))-1),"")</f>
        <v/>
      </c>
      <c r="J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20.8</v>
      </c>
      <c r="E476" s="18" t="n"/>
      <c r="F476" s="18" t="n">
        <v>23.8</v>
      </c>
      <c r="G476" s="18" t="n"/>
      <c r="H476" s="18">
        <f>IF(D476="","",D476*'参数与说明'!$B$6/45.3592)</f>
        <v/>
      </c>
      <c r="I476" s="19">
        <f>IFERROR(IF(D476="","",D476/INDEX($D:$D,MATCH(EDATE($A476,-1),$A:$A,0))-1),"")</f>
        <v/>
      </c>
      <c r="J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20.4</v>
      </c>
      <c r="E477" s="14" t="n"/>
      <c r="F477" s="14" t="n">
        <v>24.1</v>
      </c>
      <c r="G477" s="14" t="n"/>
      <c r="H477" s="14">
        <f>IF(D477="","",D477*'参数与说明'!$B$6/45.3592)</f>
        <v/>
      </c>
      <c r="I477" s="15">
        <f>IFERROR(IF(D477="","",D477/INDEX($D:$D,MATCH(EDATE($A477,-1),$A:$A,0))-1),"")</f>
        <v/>
      </c>
      <c r="J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20.2</v>
      </c>
      <c r="E478" s="18" t="n"/>
      <c r="F478" s="18" t="n">
        <v>24.7</v>
      </c>
      <c r="G478" s="18" t="n"/>
      <c r="H478" s="18">
        <f>IF(D478="","",D478*'参数与说明'!$B$6/45.3592)</f>
        <v/>
      </c>
      <c r="I478" s="19">
        <f>IFERROR(IF(D478="","",D478/INDEX($D:$D,MATCH(EDATE($A478,-1),$A:$A,0))-1),"")</f>
        <v/>
      </c>
      <c r="J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18.9</v>
      </c>
      <c r="E479" s="14" t="n"/>
      <c r="F479" s="14" t="n">
        <v>23.8</v>
      </c>
      <c r="G479" s="14" t="n"/>
      <c r="H479" s="14">
        <f>IF(D479="","",D479*'参数与说明'!$B$6/45.3592)</f>
        <v/>
      </c>
      <c r="I479" s="15">
        <f>IFERROR(IF(D479="","",D479/INDEX($D:$D,MATCH(EDATE($A479,-1),$A:$A,0))-1),"")</f>
        <v/>
      </c>
      <c r="J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20.7</v>
      </c>
      <c r="E480" s="18" t="n"/>
      <c r="F480" s="18" t="n">
        <v>24.2</v>
      </c>
      <c r="G480" s="18" t="n"/>
      <c r="H480" s="18">
        <f>IF(D480="","",D480*'参数与说明'!$B$6/45.3592)</f>
        <v/>
      </c>
      <c r="I480" s="19">
        <f>IFERROR(IF(D480="","",D480/INDEX($D:$D,MATCH(EDATE($A480,-1),$A:$A,0))-1),"")</f>
        <v/>
      </c>
      <c r="J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21</v>
      </c>
      <c r="E481" s="14" t="n"/>
      <c r="F481" s="14" t="n">
        <v>24.4</v>
      </c>
      <c r="G481" s="14" t="n"/>
      <c r="H481" s="14">
        <f>IF(D481="","",D481*'参数与说明'!$B$6/45.3592)</f>
        <v/>
      </c>
      <c r="I481" s="15">
        <f>IFERROR(IF(D481="","",D481/INDEX($D:$D,MATCH(EDATE($A481,-1),$A:$A,0))-1),"")</f>
        <v/>
      </c>
      <c r="J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21.1</v>
      </c>
      <c r="E482" s="18" t="n"/>
      <c r="F482" s="18" t="n">
        <v>23.7</v>
      </c>
      <c r="G482" s="18" t="n"/>
      <c r="H482" s="18">
        <f>IF(D482="","",D482*'参数与说明'!$B$6/45.3592)</f>
        <v/>
      </c>
      <c r="I482" s="19">
        <f>IFERROR(IF(D482="","",D482/INDEX($D:$D,MATCH(EDATE($A482,-1),$A:$A,0))-1),"")</f>
        <v/>
      </c>
      <c r="J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20.9</v>
      </c>
      <c r="E483" s="14" t="n"/>
      <c r="F483" s="14" t="n">
        <v>23.3</v>
      </c>
      <c r="G483" s="14" t="n"/>
      <c r="H483" s="14">
        <f>IF(D483="","",D483*'参数与说明'!$B$6/45.3592)</f>
        <v/>
      </c>
      <c r="I483" s="15">
        <f>IFERROR(IF(D483="","",D483/INDEX($D:$D,MATCH(EDATE($A483,-1),$A:$A,0))-1),"")</f>
        <v/>
      </c>
      <c r="J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20</v>
      </c>
      <c r="E484" s="18" t="n"/>
      <c r="F484" s="18" t="n">
        <v>22.1</v>
      </c>
      <c r="G484" s="18" t="n"/>
      <c r="H484" s="18">
        <f>IF(D484="","",D484*'参数与说明'!$B$6/45.3592)</f>
        <v/>
      </c>
      <c r="I484" s="19">
        <f>IFERROR(IF(D484="","",D484/INDEX($D:$D,MATCH(EDATE($A484,-1),$A:$A,0))-1),"")</f>
        <v/>
      </c>
      <c r="J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>
        <v>22</v>
      </c>
      <c r="G485" s="14" t="n"/>
      <c r="H485" s="14">
        <f>IF(D485="","",D485*'参数与说明'!$B$6/45.3592)</f>
        <v/>
      </c>
      <c r="I485" s="15">
        <f>IFERROR(IF(D485="","",D485/INDEX($D:$D,MATCH(EDATE($A485,-1),$A:$A,0))-1),"")</f>
        <v/>
      </c>
      <c r="J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19.7</v>
      </c>
      <c r="E486" s="18" t="n"/>
      <c r="F486" s="18" t="n">
        <v>21.9</v>
      </c>
      <c r="G486" s="18" t="n"/>
      <c r="H486" s="18">
        <f>IF(D486="","",D486*'参数与说明'!$B$6/45.3592)</f>
        <v/>
      </c>
      <c r="I486" s="19">
        <f>IFERROR(IF(D486="","",D486/INDEX($D:$D,MATCH(EDATE($A486,-1),$A:$A,0))-1),"")</f>
        <v/>
      </c>
      <c r="J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19.2</v>
      </c>
      <c r="E487" s="14" t="n"/>
      <c r="F487" s="14" t="n">
        <v>21.7</v>
      </c>
      <c r="G487" s="14" t="n"/>
      <c r="H487" s="14">
        <f>IF(D487="","",D487*'参数与说明'!$B$6/45.3592)</f>
        <v/>
      </c>
      <c r="I487" s="15">
        <f>IFERROR(IF(D487="","",D487/INDEX($D:$D,MATCH(EDATE($A487,-1),$A:$A,0))-1),"")</f>
        <v/>
      </c>
      <c r="J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18.9</v>
      </c>
      <c r="E488" s="18" t="n"/>
      <c r="F488" s="18" t="n">
        <v>21.7</v>
      </c>
      <c r="G488" s="18" t="n"/>
      <c r="H488" s="18">
        <f>IF(D488="","",D488*'参数与说明'!$B$6/45.3592)</f>
        <v/>
      </c>
      <c r="I488" s="19">
        <f>IFERROR(IF(D488="","",D488/INDEX($D:$D,MATCH(EDATE($A488,-1),$A:$A,0))-1),"")</f>
        <v/>
      </c>
      <c r="J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19</v>
      </c>
      <c r="E489" s="14" t="n"/>
      <c r="F489" s="14" t="n">
        <v>22</v>
      </c>
      <c r="G489" s="14" t="n"/>
      <c r="H489" s="14">
        <f>IF(D489="","",D489*'参数与说明'!$B$6/45.3592)</f>
        <v/>
      </c>
      <c r="I489" s="15">
        <f>IFERROR(IF(D489="","",D489/INDEX($D:$D,MATCH(EDATE($A489,-1),$A:$A,0))-1),"")</f>
        <v/>
      </c>
      <c r="J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19.7</v>
      </c>
      <c r="E490" s="18" t="n"/>
      <c r="F490" s="18" t="n">
        <v>23.2</v>
      </c>
      <c r="G490" s="18" t="n"/>
      <c r="H490" s="18">
        <f>IF(D490="","",D490*'参数与说明'!$B$6/45.3592)</f>
        <v/>
      </c>
      <c r="I490" s="19">
        <f>IFERROR(IF(D490="","",D490/INDEX($D:$D,MATCH(EDATE($A490,-1),$A:$A,0))-1),"")</f>
        <v/>
      </c>
      <c r="J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20.5</v>
      </c>
      <c r="E491" s="14" t="n"/>
      <c r="F491" s="14" t="n">
        <v>24.2</v>
      </c>
      <c r="G491" s="14" t="n"/>
      <c r="H491" s="14">
        <f>IF(D491="","",D491*'参数与说明'!$B$6/45.3592)</f>
        <v/>
      </c>
      <c r="I491" s="15">
        <f>IFERROR(IF(D491="","",D491/INDEX($D:$D,MATCH(EDATE($A491,-1),$A:$A,0))-1),"")</f>
        <v/>
      </c>
      <c r="J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21.2</v>
      </c>
      <c r="E492" s="18" t="n"/>
      <c r="F492" s="18" t="n">
        <v>24.2</v>
      </c>
      <c r="G492" s="18" t="n"/>
      <c r="H492" s="18">
        <f>IF(D492="","",D492*'参数与说明'!$B$6/45.3592)</f>
        <v/>
      </c>
      <c r="I492" s="19">
        <f>IFERROR(IF(D492="","",D492/INDEX($D:$D,MATCH(EDATE($A492,-1),$A:$A,0))-1),"")</f>
        <v/>
      </c>
      <c r="J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21.9</v>
      </c>
      <c r="E493" s="14" t="n"/>
      <c r="F493" s="14" t="n">
        <v>24.5</v>
      </c>
      <c r="G493" s="14" t="n"/>
      <c r="H493" s="14">
        <f>IF(D493="","",D493*'参数与说明'!$B$6/45.3592)</f>
        <v/>
      </c>
      <c r="I493" s="15">
        <f>IFERROR(IF(D493="","",D493/INDEX($D:$D,MATCH(EDATE($A493,-1),$A:$A,0))-1),"")</f>
        <v/>
      </c>
      <c r="J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23.1</v>
      </c>
      <c r="E494" s="18" t="n"/>
      <c r="F494" s="18" t="n">
        <v>25.6</v>
      </c>
      <c r="G494" s="18" t="n"/>
      <c r="H494" s="18">
        <f>IF(D494="","",D494*'参数与说明'!$B$6/45.3592)</f>
        <v/>
      </c>
      <c r="I494" s="19">
        <f>IFERROR(IF(D494="","",D494/INDEX($D:$D,MATCH(EDATE($A494,-1),$A:$A,0))-1),"")</f>
        <v/>
      </c>
      <c r="J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23.7</v>
      </c>
      <c r="E495" s="14" t="n"/>
      <c r="F495" s="14" t="n">
        <v>25.9</v>
      </c>
      <c r="G495" s="14" t="n"/>
      <c r="H495" s="14">
        <f>IF(D495="","",D495*'参数与说明'!$B$6/45.3592)</f>
        <v/>
      </c>
      <c r="I495" s="15">
        <f>IFERROR(IF(D495="","",D495/INDEX($D:$D,MATCH(EDATE($A495,-1),$A:$A,0))-1),"")</f>
        <v/>
      </c>
      <c r="J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24.4</v>
      </c>
      <c r="E496" s="18" t="n"/>
      <c r="F496" s="18" t="n">
        <v>26.6</v>
      </c>
      <c r="G496" s="18" t="n"/>
      <c r="H496" s="18">
        <f>IF(D496="","",D496*'参数与说明'!$B$6/45.3592)</f>
        <v/>
      </c>
      <c r="I496" s="19">
        <f>IFERROR(IF(D496="","",D496/INDEX($D:$D,MATCH(EDATE($A496,-1),$A:$A,0))-1),"")</f>
        <v/>
      </c>
      <c r="J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24.2</v>
      </c>
      <c r="E497" s="14" t="n"/>
      <c r="F497" s="14" t="n">
        <v>27.4</v>
      </c>
      <c r="G497" s="14" t="n"/>
      <c r="H497" s="14">
        <f>IF(D497="","",D497*'参数与说明'!$B$6/45.3592)</f>
        <v/>
      </c>
      <c r="I497" s="15">
        <f>IFERROR(IF(D497="","",D497/INDEX($D:$D,MATCH(EDATE($A497,-1),$A:$A,0))-1),"")</f>
        <v/>
      </c>
      <c r="J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24.6</v>
      </c>
      <c r="E498" s="18" t="n"/>
      <c r="F498" s="18" t="n">
        <v>27.8</v>
      </c>
      <c r="G498" s="18" t="n"/>
      <c r="H498" s="18">
        <f>IF(D498="","",D498*'参数与说明'!$B$6/45.3592)</f>
        <v/>
      </c>
      <c r="I498" s="19">
        <f>IFERROR(IF(D498="","",D498/INDEX($D:$D,MATCH(EDATE($A498,-1),$A:$A,0))-1),"")</f>
        <v/>
      </c>
      <c r="J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24.2</v>
      </c>
      <c r="E499" s="14" t="n"/>
      <c r="F499" s="14" t="n">
        <v>27.2</v>
      </c>
      <c r="G499" s="14" t="n"/>
      <c r="H499" s="14">
        <f>IF(D499="","",D499*'参数与说明'!$B$6/45.3592)</f>
        <v/>
      </c>
      <c r="I499" s="15">
        <f>IFERROR(IF(D499="","",D499/INDEX($D:$D,MATCH(EDATE($A499,-1),$A:$A,0))-1),"")</f>
        <v/>
      </c>
      <c r="J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24.6</v>
      </c>
      <c r="E500" s="18" t="n"/>
      <c r="F500" s="18" t="n">
        <v>27.6</v>
      </c>
      <c r="G500" s="18" t="n"/>
      <c r="H500" s="18">
        <f>IF(D500="","",D500*'参数与说明'!$B$6/45.3592)</f>
        <v/>
      </c>
      <c r="I500" s="19">
        <f>IFERROR(IF(D500="","",D500/INDEX($D:$D,MATCH(EDATE($A500,-1),$A:$A,0))-1),"")</f>
        <v/>
      </c>
      <c r="J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25.2</v>
      </c>
      <c r="E501" s="14" t="n"/>
      <c r="F501" s="14" t="n">
        <v>28.4</v>
      </c>
      <c r="G501" s="14" t="n"/>
      <c r="H501" s="14">
        <f>IF(D501="","",D501*'参数与说明'!$B$6/45.3592)</f>
        <v/>
      </c>
      <c r="I501" s="15">
        <f>IFERROR(IF(D501="","",D501/INDEX($D:$D,MATCH(EDATE($A501,-1),$A:$A,0))-1),"")</f>
        <v/>
      </c>
      <c r="J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27.1</v>
      </c>
      <c r="E502" s="18" t="n"/>
      <c r="F502" s="18" t="n">
        <v>30.7</v>
      </c>
      <c r="G502" s="18" t="n"/>
      <c r="H502" s="18">
        <f>IF(D502="","",D502*'参数与说明'!$B$6/45.3592)</f>
        <v/>
      </c>
      <c r="I502" s="19">
        <f>IFERROR(IF(D502="","",D502/INDEX($D:$D,MATCH(EDATE($A502,-1),$A:$A,0))-1),"")</f>
        <v/>
      </c>
      <c r="J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19.1</v>
      </c>
      <c r="E503" s="14" t="n"/>
      <c r="F503" s="14" t="n">
        <v>32.8</v>
      </c>
      <c r="G503" s="14" t="n"/>
      <c r="H503" s="14">
        <f>IF(D503="","",D503*'参数与说明'!$B$6/45.3592)</f>
        <v/>
      </c>
      <c r="I503" s="15">
        <f>IFERROR(IF(D503="","",D503/INDEX($D:$D,MATCH(EDATE($A503,-1),$A:$A,0))-1),"")</f>
        <v/>
      </c>
      <c r="J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29.8</v>
      </c>
      <c r="E504" s="18" t="n"/>
      <c r="F504" s="18" t="n">
        <v>33.2</v>
      </c>
      <c r="G504" s="18" t="n"/>
      <c r="H504" s="18">
        <f>IF(D504="","",D504*'参数与说明'!$B$6/45.3592)</f>
        <v/>
      </c>
      <c r="I504" s="19">
        <f>IFERROR(IF(D504="","",D504/INDEX($D:$D,MATCH(EDATE($A504,-1),$A:$A,0))-1),"")</f>
        <v/>
      </c>
      <c r="J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30.3</v>
      </c>
      <c r="E505" s="14" t="n"/>
      <c r="F505" s="14" t="n">
        <v>33.9</v>
      </c>
      <c r="G505" s="14" t="n"/>
      <c r="H505" s="14">
        <f>IF(D505="","",D505*'参数与说明'!$B$6/45.3592)</f>
        <v/>
      </c>
      <c r="I505" s="15">
        <f>IFERROR(IF(D505="","",D505/INDEX($D:$D,MATCH(EDATE($A505,-1),$A:$A,0))-1),"")</f>
        <v/>
      </c>
      <c r="J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29.7</v>
      </c>
      <c r="E506" s="18" t="n"/>
      <c r="F506" s="18" t="n">
        <v>33</v>
      </c>
      <c r="G506" s="18" t="n"/>
      <c r="H506" s="18">
        <f>IF(D506="","",D506*'参数与说明'!$B$6/45.3592)</f>
        <v/>
      </c>
      <c r="I506" s="19">
        <f>IFERROR(IF(D506="","",D506/INDEX($D:$D,MATCH(EDATE($A506,-1),$A:$A,0))-1),"")</f>
        <v/>
      </c>
      <c r="J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29.5</v>
      </c>
      <c r="E507" s="14" t="n"/>
      <c r="F507" s="14" t="n">
        <v>33.2</v>
      </c>
      <c r="G507" s="14" t="n"/>
      <c r="H507" s="14">
        <f>IF(D507="","",D507*'参数与说明'!$B$6/45.3592)</f>
        <v/>
      </c>
      <c r="I507" s="15">
        <f>IFERROR(IF(D507="","",D507/INDEX($D:$D,MATCH(EDATE($A507,-1),$A:$A,0))-1),"")</f>
        <v/>
      </c>
      <c r="J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29</v>
      </c>
      <c r="E508" s="18" t="n"/>
      <c r="F508" s="18" t="n">
        <v>32.2</v>
      </c>
      <c r="G508" s="18" t="n"/>
      <c r="H508" s="18">
        <f>IF(D508="","",D508*'参数与说明'!$B$6/45.3592)</f>
        <v/>
      </c>
      <c r="I508" s="19">
        <f>IFERROR(IF(D508="","",D508/INDEX($D:$D,MATCH(EDATE($A508,-1),$A:$A,0))-1),"")</f>
        <v/>
      </c>
      <c r="J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28.9</v>
      </c>
      <c r="E509" s="14" t="n"/>
      <c r="F509" s="14" t="n">
        <v>31.9</v>
      </c>
      <c r="G509" s="14" t="n"/>
      <c r="H509" s="14">
        <f>IF(D509="","",D509*'参数与说明'!$B$6/45.3592)</f>
        <v/>
      </c>
      <c r="I509" s="15">
        <f>IFERROR(IF(D509="","",D509/INDEX($D:$D,MATCH(EDATE($A509,-1),$A:$A,0))-1),"")</f>
        <v/>
      </c>
      <c r="J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29.2</v>
      </c>
      <c r="E510" s="18" t="n"/>
      <c r="F510" s="18" t="n">
        <v>32.1</v>
      </c>
      <c r="G510" s="18" t="n"/>
      <c r="H510" s="18">
        <f>IF(D510="","",D510*'参数与说明'!$B$6/45.3592)</f>
        <v/>
      </c>
      <c r="I510" s="19">
        <f>IFERROR(IF(D510="","",D510/INDEX($D:$D,MATCH(EDATE($A510,-1),$A:$A,0))-1),"")</f>
        <v/>
      </c>
      <c r="J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28.4</v>
      </c>
      <c r="E511" s="14" t="n"/>
      <c r="F511" s="14" t="n">
        <v>31.8</v>
      </c>
      <c r="G511" s="14" t="n"/>
      <c r="H511" s="14">
        <f>IF(D511="","",D511*'参数与说明'!$B$6/45.3592)</f>
        <v/>
      </c>
      <c r="I511" s="15">
        <f>IFERROR(IF(D511="","",D511/INDEX($D:$D,MATCH(EDATE($A511,-1),$A:$A,0))-1),"")</f>
        <v/>
      </c>
      <c r="J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27.5</v>
      </c>
      <c r="E512" s="18" t="n"/>
      <c r="F512" s="18" t="n">
        <v>30.5</v>
      </c>
      <c r="G512" s="18" t="n"/>
      <c r="H512" s="18">
        <f>IF(D512="","",D512*'参数与说明'!$B$6/45.3592)</f>
        <v/>
      </c>
      <c r="I512" s="19">
        <f>IFERROR(IF(D512="","",D512/INDEX($D:$D,MATCH(EDATE($A512,-1),$A:$A,0))-1),"")</f>
        <v/>
      </c>
      <c r="J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27.3</v>
      </c>
      <c r="E513" s="14" t="n"/>
      <c r="F513" s="14" t="n">
        <v>30.4</v>
      </c>
      <c r="G513" s="14" t="n"/>
      <c r="H513" s="14">
        <f>IF(D513="","",D513*'参数与说明'!$B$6/45.3592)</f>
        <v/>
      </c>
      <c r="I513" s="15">
        <f>IFERROR(IF(D513="","",D513/INDEX($D:$D,MATCH(EDATE($A513,-1),$A:$A,0))-1),"")</f>
        <v/>
      </c>
      <c r="J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27.2</v>
      </c>
      <c r="E514" s="18" t="n"/>
      <c r="F514" s="18" t="n">
        <v>30.9</v>
      </c>
      <c r="G514" s="18" t="n"/>
      <c r="H514" s="18">
        <f>IF(D514="","",D514*'参数与说明'!$B$6/45.3592)</f>
        <v/>
      </c>
      <c r="I514" s="19">
        <f>IFERROR(IF(D514="","",D514/INDEX($D:$D,MATCH(EDATE($A514,-1),$A:$A,0))-1),"")</f>
        <v/>
      </c>
      <c r="J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27.5</v>
      </c>
      <c r="E515" s="14" t="n"/>
      <c r="F515" s="14" t="n">
        <v>31.5</v>
      </c>
      <c r="G515" s="14" t="n"/>
      <c r="H515" s="14">
        <f>IF(D515="","",D515*'参数与说明'!$B$6/45.3592)</f>
        <v/>
      </c>
      <c r="I515" s="15">
        <f>IFERROR(IF(D515="","",D515/INDEX($D:$D,MATCH(EDATE($A515,-1),$A:$A,0))-1),"")</f>
        <v/>
      </c>
      <c r="J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27.5</v>
      </c>
      <c r="E516" s="18" t="n"/>
      <c r="F516" s="18" t="n">
        <v>30.7</v>
      </c>
      <c r="G516" s="18" t="n"/>
      <c r="H516" s="18">
        <f>IF(D516="","",D516*'参数与说明'!$B$6/45.3592)</f>
        <v/>
      </c>
      <c r="I516" s="19">
        <f>IFERROR(IF(D516="","",D516/INDEX($D:$D,MATCH(EDATE($A516,-1),$A:$A,0))-1),"")</f>
        <v/>
      </c>
      <c r="J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27.7</v>
      </c>
      <c r="E517" s="14" t="n"/>
      <c r="F517" s="14" t="n">
        <v>30.7</v>
      </c>
      <c r="G517" s="14" t="n"/>
      <c r="H517" s="14">
        <f>IF(D517="","",D517*'参数与说明'!$B$6/45.3592)</f>
        <v/>
      </c>
      <c r="I517" s="15">
        <f>IFERROR(IF(D517="","",D517/INDEX($D:$D,MATCH(EDATE($A517,-1),$A:$A,0))-1),"")</f>
        <v/>
      </c>
      <c r="J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27.8</v>
      </c>
      <c r="E518" s="18" t="n"/>
      <c r="F518" s="18" t="n">
        <v>30.5</v>
      </c>
      <c r="G518" s="18" t="n"/>
      <c r="H518" s="18">
        <f>IF(D518="","",D518*'参数与说明'!$B$6/45.3592)</f>
        <v/>
      </c>
      <c r="I518" s="19">
        <f>IFERROR(IF(D518="","",D518/INDEX($D:$D,MATCH(EDATE($A518,-1),$A:$A,0))-1),"")</f>
        <v/>
      </c>
      <c r="J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26.2</v>
      </c>
      <c r="E519" s="14" t="n"/>
      <c r="F519" s="14" t="n">
        <v>29.6</v>
      </c>
      <c r="G519" s="14" t="n"/>
      <c r="H519" s="14">
        <f>IF(D519="","",D519*'参数与说明'!$B$6/45.3592)</f>
        <v/>
      </c>
      <c r="I519" s="15">
        <f>IFERROR(IF(D519="","",D519/INDEX($D:$D,MATCH(EDATE($A519,-1),$A:$A,0))-1),"")</f>
        <v/>
      </c>
      <c r="J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25.6</v>
      </c>
      <c r="E520" s="18" t="n"/>
      <c r="F520" s="18" t="n">
        <v>27.8</v>
      </c>
      <c r="G520" s="18" t="n"/>
      <c r="H520" s="18">
        <f>IF(D520="","",D520*'参数与说明'!$B$6/45.3592)</f>
        <v/>
      </c>
      <c r="I520" s="19">
        <f>IFERROR(IF(D520="","",D520/INDEX($D:$D,MATCH(EDATE($A520,-1),$A:$A,0))-1),"")</f>
        <v/>
      </c>
      <c r="J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24.6</v>
      </c>
      <c r="E521" s="14" t="n"/>
      <c r="F521" s="14" t="n">
        <v>26.2</v>
      </c>
      <c r="G521" s="14" t="n"/>
      <c r="H521" s="14">
        <f>IF(D521="","",D521*'参数与说明'!$B$6/45.3592)</f>
        <v/>
      </c>
      <c r="I521" s="15">
        <f>IFERROR(IF(D521="","",D521/INDEX($D:$D,MATCH(EDATE($A521,-1),$A:$A,0))-1),"")</f>
        <v/>
      </c>
      <c r="J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23.2</v>
      </c>
      <c r="E522" s="18" t="n"/>
      <c r="F522" s="18" t="n">
        <v>24.3</v>
      </c>
      <c r="G522" s="18" t="n"/>
      <c r="H522" s="18">
        <f>IF(D522="","",D522*'参数与说明'!$B$6/45.3592)</f>
        <v/>
      </c>
      <c r="I522" s="19">
        <f>IFERROR(IF(D522="","",D522/INDEX($D:$D,MATCH(EDATE($A522,-1),$A:$A,0))-1),"")</f>
        <v/>
      </c>
      <c r="J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21.4</v>
      </c>
      <c r="E523" s="14" t="n"/>
      <c r="F523" s="14" t="n">
        <v>21.8</v>
      </c>
      <c r="G523" s="14" t="n"/>
      <c r="H523" s="14">
        <f>IF(D523="","",D523*'参数与说明'!$B$6/45.3592)</f>
        <v/>
      </c>
      <c r="I523" s="15">
        <f>IFERROR(IF(D523="","",D523/INDEX($D:$D,MATCH(EDATE($A523,-1),$A:$A,0))-1),"")</f>
        <v/>
      </c>
      <c r="J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20.3</v>
      </c>
      <c r="E524" s="18" t="n"/>
      <c r="F524" s="18" t="n">
        <v>21.5</v>
      </c>
      <c r="G524" s="18" t="n"/>
      <c r="H524" s="18">
        <f>IF(D524="","",D524*'参数与说明'!$B$6/45.3592)</f>
        <v/>
      </c>
      <c r="I524" s="19">
        <f>IFERROR(IF(D524="","",D524/INDEX($D:$D,MATCH(EDATE($A524,-1),$A:$A,0))-1),"")</f>
        <v/>
      </c>
      <c r="J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19</v>
      </c>
      <c r="E525" s="14" t="n"/>
      <c r="F525" s="14" t="n">
        <v>20.5</v>
      </c>
      <c r="G525" s="14" t="n"/>
      <c r="H525" s="14">
        <f>IF(D525="","",D525*'参数与说明'!$B$6/45.3592)</f>
        <v/>
      </c>
      <c r="I525" s="15">
        <f>IFERROR(IF(D525="","",D525/INDEX($D:$D,MATCH(EDATE($A525,-1),$A:$A,0))-1),"")</f>
        <v/>
      </c>
      <c r="J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19.1</v>
      </c>
      <c r="E526" s="18" t="n">
        <v>21.9</v>
      </c>
      <c r="F526" s="18" t="n">
        <v>22.1</v>
      </c>
      <c r="G526" s="18" t="n">
        <v>13.7</v>
      </c>
      <c r="H526" s="18">
        <f>IF(D526="","",D526*'参数与说明'!$B$6/45.3592)</f>
        <v/>
      </c>
      <c r="I526" s="19">
        <f>IFERROR(IF(D526="","",D526/INDEX($D:$D,MATCH(EDATE($A526,-1),$A:$A,0))-1),"")</f>
        <v/>
      </c>
      <c r="J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18.5</v>
      </c>
      <c r="E527" s="14" t="n">
        <v>20.7</v>
      </c>
      <c r="F527" s="14" t="n">
        <v>22.1</v>
      </c>
      <c r="G527" s="14" t="n">
        <v>13.5</v>
      </c>
      <c r="H527" s="14">
        <f>IF(D527="","",D527*'参数与说明'!$B$6/45.3592)</f>
        <v/>
      </c>
      <c r="I527" s="15">
        <f>IFERROR(IF(D527="","",D527/INDEX($D:$D,MATCH(EDATE($A527,-1),$A:$A,0))-1),"")</f>
        <v/>
      </c>
      <c r="J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17.7</v>
      </c>
      <c r="E528" s="18" t="n">
        <v>19.6</v>
      </c>
      <c r="F528" s="18" t="n">
        <v>20.1</v>
      </c>
      <c r="G528" s="18" t="n">
        <v>13.1</v>
      </c>
      <c r="H528" s="18">
        <f>IF(D528="","",D528*'参数与说明'!$B$6/45.3592)</f>
        <v/>
      </c>
      <c r="I528" s="19">
        <f>IFERROR(IF(D528="","",D528/INDEX($D:$D,MATCH(EDATE($A528,-1),$A:$A,0))-1),"")</f>
        <v/>
      </c>
      <c r="J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17.3</v>
      </c>
      <c r="E529" s="14" t="n">
        <v>19.1</v>
      </c>
      <c r="F529" s="14" t="n">
        <v>19.3</v>
      </c>
      <c r="G529" s="14" t="n">
        <v>12.5</v>
      </c>
      <c r="H529" s="14">
        <f>IF(D529="","",D529*'参数与说明'!$B$6/45.3592)</f>
        <v/>
      </c>
      <c r="I529" s="15">
        <f>IFERROR(IF(D529="","",D529/INDEX($D:$D,MATCH(EDATE($A529,-1),$A:$A,0))-1),"")</f>
        <v/>
      </c>
      <c r="J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17.5</v>
      </c>
      <c r="E530" s="18" t="n">
        <v>19.3</v>
      </c>
      <c r="F530" s="18" t="n">
        <v>19.4</v>
      </c>
      <c r="G530" s="18" t="n">
        <v>12.4</v>
      </c>
      <c r="H530" s="18">
        <f>IF(D530="","",D530*'参数与说明'!$B$6/45.3592)</f>
        <v/>
      </c>
      <c r="I530" s="19">
        <f>IFERROR(IF(D530="","",D530/INDEX($D:$D,MATCH(EDATE($A530,-1),$A:$A,0))-1),"")</f>
        <v/>
      </c>
      <c r="J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16</v>
      </c>
      <c r="E531" s="14" t="n">
        <v>18.1</v>
      </c>
      <c r="F531" s="14" t="n">
        <v>16.5</v>
      </c>
      <c r="G531" s="14" t="n">
        <v>10.7</v>
      </c>
      <c r="H531" s="14">
        <f>IF(D531="","",D531*'参数与说明'!$B$6/45.3592)</f>
        <v/>
      </c>
      <c r="I531" s="15">
        <f>IFERROR(IF(D531="","",D531/INDEX($D:$D,MATCH(EDATE($A531,-1),$A:$A,0))-1),"")</f>
        <v/>
      </c>
      <c r="J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17.1</v>
      </c>
      <c r="E532" s="18" t="n">
        <v>19.6</v>
      </c>
      <c r="F532" s="18" t="n">
        <v>16.8</v>
      </c>
      <c r="G532" s="18" t="n">
        <v>11.5</v>
      </c>
      <c r="H532" s="18">
        <f>IF(D532="","",D532*'参数与说明'!$B$6/45.3592)</f>
        <v/>
      </c>
      <c r="I532" s="19">
        <f>IFERROR(IF(D532="","",D532/INDEX($D:$D,MATCH(EDATE($A532,-1),$A:$A,0))-1),"")</f>
        <v/>
      </c>
      <c r="J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16.1</v>
      </c>
      <c r="E533" s="14" t="n">
        <v>18.6</v>
      </c>
      <c r="F533" s="14" t="n">
        <v>16.1</v>
      </c>
      <c r="G533" s="14" t="n">
        <v>10.3</v>
      </c>
      <c r="H533" s="14">
        <f>IF(D533="","",D533*'参数与说明'!$B$6/45.3592)</f>
        <v/>
      </c>
      <c r="I533" s="15">
        <f>IFERROR(IF(D533="","",D533/INDEX($D:$D,MATCH(EDATE($A533,-1),$A:$A,0))-1),"")</f>
        <v/>
      </c>
      <c r="J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15.6</v>
      </c>
      <c r="E534" s="18" t="n">
        <v>18.1</v>
      </c>
      <c r="F534" s="18" t="n">
        <v>14.8</v>
      </c>
      <c r="G534" s="18" t="n">
        <v>9.9</v>
      </c>
      <c r="H534" s="18">
        <f>IF(D534="","",D534*'参数与说明'!$B$6/45.3592)</f>
        <v/>
      </c>
      <c r="I534" s="19">
        <f>IFERROR(IF(D534="","",D534/INDEX($D:$D,MATCH(EDATE($A534,-1),$A:$A,0))-1),"")</f>
        <v/>
      </c>
      <c r="J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14.6</v>
      </c>
      <c r="E535" s="14" t="n">
        <v>17.1</v>
      </c>
      <c r="F535" s="14" t="n">
        <v>13.8</v>
      </c>
      <c r="G535" s="14" t="n">
        <v>9.199999999999999</v>
      </c>
      <c r="H535" s="14">
        <f>IF(D535="","",D535*'参数与说明'!$B$6/45.3592)</f>
        <v/>
      </c>
      <c r="I535" s="15">
        <f>IFERROR(IF(D535="","",D535/INDEX($D:$D,MATCH(EDATE($A535,-1),$A:$A,0))-1),"")</f>
        <v/>
      </c>
      <c r="J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14.5</v>
      </c>
      <c r="E536" s="18" t="n">
        <v>17.5</v>
      </c>
      <c r="F536" s="18" t="n">
        <v>14.5</v>
      </c>
      <c r="G536" s="18" t="n">
        <v>9</v>
      </c>
      <c r="H536" s="18">
        <f>IF(D536="","",D536*'参数与说明'!$B$6/45.3592)</f>
        <v/>
      </c>
      <c r="I536" s="19">
        <f>IFERROR(IF(D536="","",D536/INDEX($D:$D,MATCH(EDATE($A536,-1),$A:$A,0))-1),"")</f>
        <v/>
      </c>
      <c r="J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14.8</v>
      </c>
      <c r="E537" s="14" t="n">
        <v>17.8</v>
      </c>
      <c r="F537" s="14" t="n">
        <v>15.6</v>
      </c>
      <c r="G537" s="14" t="n">
        <v>9.300000000000001</v>
      </c>
      <c r="H537" s="14">
        <f>IF(D537="","",D537*'参数与说明'!$B$6/45.3592)</f>
        <v/>
      </c>
      <c r="I537" s="15">
        <f>IFERROR(IF(D537="","",D537/INDEX($D:$D,MATCH(EDATE($A537,-1),$A:$A,0))-1),"")</f>
        <v/>
      </c>
      <c r="J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15.9</v>
      </c>
      <c r="E538" s="18" t="n">
        <v>19</v>
      </c>
      <c r="F538" s="18" t="n">
        <v>17.7</v>
      </c>
      <c r="G538" s="18" t="n">
        <v>10.2</v>
      </c>
      <c r="H538" s="18">
        <f>IF(D538="","",D538*'参数与说明'!$B$6/45.3592)</f>
        <v/>
      </c>
      <c r="I538" s="19">
        <f>IFERROR(IF(D538="","",D538/INDEX($D:$D,MATCH(EDATE($A538,-1),$A:$A,0))-1),"")</f>
        <v/>
      </c>
      <c r="J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16.1</v>
      </c>
      <c r="E539" s="14" t="n">
        <v>19</v>
      </c>
      <c r="F539" s="14" t="n">
        <v>18</v>
      </c>
      <c r="G539" s="14" t="n">
        <v>10.3</v>
      </c>
      <c r="H539" s="14">
        <f>IF(D539="","",D539*'参数与说明'!$B$6/45.3592)</f>
        <v/>
      </c>
      <c r="I539" s="15">
        <f>IFERROR(IF(D539="","",D539/INDEX($D:$D,MATCH(EDATE($A539,-1),$A:$A,0))-1),"")</f>
        <v/>
      </c>
      <c r="J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16.4</v>
      </c>
      <c r="E540" s="18" t="n">
        <v>19</v>
      </c>
      <c r="F540" s="18" t="n">
        <v>17.8</v>
      </c>
      <c r="G540" s="18" t="n">
        <v>10.8</v>
      </c>
      <c r="H540" s="18">
        <f>IF(D540="","",D540*'参数与说明'!$B$6/45.3592)</f>
        <v/>
      </c>
      <c r="I540" s="19">
        <f>IFERROR(IF(D540="","",D540/INDEX($D:$D,MATCH(EDATE($A540,-1),$A:$A,0))-1),"")</f>
        <v/>
      </c>
      <c r="J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16.9</v>
      </c>
      <c r="E541" s="14" t="n">
        <v>19.6</v>
      </c>
      <c r="F541" s="14" t="n">
        <v>18.1</v>
      </c>
      <c r="G541" s="14" t="n">
        <v>10.9</v>
      </c>
      <c r="H541" s="14">
        <f>IF(D541="","",D541*'参数与说明'!$B$6/45.3592)</f>
        <v/>
      </c>
      <c r="I541" s="15">
        <f>IFERROR(IF(D541="","",D541/INDEX($D:$D,MATCH(EDATE($A541,-1),$A:$A,0))-1),"")</f>
        <v/>
      </c>
      <c r="J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17.4</v>
      </c>
      <c r="E542" s="18" t="n">
        <v>20.1</v>
      </c>
      <c r="F542" s="18" t="n">
        <v>18.4</v>
      </c>
      <c r="G542" s="18" t="n">
        <v>11.4</v>
      </c>
      <c r="H542" s="18">
        <f>IF(D542="","",D542*'参数与说明'!$B$6/45.3592)</f>
        <v/>
      </c>
      <c r="I542" s="19">
        <f>IFERROR(IF(D542="","",D542/INDEX($D:$D,MATCH(EDATE($A542,-1),$A:$A,0))-1),"")</f>
        <v/>
      </c>
      <c r="J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16.6</v>
      </c>
      <c r="E543" s="14" t="n">
        <v>19.3</v>
      </c>
      <c r="F543" s="14" t="n">
        <v>17.1</v>
      </c>
      <c r="G543" s="14" t="n">
        <v>10.9</v>
      </c>
      <c r="H543" s="14">
        <f>IF(D543="","",D543*'参数与说明'!$B$6/45.3592)</f>
        <v/>
      </c>
      <c r="I543" s="15">
        <f>IFERROR(IF(D543="","",D543/INDEX($D:$D,MATCH(EDATE($A543,-1),$A:$A,0))-1),"")</f>
        <v/>
      </c>
      <c r="J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15.5</v>
      </c>
      <c r="E544" s="18" t="n">
        <v>18.4</v>
      </c>
      <c r="F544" s="18" t="n">
        <v>15.9</v>
      </c>
      <c r="G544" s="18" t="n">
        <v>9.5</v>
      </c>
      <c r="H544" s="18">
        <f>IF(D544="","",D544*'参数与说明'!$B$6/45.3592)</f>
        <v/>
      </c>
      <c r="I544" s="19">
        <f>IFERROR(IF(D544="","",D544/INDEX($D:$D,MATCH(EDATE($A544,-1),$A:$A,0))-1),"")</f>
        <v/>
      </c>
      <c r="J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15.7</v>
      </c>
      <c r="E545" s="14" t="n">
        <v>18.5</v>
      </c>
      <c r="F545" s="14" t="n">
        <v>15.6</v>
      </c>
      <c r="G545" s="14" t="n">
        <v>9.6</v>
      </c>
      <c r="H545" s="14">
        <f>IF(D545="","",D545*'参数与说明'!$B$6/45.3592)</f>
        <v/>
      </c>
      <c r="I545" s="15">
        <f>IFERROR(IF(D545="","",D545/INDEX($D:$D,MATCH(EDATE($A545,-1),$A:$A,0))-1),"")</f>
        <v/>
      </c>
      <c r="J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15.8</v>
      </c>
      <c r="E546" s="18" t="n">
        <v>18.7</v>
      </c>
      <c r="F546" s="18" t="n">
        <v>15.5</v>
      </c>
      <c r="G546" s="18" t="n">
        <v>9.4</v>
      </c>
      <c r="H546" s="18">
        <f>IF(D546="","",D546*'参数与说明'!$B$6/45.3592)</f>
        <v/>
      </c>
      <c r="I546" s="19">
        <f>IFERROR(IF(D546="","",D546/INDEX($D:$D,MATCH(EDATE($A546,-1),$A:$A,0))-1),"")</f>
        <v/>
      </c>
      <c r="J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15.6</v>
      </c>
      <c r="E547" s="14" t="n">
        <v>18.6</v>
      </c>
      <c r="F547" s="14" t="n">
        <v>15.7</v>
      </c>
      <c r="G547" s="14" t="n">
        <v>9.199999999999999</v>
      </c>
      <c r="H547" s="14">
        <f>IF(D547="","",D547*'参数与说明'!$B$6/45.3592)</f>
        <v/>
      </c>
      <c r="I547" s="15">
        <f>IFERROR(IF(D547="","",D547/INDEX($D:$D,MATCH(EDATE($A547,-1),$A:$A,0))-1),"")</f>
        <v/>
      </c>
      <c r="J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15.1</v>
      </c>
      <c r="E548" s="18" t="n">
        <v>18.7</v>
      </c>
      <c r="F548" s="18" t="n">
        <v>15.3</v>
      </c>
      <c r="G548" s="18" t="n">
        <v>8.699999999999999</v>
      </c>
      <c r="H548" s="18">
        <f>IF(D548="","",D548*'参数与说明'!$B$6/45.3592)</f>
        <v/>
      </c>
      <c r="I548" s="19">
        <f>IFERROR(IF(D548="","",D548/INDEX($D:$D,MATCH(EDATE($A548,-1),$A:$A,0))-1),"")</f>
        <v/>
      </c>
      <c r="J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15.2</v>
      </c>
      <c r="E549" s="14" t="n">
        <v>19</v>
      </c>
      <c r="F549" s="14" t="n">
        <v>15.7</v>
      </c>
      <c r="G549" s="14" t="n">
        <v>8.699999999999999</v>
      </c>
      <c r="H549" s="14">
        <f>IF(D549="","",D549*'参数与说明'!$B$6/45.3592)</f>
        <v/>
      </c>
      <c r="I549" s="15">
        <f>IFERROR(IF(D549="","",D549/INDEX($D:$D,MATCH(EDATE($A549,-1),$A:$A,0))-1),"")</f>
        <v/>
      </c>
      <c r="J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</v>
      </c>
      <c r="E550" s="18" t="n">
        <v>19.7</v>
      </c>
      <c r="F550" s="18" t="n">
        <v>17.1</v>
      </c>
      <c r="G550" s="18" t="n">
        <v>9.4</v>
      </c>
      <c r="H550" s="18">
        <f>IF(D550="","",D550*'参数与说明'!$B$6/45.3592)</f>
        <v/>
      </c>
      <c r="I550" s="19">
        <f>IFERROR(IF(D550="","",D550/INDEX($D:$D,MATCH(EDATE($A550,-1),$A:$A,0))-1),"")</f>
        <v/>
      </c>
      <c r="J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16.2</v>
      </c>
      <c r="E551" s="14" t="n">
        <v>19.5</v>
      </c>
      <c r="F551" s="14" t="n">
        <v>17.8</v>
      </c>
      <c r="G551" s="14" t="n">
        <v>10.2</v>
      </c>
      <c r="H551" s="14">
        <f>IF(D551="","",D551*'参数与说明'!$B$6/45.3592)</f>
        <v/>
      </c>
      <c r="I551" s="15">
        <f>IFERROR(IF(D551="","",D551/INDEX($D:$D,MATCH(EDATE($A551,-1),$A:$A,0))-1),"")</f>
        <v/>
      </c>
      <c r="J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16.4</v>
      </c>
      <c r="E552" s="18" t="n">
        <v>19.3</v>
      </c>
      <c r="F552" s="18" t="n">
        <v>17.3</v>
      </c>
      <c r="G552" s="18" t="n">
        <v>10.4</v>
      </c>
      <c r="H552" s="18">
        <f>IF(D552="","",D552*'参数与说明'!$B$6/45.3592)</f>
        <v/>
      </c>
      <c r="I552" s="19">
        <f>IFERROR(IF(D552="","",D552/INDEX($D:$D,MATCH(EDATE($A552,-1),$A:$A,0))-1),"")</f>
        <v/>
      </c>
      <c r="J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16.7</v>
      </c>
      <c r="E553" s="14" t="n">
        <v>19.5</v>
      </c>
      <c r="F553" s="14" t="n">
        <v>17.5</v>
      </c>
      <c r="G553" s="14" t="n">
        <v>10.7</v>
      </c>
      <c r="H553" s="14">
        <f>IF(D553="","",D553*'参数与说明'!$B$6/45.3592)</f>
        <v/>
      </c>
      <c r="I553" s="15">
        <f>IFERROR(IF(D553="","",D553/INDEX($D:$D,MATCH(EDATE($A553,-1),$A:$A,0))-1),"")</f>
        <v/>
      </c>
      <c r="J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16.3</v>
      </c>
      <c r="E554" s="18" t="n">
        <v>18.9</v>
      </c>
      <c r="F554" s="18" t="n">
        <v>17.1</v>
      </c>
      <c r="G554" s="18" t="n">
        <v>10.5</v>
      </c>
      <c r="H554" s="18">
        <f>IF(D554="","",D554*'参数与说明'!$B$6/45.3592)</f>
        <v/>
      </c>
      <c r="I554" s="19">
        <f>IFERROR(IF(D554="","",D554/INDEX($D:$D,MATCH(EDATE($A554,-1),$A:$A,0))-1),"")</f>
        <v/>
      </c>
      <c r="J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16.4</v>
      </c>
      <c r="E555" s="14" t="n">
        <v>19.1</v>
      </c>
      <c r="F555" s="14" t="n">
        <v>17.3</v>
      </c>
      <c r="G555" s="14" t="n">
        <v>11</v>
      </c>
      <c r="H555" s="14">
        <f>IF(D555="","",D555*'参数与说明'!$B$6/45.3592)</f>
        <v/>
      </c>
      <c r="I555" s="15">
        <f>IFERROR(IF(D555="","",D555/INDEX($D:$D,MATCH(EDATE($A555,-1),$A:$A,0))-1),"")</f>
        <v/>
      </c>
      <c r="J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16.1</v>
      </c>
      <c r="E556" s="18" t="n">
        <v>18.9</v>
      </c>
      <c r="F556" s="18" t="n">
        <v>16.8</v>
      </c>
      <c r="G556" s="18" t="n">
        <v>10.6</v>
      </c>
      <c r="H556" s="18">
        <f>IF(D556="","",D556*'参数与说明'!$B$6/45.3592)</f>
        <v/>
      </c>
      <c r="I556" s="19">
        <f>IFERROR(IF(D556="","",D556/INDEX($D:$D,MATCH(EDATE($A556,-1),$A:$A,0))-1),"")</f>
        <v/>
      </c>
      <c r="J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>
        <v>18.5</v>
      </c>
      <c r="F557" s="14" t="n">
        <v>16.7</v>
      </c>
      <c r="G557" s="14" t="n">
        <v>10</v>
      </c>
      <c r="H557" s="14">
        <f>IF(D557="","",D557*'参数与说明'!$B$6/45.3592)</f>
        <v/>
      </c>
      <c r="I557" s="15">
        <f>IFERROR(IF(D557="","",D557/INDEX($D:$D,MATCH(EDATE($A557,-1),$A:$A,0))-1),"")</f>
        <v/>
      </c>
      <c r="J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15.6</v>
      </c>
      <c r="E558" s="18" t="n">
        <v>18.5</v>
      </c>
      <c r="F558" s="18" t="n">
        <v>16.5</v>
      </c>
      <c r="G558" s="18" t="n">
        <v>9.6</v>
      </c>
      <c r="H558" s="18">
        <f>IF(D558="","",D558*'参数与说明'!$B$6/45.3592)</f>
        <v/>
      </c>
      <c r="I558" s="19">
        <f>IFERROR(IF(D558="","",D558/INDEX($D:$D,MATCH(EDATE($A558,-1),$A:$A,0))-1),"")</f>
        <v/>
      </c>
      <c r="J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15.2</v>
      </c>
      <c r="E559" s="14" t="n">
        <v>17.9</v>
      </c>
      <c r="F559" s="14" t="n">
        <v>16.4</v>
      </c>
      <c r="G559" s="14" t="n">
        <v>9.6</v>
      </c>
      <c r="H559" s="14">
        <f>IF(D559="","",D559*'参数与说明'!$B$6/45.3592)</f>
        <v/>
      </c>
      <c r="I559" s="15">
        <f>IFERROR(IF(D559="","",D559/INDEX($D:$D,MATCH(EDATE($A559,-1),$A:$A,0))-1),"")</f>
        <v/>
      </c>
      <c r="J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14</v>
      </c>
      <c r="E560" s="18" t="n">
        <v>17.1</v>
      </c>
      <c r="F560" s="18" t="n">
        <v>15.5</v>
      </c>
      <c r="G560" s="18" t="n">
        <v>8.800000000000001</v>
      </c>
      <c r="H560" s="18">
        <f>IF(D560="","",D560*'参数与说明'!$B$6/45.3592)</f>
        <v/>
      </c>
      <c r="I560" s="19">
        <f>IFERROR(IF(D560="","",D560/INDEX($D:$D,MATCH(EDATE($A560,-1),$A:$A,0))-1),"")</f>
        <v/>
      </c>
      <c r="J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13.5</v>
      </c>
      <c r="E561" s="14" t="n">
        <v>16.4</v>
      </c>
      <c r="F561" s="14" t="n">
        <v>15.8</v>
      </c>
      <c r="G561" s="14" t="n">
        <v>8.800000000000001</v>
      </c>
      <c r="H561" s="14">
        <f>IF(D561="","",D561*'参数与说明'!$B$6/45.3592)</f>
        <v/>
      </c>
      <c r="I561" s="15">
        <f>IFERROR(IF(D561="","",D561/INDEX($D:$D,MATCH(EDATE($A561,-1),$A:$A,0))-1),"")</f>
        <v/>
      </c>
      <c r="J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14</v>
      </c>
      <c r="E562" s="18" t="n">
        <v>16.6</v>
      </c>
      <c r="F562" s="18" t="n">
        <v>16.5</v>
      </c>
      <c r="G562" s="18" t="n">
        <v>9.4</v>
      </c>
      <c r="H562" s="18">
        <f>IF(D562="","",D562*'参数与说明'!$B$6/45.3592)</f>
        <v/>
      </c>
      <c r="I562" s="19">
        <f>IFERROR(IF(D562="","",D562/INDEX($D:$D,MATCH(EDATE($A562,-1),$A:$A,0))-1),"")</f>
        <v/>
      </c>
      <c r="J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14.1</v>
      </c>
      <c r="E563" s="14" t="n">
        <v>16.3</v>
      </c>
      <c r="F563" s="14" t="n">
        <v>16.7</v>
      </c>
      <c r="G563" s="14" t="n">
        <v>10</v>
      </c>
      <c r="H563" s="14">
        <f>IF(D563="","",D563*'参数与说明'!$B$6/45.3592)</f>
        <v/>
      </c>
      <c r="I563" s="15">
        <f>IFERROR(IF(D563="","",D563/INDEX($D:$D,MATCH(EDATE($A563,-1),$A:$A,0))-1),"")</f>
        <v/>
      </c>
      <c r="J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14.5</v>
      </c>
      <c r="E564" s="18" t="n">
        <v>16.5</v>
      </c>
      <c r="F564" s="18" t="n">
        <v>16.6</v>
      </c>
      <c r="G564" s="18" t="n">
        <v>10.3</v>
      </c>
      <c r="H564" s="18">
        <f>IF(D564="","",D564*'参数与说明'!$B$6/45.3592)</f>
        <v/>
      </c>
      <c r="I564" s="19">
        <f>IFERROR(IF(D564="","",D564/INDEX($D:$D,MATCH(EDATE($A564,-1),$A:$A,0))-1),"")</f>
        <v/>
      </c>
      <c r="J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15</v>
      </c>
      <c r="E565" s="14" t="n">
        <v>17.1</v>
      </c>
      <c r="F565" s="14" t="n">
        <v>16.7</v>
      </c>
      <c r="G565" s="14" t="n">
        <v>10.4</v>
      </c>
      <c r="H565" s="14">
        <f>IF(D565="","",D565*'参数与说明'!$B$6/45.3592)</f>
        <v/>
      </c>
      <c r="I565" s="15">
        <f>IFERROR(IF(D565="","",D565/INDEX($D:$D,MATCH(EDATE($A565,-1),$A:$A,0))-1),"")</f>
        <v/>
      </c>
      <c r="J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15.3</v>
      </c>
      <c r="E566" s="18" t="n">
        <v>17.5</v>
      </c>
      <c r="F566" s="18" t="n">
        <v>17.2</v>
      </c>
      <c r="G566" s="18" t="n">
        <v>10.6</v>
      </c>
      <c r="H566" s="18">
        <f>IF(D566="","",D566*'参数与说明'!$B$6/45.3592)</f>
        <v/>
      </c>
      <c r="I566" s="19">
        <f>IFERROR(IF(D566="","",D566/INDEX($D:$D,MATCH(EDATE($A566,-1),$A:$A,0))-1),"")</f>
        <v/>
      </c>
      <c r="J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15.4</v>
      </c>
      <c r="E567" s="14" t="n">
        <v>17.8</v>
      </c>
      <c r="F567" s="14" t="n">
        <v>16.4</v>
      </c>
      <c r="G567" s="14" t="n">
        <v>10.5</v>
      </c>
      <c r="H567" s="14">
        <f>IF(D567="","",D567*'参数与说明'!$B$6/45.3592)</f>
        <v/>
      </c>
      <c r="I567" s="15">
        <f>IFERROR(IF(D567="","",D567/INDEX($D:$D,MATCH(EDATE($A567,-1),$A:$A,0))-1),"")</f>
        <v/>
      </c>
      <c r="J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>
        <v>18</v>
      </c>
      <c r="F568" s="18" t="n">
        <v>16.2</v>
      </c>
      <c r="G568" s="18" t="n">
        <v>10</v>
      </c>
      <c r="H568" s="18">
        <f>IF(D568="","",D568*'参数与说明'!$B$6/45.3592)</f>
        <v/>
      </c>
      <c r="I568" s="19">
        <f>IFERROR(IF(D568="","",D568/INDEX($D:$D,MATCH(EDATE($A568,-1),$A:$A,0))-1),"")</f>
        <v/>
      </c>
      <c r="J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16.1</v>
      </c>
      <c r="E569" s="14" t="n">
        <v>19.2</v>
      </c>
      <c r="F569" s="14" t="n">
        <v>16.1</v>
      </c>
      <c r="G569" s="14" t="n">
        <v>9.9</v>
      </c>
      <c r="H569" s="14">
        <f>IF(D569="","",D569*'参数与说明'!$B$6/45.3592)</f>
        <v/>
      </c>
      <c r="I569" s="15">
        <f>IFERROR(IF(D569="","",D569/INDEX($D:$D,MATCH(EDATE($A569,-1),$A:$A,0))-1),"")</f>
        <v/>
      </c>
      <c r="J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16.1</v>
      </c>
      <c r="E570" s="18" t="n">
        <v>19.3</v>
      </c>
      <c r="F570" s="18" t="n">
        <v>15.9</v>
      </c>
      <c r="G570" s="18" t="n">
        <v>9.9</v>
      </c>
      <c r="H570" s="18">
        <f>IF(D570="","",D570*'参数与说明'!$B$6/45.3592)</f>
        <v/>
      </c>
      <c r="I570" s="19">
        <f>IFERROR(IF(D570="","",D570/INDEX($D:$D,MATCH(EDATE($A570,-1),$A:$A,0))-1),"")</f>
        <v/>
      </c>
      <c r="J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15.1</v>
      </c>
      <c r="E571" s="14" t="n">
        <v>19.1</v>
      </c>
      <c r="F571" s="14" t="n">
        <v>15.2</v>
      </c>
      <c r="G571" s="14" t="n">
        <v>9.300000000000001</v>
      </c>
      <c r="H571" s="14">
        <f>IF(D571="","",D571*'参数与说明'!$B$6/45.3592)</f>
        <v/>
      </c>
      <c r="I571" s="15">
        <f>IFERROR(IF(D571="","",D571/INDEX($D:$D,MATCH(EDATE($A571,-1),$A:$A,0))-1),"")</f>
        <v/>
      </c>
      <c r="J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14.5</v>
      </c>
      <c r="E572" s="18" t="n">
        <v>17.7</v>
      </c>
      <c r="F572" s="18" t="n">
        <v>15</v>
      </c>
      <c r="G572" s="18" t="n">
        <v>9</v>
      </c>
      <c r="H572" s="18">
        <f>IF(D572="","",D572*'参数与说明'!$B$6/45.3592)</f>
        <v/>
      </c>
      <c r="I572" s="19">
        <f>IFERROR(IF(D572="","",D572/INDEX($D:$D,MATCH(EDATE($A572,-1),$A:$A,0))-1),"")</f>
        <v/>
      </c>
      <c r="J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14</v>
      </c>
      <c r="E573" s="14" t="n">
        <v>17.1</v>
      </c>
      <c r="F573" s="14" t="n">
        <v>15.2</v>
      </c>
      <c r="G573" s="14" t="n">
        <v>9.199999999999999</v>
      </c>
      <c r="H573" s="14">
        <f>IF(D573="","",D573*'参数与说明'!$B$6/45.3592)</f>
        <v/>
      </c>
      <c r="I573" s="15">
        <f>IFERROR(IF(D573="","",D573/INDEX($D:$D,MATCH(EDATE($A573,-1),$A:$A,0))-1),"")</f>
        <v/>
      </c>
      <c r="J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14.8</v>
      </c>
      <c r="E574" s="18" t="n">
        <v>17.6</v>
      </c>
      <c r="F574" s="18" t="n">
        <v>16.6</v>
      </c>
      <c r="G574" s="18" t="n">
        <v>9.9</v>
      </c>
      <c r="H574" s="18">
        <f>IF(D574="","",D574*'参数与说明'!$B$6/45.3592)</f>
        <v/>
      </c>
      <c r="I574" s="19">
        <f>IFERROR(IF(D574="","",D574/INDEX($D:$D,MATCH(EDATE($A574,-1),$A:$A,0))-1),"")</f>
        <v/>
      </c>
      <c r="J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14.9</v>
      </c>
      <c r="E575" s="14" t="n">
        <v>17.4</v>
      </c>
      <c r="F575" s="14" t="n">
        <v>17.3</v>
      </c>
      <c r="G575" s="14" t="n">
        <v>10.3</v>
      </c>
      <c r="H575" s="14">
        <f>IF(D575="","",D575*'参数与说明'!$B$6/45.3592)</f>
        <v/>
      </c>
      <c r="I575" s="15">
        <f>IFERROR(IF(D575="","",D575/INDEX($D:$D,MATCH(EDATE($A575,-1),$A:$A,0))-1),"")</f>
        <v/>
      </c>
      <c r="J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</v>
      </c>
      <c r="E576" s="18" t="n">
        <v>18.5</v>
      </c>
      <c r="F576" s="18" t="n">
        <v>17.6</v>
      </c>
      <c r="G576" s="18" t="n">
        <v>11.2</v>
      </c>
      <c r="H576" s="18">
        <f>IF(D576="","",D576*'参数与说明'!$B$6/45.3592)</f>
        <v/>
      </c>
      <c r="I576" s="19">
        <f>IFERROR(IF(D576="","",D576/INDEX($D:$D,MATCH(EDATE($A576,-1),$A:$A,0))-1),"")</f>
        <v/>
      </c>
      <c r="J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16.9</v>
      </c>
      <c r="E577" s="14" t="n">
        <v>19.5</v>
      </c>
      <c r="F577" s="14" t="n">
        <v>18.4</v>
      </c>
      <c r="G577" s="14" t="n">
        <v>11.6</v>
      </c>
      <c r="H577" s="14">
        <f>IF(D577="","",D577*'参数与说明'!$B$6/45.3592)</f>
        <v/>
      </c>
      <c r="I577" s="15">
        <f>IFERROR(IF(D577="","",D577/INDEX($D:$D,MATCH(EDATE($A577,-1),$A:$A,0))-1),"")</f>
        <v/>
      </c>
      <c r="J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17.6</v>
      </c>
      <c r="E578" s="18" t="n">
        <v>20</v>
      </c>
      <c r="F578" s="18" t="n">
        <v>18.7</v>
      </c>
      <c r="G578" s="18" t="n">
        <v>12.2</v>
      </c>
      <c r="H578" s="18">
        <f>IF(D578="","",D578*'参数与说明'!$B$6/45.3592)</f>
        <v/>
      </c>
      <c r="I578" s="19">
        <f>IFERROR(IF(D578="","",D578/INDEX($D:$D,MATCH(EDATE($A578,-1),$A:$A,0))-1),"")</f>
        <v/>
      </c>
      <c r="J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17.8</v>
      </c>
      <c r="E579" s="14" t="n">
        <v>20.2</v>
      </c>
      <c r="F579" s="14" t="n">
        <v>18.9</v>
      </c>
      <c r="G579" s="14" t="n">
        <v>12.8</v>
      </c>
      <c r="H579" s="14">
        <f>IF(D579="","",D579*'参数与说明'!$B$6/45.3592)</f>
        <v/>
      </c>
      <c r="I579" s="15">
        <f>IFERROR(IF(D579="","",D579/INDEX($D:$D,MATCH(EDATE($A579,-1),$A:$A,0))-1),"")</f>
        <v/>
      </c>
      <c r="J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18.4</v>
      </c>
      <c r="E580" s="18" t="n">
        <v>21.1</v>
      </c>
      <c r="F580" s="18" t="n">
        <v>18.8</v>
      </c>
      <c r="G580" s="18" t="n">
        <v>12.8</v>
      </c>
      <c r="H580" s="18">
        <f>IF(D580="","",D580*'参数与说明'!$B$6/45.3592)</f>
        <v/>
      </c>
      <c r="I580" s="19">
        <f>IFERROR(IF(D580="","",D580/INDEX($D:$D,MATCH(EDATE($A580,-1),$A:$A,0))-1),"")</f>
        <v/>
      </c>
      <c r="J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18.2</v>
      </c>
      <c r="E581" s="14" t="n">
        <v>21.2</v>
      </c>
      <c r="F581" s="14" t="n">
        <v>19</v>
      </c>
      <c r="G581" s="14" t="n">
        <v>12</v>
      </c>
      <c r="H581" s="14">
        <f>IF(D581="","",D581*'参数与说明'!$B$6/45.3592)</f>
        <v/>
      </c>
      <c r="I581" s="15">
        <f>IFERROR(IF(D581="","",D581/INDEX($D:$D,MATCH(EDATE($A581,-1),$A:$A,0))-1),"")</f>
        <v/>
      </c>
      <c r="J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17.7</v>
      </c>
      <c r="E582" s="18" t="n">
        <v>20.5</v>
      </c>
      <c r="F582" s="18" t="n">
        <v>18.8</v>
      </c>
      <c r="G582" s="18" t="n">
        <v>12</v>
      </c>
      <c r="H582" s="18">
        <f>IF(D582="","",D582*'参数与说明'!$B$6/45.3592)</f>
        <v/>
      </c>
      <c r="I582" s="19">
        <f>IFERROR(IF(D582="","",D582/INDEX($D:$D,MATCH(EDATE($A582,-1),$A:$A,0))-1),"")</f>
        <v/>
      </c>
      <c r="J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17.4</v>
      </c>
      <c r="E583" s="14" t="n">
        <v>20.1</v>
      </c>
      <c r="F583" s="14" t="n">
        <v>18.9</v>
      </c>
      <c r="G583" s="14" t="n">
        <v>12</v>
      </c>
      <c r="H583" s="14">
        <f>IF(D583="","",D583*'参数与说明'!$B$6/45.3592)</f>
        <v/>
      </c>
      <c r="I583" s="15">
        <f>IFERROR(IF(D583="","",D583/INDEX($D:$D,MATCH(EDATE($A583,-1),$A:$A,0))-1),"")</f>
        <v/>
      </c>
      <c r="J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17.8</v>
      </c>
      <c r="E584" s="18" t="n">
        <v>21</v>
      </c>
      <c r="F584" s="18" t="n">
        <v>19.3</v>
      </c>
      <c r="G584" s="18" t="n">
        <v>12.2</v>
      </c>
      <c r="H584" s="18">
        <f>IF(D584="","",D584*'参数与说明'!$B$6/45.3592)</f>
        <v/>
      </c>
      <c r="I584" s="19">
        <f>IFERROR(IF(D584="","",D584/INDEX($D:$D,MATCH(EDATE($A584,-1),$A:$A,0))-1),"")</f>
        <v/>
      </c>
      <c r="J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18.6</v>
      </c>
      <c r="E585" s="14" t="n">
        <v>21.8</v>
      </c>
      <c r="F585" s="14" t="n">
        <v>20.8</v>
      </c>
      <c r="G585" s="14" t="n">
        <v>13.1</v>
      </c>
      <c r="H585" s="14">
        <f>IF(D585="","",D585*'参数与说明'!$B$6/45.3592)</f>
        <v/>
      </c>
      <c r="I585" s="15">
        <f>IFERROR(IF(D585="","",D585/INDEX($D:$D,MATCH(EDATE($A585,-1),$A:$A,0))-1),"")</f>
        <v/>
      </c>
      <c r="J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19.7</v>
      </c>
      <c r="E586" s="18" t="n">
        <v>22.6</v>
      </c>
      <c r="F586" s="18" t="n">
        <v>22.3</v>
      </c>
      <c r="G586" s="18" t="n">
        <v>14.4</v>
      </c>
      <c r="H586" s="18">
        <f>IF(D586="","",D586*'参数与说明'!$B$6/45.3592)</f>
        <v/>
      </c>
      <c r="I586" s="19">
        <f>IFERROR(IF(D586="","",D586/INDEX($D:$D,MATCH(EDATE($A586,-1),$A:$A,0))-1),"")</f>
        <v/>
      </c>
      <c r="J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20.6</v>
      </c>
      <c r="E587" s="14" t="n">
        <v>23.2</v>
      </c>
      <c r="F587" s="14" t="n">
        <v>23.4</v>
      </c>
      <c r="G587" s="14" t="n">
        <v>15.3</v>
      </c>
      <c r="H587" s="14">
        <f>IF(D587="","",D587*'参数与说明'!$B$6/45.3592)</f>
        <v/>
      </c>
      <c r="I587" s="15">
        <f>IFERROR(IF(D587="","",D587/INDEX($D:$D,MATCH(EDATE($A587,-1),$A:$A,0))-1),"")</f>
        <v/>
      </c>
      <c r="J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21.8</v>
      </c>
      <c r="E588" s="18" t="n">
        <v>24.3</v>
      </c>
      <c r="F588" s="18" t="n">
        <v>24</v>
      </c>
      <c r="G588" s="18" t="n">
        <v>16.2</v>
      </c>
      <c r="H588" s="18">
        <f>IF(D588="","",D588*'参数与说明'!$B$6/45.3592)</f>
        <v/>
      </c>
      <c r="I588" s="19">
        <f>IFERROR(IF(D588="","",D588/INDEX($D:$D,MATCH(EDATE($A588,-1),$A:$A,0))-1),"")</f>
        <v/>
      </c>
      <c r="J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22.3</v>
      </c>
      <c r="E589" s="14" t="n">
        <v>24.8</v>
      </c>
      <c r="F589" s="14" t="n">
        <v>24.5</v>
      </c>
      <c r="G589" s="14" t="n">
        <v>16.7</v>
      </c>
      <c r="H589" s="14">
        <f>IF(D589="","",D589*'参数与说明'!$B$6/45.3592)</f>
        <v/>
      </c>
      <c r="I589" s="15">
        <f>IFERROR(IF(D589="","",D589/INDEX($D:$D,MATCH(EDATE($A589,-1),$A:$A,0))-1),"")</f>
        <v/>
      </c>
      <c r="J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23.1</v>
      </c>
      <c r="E590" s="18" t="n">
        <v>25.3</v>
      </c>
      <c r="F590" s="18" t="n">
        <v>25.6</v>
      </c>
      <c r="G590" s="18" t="n">
        <v>17.9</v>
      </c>
      <c r="H590" s="18">
        <f>IF(D590="","",D590*'参数与说明'!$B$6/45.3592)</f>
        <v/>
      </c>
      <c r="I590" s="19">
        <f>IFERROR(IF(D590="","",D590/INDEX($D:$D,MATCH(EDATE($A590,-1),$A:$A,0))-1),"")</f>
        <v/>
      </c>
      <c r="J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22.5</v>
      </c>
      <c r="E591" s="14" t="n">
        <v>24.6</v>
      </c>
      <c r="F591" s="14" t="n">
        <v>24.7</v>
      </c>
      <c r="G591" s="14" t="n">
        <v>17.4</v>
      </c>
      <c r="H591" s="14">
        <f>IF(D591="","",D591*'参数与说明'!$B$6/45.3592)</f>
        <v/>
      </c>
      <c r="I591" s="15">
        <f>IFERROR(IF(D591="","",D591/INDEX($D:$D,MATCH(EDATE($A591,-1),$A:$A,0))-1),"")</f>
        <v/>
      </c>
      <c r="J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22.3</v>
      </c>
      <c r="E592" s="18" t="n">
        <v>24.5</v>
      </c>
      <c r="F592" s="18" t="n">
        <v>25.2</v>
      </c>
      <c r="G592" s="18" t="n">
        <v>17.3</v>
      </c>
      <c r="H592" s="18">
        <f>IF(D592="","",D592*'参数与说明'!$B$6/45.3592)</f>
        <v/>
      </c>
      <c r="I592" s="19">
        <f>IFERROR(IF(D592="","",D592/INDEX($D:$D,MATCH(EDATE($A592,-1),$A:$A,0))-1),"")</f>
        <v/>
      </c>
      <c r="J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21.6</v>
      </c>
      <c r="E593" s="14" t="n">
        <v>23.6</v>
      </c>
      <c r="F593" s="14" t="n">
        <v>25.1</v>
      </c>
      <c r="G593" s="14" t="n">
        <v>16.9</v>
      </c>
      <c r="H593" s="14">
        <f>IF(D593="","",D593*'参数与说明'!$B$6/45.3592)</f>
        <v/>
      </c>
      <c r="I593" s="15">
        <f>IFERROR(IF(D593="","",D593/INDEX($D:$D,MATCH(EDATE($A593,-1),$A:$A,0))-1),"")</f>
        <v/>
      </c>
      <c r="J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22.4</v>
      </c>
      <c r="E594" s="18" t="n">
        <v>24.5</v>
      </c>
      <c r="F594" s="18" t="n">
        <v>26</v>
      </c>
      <c r="G594" s="18" t="n">
        <v>17.2</v>
      </c>
      <c r="H594" s="18">
        <f>IF(D594="","",D594*'参数与说明'!$B$6/45.3592)</f>
        <v/>
      </c>
      <c r="I594" s="19">
        <f>IFERROR(IF(D594="","",D594/INDEX($D:$D,MATCH(EDATE($A594,-1),$A:$A,0))-1),"")</f>
        <v/>
      </c>
      <c r="J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22.5</v>
      </c>
      <c r="E595" s="14" t="n">
        <v>24.8</v>
      </c>
      <c r="F595" s="14" t="n">
        <v>26.1</v>
      </c>
      <c r="G595" s="14" t="n">
        <v>17</v>
      </c>
      <c r="H595" s="14">
        <f>IF(D595="","",D595*'参数与说明'!$B$6/45.3592)</f>
        <v/>
      </c>
      <c r="I595" s="15">
        <f>IFERROR(IF(D595="","",D595/INDEX($D:$D,MATCH(EDATE($A595,-1),$A:$A,0))-1),"")</f>
        <v/>
      </c>
      <c r="J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22.4</v>
      </c>
      <c r="E596" s="18" t="n">
        <v>25</v>
      </c>
      <c r="F596" s="18" t="n">
        <v>26.2</v>
      </c>
      <c r="G596" s="18" t="n">
        <v>17.2</v>
      </c>
      <c r="H596" s="18">
        <f>IF(D596="","",D596*'参数与说明'!$B$6/45.3592)</f>
        <v/>
      </c>
      <c r="I596" s="19">
        <f>IFERROR(IF(D596="","",D596/INDEX($D:$D,MATCH(EDATE($A596,-1),$A:$A,0))-1),"")</f>
        <v/>
      </c>
      <c r="J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22.5</v>
      </c>
      <c r="E597" s="14" t="n">
        <v>25.1</v>
      </c>
      <c r="F597" s="14" t="n">
        <v>27</v>
      </c>
      <c r="G597" s="14" t="n">
        <v>17.1</v>
      </c>
      <c r="H597" s="14">
        <f>IF(D597="","",D597*'参数与说明'!$B$6/45.3592)</f>
        <v/>
      </c>
      <c r="I597" s="15">
        <f>IFERROR(IF(D597="","",D597/INDEX($D:$D,MATCH(EDATE($A597,-1),$A:$A,0))-1),"")</f>
        <v/>
      </c>
      <c r="J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23.2</v>
      </c>
      <c r="E598" s="18" t="n">
        <v>25.6</v>
      </c>
      <c r="F598" s="18" t="n">
        <v>27.7</v>
      </c>
      <c r="G598" s="18" t="n">
        <v>17.8</v>
      </c>
      <c r="H598" s="18">
        <f>IF(D598="","",D598*'参数与说明'!$B$6/45.3592)</f>
        <v/>
      </c>
      <c r="I598" s="19">
        <f>IFERROR(IF(D598="","",D598/INDEX($D:$D,MATCH(EDATE($A598,-1),$A:$A,0))-1),"")</f>
        <v/>
      </c>
      <c r="J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23</v>
      </c>
      <c r="E599" s="14" t="n">
        <v>25.2</v>
      </c>
      <c r="F599" s="14" t="n">
        <v>28.2</v>
      </c>
      <c r="G599" s="14" t="n">
        <v>17.8</v>
      </c>
      <c r="H599" s="14">
        <f>IF(D599="","",D599*'参数与说明'!$B$6/45.3592)</f>
        <v/>
      </c>
      <c r="I599" s="15">
        <f>IFERROR(IF(D599="","",D599/INDEX($D:$D,MATCH(EDATE($A599,-1),$A:$A,0))-1),"")</f>
        <v/>
      </c>
      <c r="J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23.6</v>
      </c>
      <c r="E600" s="18" t="n">
        <v>25.8</v>
      </c>
      <c r="F600" s="18" t="n">
        <v>27.9</v>
      </c>
      <c r="G600" s="18" t="n">
        <v>17.9</v>
      </c>
      <c r="H600" s="18">
        <f>IF(D600="","",D600*'参数与说明'!$B$6/45.3592)</f>
        <v/>
      </c>
      <c r="I600" s="19">
        <f>IFERROR(IF(D600="","",D600/INDEX($D:$D,MATCH(EDATE($A600,-1),$A:$A,0))-1),"")</f>
        <v/>
      </c>
      <c r="J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24.2</v>
      </c>
      <c r="E601" s="14" t="n">
        <v>26.6</v>
      </c>
      <c r="F601" s="14" t="n">
        <v>28.8</v>
      </c>
      <c r="G601" s="14" t="n">
        <v>18.1</v>
      </c>
      <c r="H601" s="14">
        <f>IF(D601="","",D601*'参数与说明'!$B$6/45.3592)</f>
        <v/>
      </c>
      <c r="I601" s="15">
        <f>IFERROR(IF(D601="","",D601/INDEX($D:$D,MATCH(EDATE($A601,-1),$A:$A,0))-1),"")</f>
        <v/>
      </c>
      <c r="J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24.4</v>
      </c>
      <c r="E602" s="18" t="n">
        <v>26.8</v>
      </c>
      <c r="F602" s="18" t="n">
        <v>29</v>
      </c>
      <c r="G602" s="18" t="n">
        <v>18.2</v>
      </c>
      <c r="H602" s="18">
        <f>IF(D602="","",D602*'参数与说明'!$B$6/45.3592)</f>
        <v/>
      </c>
      <c r="I602" s="19">
        <f>IFERROR(IF(D602="","",D602/INDEX($D:$D,MATCH(EDATE($A602,-1),$A:$A,0))-1),"")</f>
        <v/>
      </c>
      <c r="J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23.8</v>
      </c>
      <c r="E603" s="14" t="n">
        <v>25.9</v>
      </c>
      <c r="F603" s="14" t="n">
        <v>28.5</v>
      </c>
      <c r="G603" s="14" t="n">
        <v>18.3</v>
      </c>
      <c r="H603" s="14">
        <f>IF(D603="","",D603*'参数与说明'!$B$6/45.3592)</f>
        <v/>
      </c>
      <c r="I603" s="15">
        <f>IFERROR(IF(D603="","",D603/INDEX($D:$D,MATCH(EDATE($A603,-1),$A:$A,0))-1),"")</f>
        <v/>
      </c>
      <c r="J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23.3</v>
      </c>
      <c r="E604" s="18" t="n">
        <v>25.7</v>
      </c>
      <c r="F604" s="18" t="n">
        <v>28</v>
      </c>
      <c r="G604" s="18" t="n">
        <v>17.4</v>
      </c>
      <c r="H604" s="18">
        <f>IF(D604="","",D604*'参数与说明'!$B$6/45.3592)</f>
        <v/>
      </c>
      <c r="I604" s="19">
        <f>IFERROR(IF(D604="","",D604/INDEX($D:$D,MATCH(EDATE($A604,-1),$A:$A,0))-1),"")</f>
        <v/>
      </c>
      <c r="J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22.9</v>
      </c>
      <c r="E605" s="14" t="n">
        <v>25.4</v>
      </c>
      <c r="F605" s="14" t="n">
        <v>27.4</v>
      </c>
      <c r="G605" s="14" t="n">
        <v>16.5</v>
      </c>
      <c r="H605" s="14">
        <f>IF(D605="","",D605*'参数与说明'!$B$6/45.3592)</f>
        <v/>
      </c>
      <c r="I605" s="15">
        <f>IFERROR(IF(D605="","",D605/INDEX($D:$D,MATCH(EDATE($A605,-1),$A:$A,0))-1),"")</f>
        <v/>
      </c>
      <c r="J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22.7</v>
      </c>
      <c r="E606" s="18" t="n">
        <v>25.2</v>
      </c>
      <c r="F606" s="18" t="n">
        <v>26.5</v>
      </c>
      <c r="G606" s="18" t="n">
        <v>16.2</v>
      </c>
      <c r="H606" s="18">
        <f>IF(D606="","",D606*'参数与说明'!$B$6/45.3592)</f>
        <v/>
      </c>
      <c r="I606" s="19">
        <f>IFERROR(IF(D606="","",D606/INDEX($D:$D,MATCH(EDATE($A606,-1),$A:$A,0))-1),"")</f>
        <v/>
      </c>
      <c r="J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21.5</v>
      </c>
      <c r="E607" s="14" t="n">
        <v>24</v>
      </c>
      <c r="F607" s="14" t="n">
        <v>25.2</v>
      </c>
      <c r="G607" s="14" t="n">
        <v>14.7</v>
      </c>
      <c r="H607" s="14">
        <f>IF(D607="","",D607*'参数与说明'!$B$6/45.3592)</f>
        <v/>
      </c>
      <c r="I607" s="15">
        <f>IFERROR(IF(D607="","",D607/INDEX($D:$D,MATCH(EDATE($A607,-1),$A:$A,0))-1),"")</f>
        <v/>
      </c>
      <c r="J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20.2</v>
      </c>
      <c r="E608" s="18" t="n">
        <v>23.2</v>
      </c>
      <c r="F608" s="18" t="n">
        <v>23.7</v>
      </c>
      <c r="G608" s="18" t="n">
        <v>13.4</v>
      </c>
      <c r="H608" s="18">
        <f>IF(D608="","",D608*'参数与说明'!$B$6/45.3592)</f>
        <v/>
      </c>
      <c r="I608" s="19">
        <f>IFERROR(IF(D608="","",D608/INDEX($D:$D,MATCH(EDATE($A608,-1),$A:$A,0))-1),"")</f>
        <v/>
      </c>
      <c r="J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19.8</v>
      </c>
      <c r="E609" s="14" t="n">
        <v>22.6</v>
      </c>
      <c r="F609" s="14" t="n">
        <v>23.1</v>
      </c>
      <c r="G609" s="14" t="n">
        <v>13.9</v>
      </c>
      <c r="H609" s="14">
        <f>IF(D609="","",D609*'参数与说明'!$B$6/45.3592)</f>
        <v/>
      </c>
      <c r="I609" s="15">
        <f>IFERROR(IF(D609="","",D609/INDEX($D:$D,MATCH(EDATE($A609,-1),$A:$A,0))-1),"")</f>
        <v/>
      </c>
      <c r="J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20.5</v>
      </c>
      <c r="E610" s="18" t="n">
        <v>23.1</v>
      </c>
      <c r="F610" s="18" t="n">
        <v>24.4</v>
      </c>
      <c r="G610" s="18" t="n">
        <v>14.6</v>
      </c>
      <c r="H610" s="18">
        <f>IF(D610="","",D610*'参数与说明'!$B$6/45.3592)</f>
        <v/>
      </c>
      <c r="I610" s="19">
        <f>IFERROR(IF(D610="","",D610/INDEX($D:$D,MATCH(EDATE($A610,-1),$A:$A,0))-1),"")</f>
        <v/>
      </c>
      <c r="J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20.9</v>
      </c>
      <c r="E611" s="14" t="n">
        <v>23.5</v>
      </c>
      <c r="F611" s="14" t="n">
        <v>25</v>
      </c>
      <c r="G611" s="14" t="n">
        <v>14.8</v>
      </c>
      <c r="H611" s="14">
        <f>IF(D611="","",D611*'参数与说明'!$B$6/45.3592)</f>
        <v/>
      </c>
      <c r="I611" s="15">
        <f>IFERROR(IF(D611="","",D611/INDEX($D:$D,MATCH(EDATE($A611,-1),$A:$A,0))-1),"")</f>
        <v/>
      </c>
      <c r="J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21.8</v>
      </c>
      <c r="E612" s="18" t="n">
        <v>24.1</v>
      </c>
      <c r="F612" s="18" t="n">
        <v>25.4</v>
      </c>
      <c r="G612" s="18" t="n">
        <v>15.9</v>
      </c>
      <c r="H612" s="18">
        <f>IF(D612="","",D612*'参数与说明'!$B$6/45.3592)</f>
        <v/>
      </c>
      <c r="I612" s="19">
        <f>IFERROR(IF(D612="","",D612/INDEX($D:$D,MATCH(EDATE($A612,-1),$A:$A,0))-1),"")</f>
        <v/>
      </c>
      <c r="J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21.8</v>
      </c>
      <c r="E613" s="14" t="n">
        <v>24.3</v>
      </c>
      <c r="F613" s="14" t="n">
        <v>25</v>
      </c>
      <c r="G613" s="14" t="n">
        <v>15.7</v>
      </c>
      <c r="H613" s="14">
        <f>IF(D613="","",D613*'参数与说明'!$B$6/45.3592)</f>
        <v/>
      </c>
      <c r="I613" s="15">
        <f>IFERROR(IF(D613="","",D613/INDEX($D:$D,MATCH(EDATE($A613,-1),$A:$A,0))-1),"")</f>
        <v/>
      </c>
      <c r="J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21.7</v>
      </c>
      <c r="E614" s="18" t="n">
        <v>24</v>
      </c>
      <c r="F614" s="18" t="n">
        <v>24.7</v>
      </c>
      <c r="G614" s="18" t="n">
        <v>15.5</v>
      </c>
      <c r="H614" s="18">
        <f>IF(D614="","",D614*'参数与说明'!$B$6/45.3592)</f>
        <v/>
      </c>
      <c r="I614" s="19">
        <f>IFERROR(IF(D614="","",D614/INDEX($D:$D,MATCH(EDATE($A614,-1),$A:$A,0))-1),"")</f>
        <v/>
      </c>
      <c r="J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20.8</v>
      </c>
      <c r="E615" s="14" t="n">
        <v>23.1</v>
      </c>
      <c r="F615" s="14" t="n">
        <v>23.6</v>
      </c>
      <c r="G615" s="14" t="n">
        <v>15.2</v>
      </c>
      <c r="H615" s="14">
        <f>IF(D615="","",D615*'参数与说明'!$B$6/45.3592)</f>
        <v/>
      </c>
      <c r="I615" s="15">
        <f>IFERROR(IF(D615="","",D615/INDEX($D:$D,MATCH(EDATE($A615,-1),$A:$A,0))-1),"")</f>
        <v/>
      </c>
      <c r="J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20.3</v>
      </c>
      <c r="E616" s="18" t="n">
        <v>22.7</v>
      </c>
      <c r="F616" s="18" t="n">
        <v>22.9</v>
      </c>
      <c r="G616" s="18" t="n">
        <v>14.7</v>
      </c>
      <c r="H616" s="18">
        <f>IF(D616="","",D616*'参数与说明'!$B$6/45.3592)</f>
        <v/>
      </c>
      <c r="I616" s="19">
        <f>IFERROR(IF(D616="","",D616/INDEX($D:$D,MATCH(EDATE($A616,-1),$A:$A,0))-1),"")</f>
        <v/>
      </c>
      <c r="J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19.6</v>
      </c>
      <c r="E617" s="14" t="n">
        <v>21.9</v>
      </c>
      <c r="F617" s="14" t="n">
        <v>21.5</v>
      </c>
      <c r="G617" s="14" t="n">
        <v>13.7</v>
      </c>
      <c r="H617" s="14">
        <f>IF(D617="","",D617*'参数与说明'!$B$6/45.3592)</f>
        <v/>
      </c>
      <c r="I617" s="15">
        <f>IFERROR(IF(D617="","",D617/INDEX($D:$D,MATCH(EDATE($A617,-1),$A:$A,0))-1),"")</f>
        <v/>
      </c>
      <c r="J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19.4</v>
      </c>
      <c r="E618" s="18" t="n">
        <v>21.5</v>
      </c>
      <c r="F618" s="18" t="n">
        <v>21.2</v>
      </c>
      <c r="G618" s="18" t="n">
        <v>13.8</v>
      </c>
      <c r="H618" s="18">
        <f>IF(D618="","",D618*'参数与说明'!$B$6/45.3592)</f>
        <v/>
      </c>
      <c r="I618" s="19">
        <f>IFERROR(IF(D618="","",D618/INDEX($D:$D,MATCH(EDATE($A618,-1),$A:$A,0))-1),"")</f>
        <v/>
      </c>
      <c r="J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19</v>
      </c>
      <c r="E619" s="14" t="n">
        <v>21.3</v>
      </c>
      <c r="F619" s="14" t="n">
        <v>21.2</v>
      </c>
      <c r="G619" s="14" t="n">
        <v>12.9</v>
      </c>
      <c r="H619" s="14">
        <f>IF(D619="","",D619*'参数与说明'!$B$6/45.3592)</f>
        <v/>
      </c>
      <c r="I619" s="15">
        <f>IFERROR(IF(D619="","",D619/INDEX($D:$D,MATCH(EDATE($A619,-1),$A:$A,0))-1),"")</f>
        <v/>
      </c>
      <c r="J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19.2</v>
      </c>
      <c r="E620" s="18" t="n">
        <v>22.1</v>
      </c>
      <c r="F620" s="18" t="n">
        <v>21.7</v>
      </c>
      <c r="G620" s="18" t="n">
        <v>13.1</v>
      </c>
      <c r="H620" s="18">
        <f>IF(D620="","",D620*'参数与说明'!$B$6/45.3592)</f>
        <v/>
      </c>
      <c r="I620" s="19">
        <f>IFERROR(IF(D620="","",D620/INDEX($D:$D,MATCH(EDATE($A620,-1),$A:$A,0))-1),"")</f>
        <v/>
      </c>
      <c r="J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20.2</v>
      </c>
      <c r="E621" s="14" t="n">
        <v>23.2</v>
      </c>
      <c r="F621" s="14" t="n">
        <v>22.8</v>
      </c>
      <c r="G621" s="14" t="n">
        <v>13.9</v>
      </c>
      <c r="H621" s="14">
        <f>IF(D621="","",D621*'参数与说明'!$B$6/45.3592)</f>
        <v/>
      </c>
      <c r="I621" s="15">
        <f>IFERROR(IF(D621="","",D621/INDEX($D:$D,MATCH(EDATE($A621,-1),$A:$A,0))-1),"")</f>
        <v/>
      </c>
      <c r="J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20.9</v>
      </c>
      <c r="E622" s="18" t="n">
        <v>23.7</v>
      </c>
      <c r="F622" s="18" t="n">
        <v>23.8</v>
      </c>
      <c r="G622" s="18" t="n">
        <v>14.3</v>
      </c>
      <c r="H622" s="18">
        <f>IF(D622="","",D622*'参数与说明'!$B$6/45.3592)</f>
        <v/>
      </c>
      <c r="I622" s="19">
        <f>IFERROR(IF(D622="","",D622/INDEX($D:$D,MATCH(EDATE($A622,-1),$A:$A,0))-1),"")</f>
        <v/>
      </c>
      <c r="J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20.7</v>
      </c>
      <c r="E623" s="14" t="n">
        <v>23.2</v>
      </c>
      <c r="F623" s="14" t="n">
        <v>24.1</v>
      </c>
      <c r="G623" s="14" t="n">
        <v>14.8</v>
      </c>
      <c r="H623" s="14">
        <f>IF(D623="","",D623*'参数与说明'!$B$6/45.3592)</f>
        <v/>
      </c>
      <c r="I623" s="15">
        <f>IFERROR(IF(D623="","",D623/INDEX($D:$D,MATCH(EDATE($A623,-1),$A:$A,0))-1),"")</f>
        <v/>
      </c>
      <c r="J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20.8</v>
      </c>
      <c r="E624" s="18" t="n">
        <v>23</v>
      </c>
      <c r="F624" s="18" t="n">
        <v>24.4</v>
      </c>
      <c r="G624" s="18" t="n">
        <v>15.3</v>
      </c>
      <c r="H624" s="18">
        <f>IF(D624="","",D624*'参数与说明'!$B$6/45.3592)</f>
        <v/>
      </c>
      <c r="I624" s="19">
        <f>IFERROR(IF(D624="","",D624/INDEX($D:$D,MATCH(EDATE($A624,-1),$A:$A,0))-1),"")</f>
        <v/>
      </c>
      <c r="J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20.5</v>
      </c>
      <c r="E625" s="14" t="n">
        <v>22.6</v>
      </c>
      <c r="F625" s="14" t="n">
        <v>24.1</v>
      </c>
      <c r="G625" s="14" t="n">
        <v>15.4</v>
      </c>
      <c r="H625" s="14">
        <f>IF(D625="","",D625*'参数与说明'!$B$6/45.3592)</f>
        <v/>
      </c>
      <c r="I625" s="15">
        <f>IFERROR(IF(D625="","",D625/INDEX($D:$D,MATCH(EDATE($A625,-1),$A:$A,0))-1),"")</f>
        <v/>
      </c>
      <c r="J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19.7</v>
      </c>
      <c r="E626" s="18" t="n">
        <v>21.6</v>
      </c>
      <c r="F626" s="18" t="n">
        <v>23.6</v>
      </c>
      <c r="G626" s="18" t="n">
        <v>14.9</v>
      </c>
      <c r="H626" s="18">
        <f>IF(D626="","",D626*'参数与说明'!$B$6/45.3592)</f>
        <v/>
      </c>
      <c r="I626" s="19">
        <f>IFERROR(IF(D626="","",D626/INDEX($D:$D,MATCH(EDATE($A626,-1),$A:$A,0))-1),"")</f>
        <v/>
      </c>
      <c r="J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19.4</v>
      </c>
      <c r="E627" s="14" t="n">
        <v>21.1</v>
      </c>
      <c r="F627" s="14" t="n">
        <v>23.1</v>
      </c>
      <c r="G627" s="14" t="n">
        <v>15.1</v>
      </c>
      <c r="H627" s="14">
        <f>IF(D627="","",D627*'参数与说明'!$B$6/45.3592)</f>
        <v/>
      </c>
      <c r="I627" s="15">
        <f>IFERROR(IF(D627="","",D627/INDEX($D:$D,MATCH(EDATE($A627,-1),$A:$A,0))-1),"")</f>
        <v/>
      </c>
      <c r="J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19.2</v>
      </c>
      <c r="E628" s="18" t="n">
        <v>21.1</v>
      </c>
      <c r="F628" s="18" t="n">
        <v>22.9</v>
      </c>
      <c r="G628" s="18" t="n">
        <v>14.2</v>
      </c>
      <c r="H628" s="18">
        <f>IF(D628="","",D628*'参数与说明'!$B$6/45.3592)</f>
        <v/>
      </c>
      <c r="I628" s="19">
        <f>IFERROR(IF(D628="","",D628/INDEX($D:$D,MATCH(EDATE($A628,-1),$A:$A,0))-1),"")</f>
        <v/>
      </c>
      <c r="J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20.1</v>
      </c>
      <c r="E629" s="14" t="n">
        <v>22.2</v>
      </c>
      <c r="F629" s="14" t="n">
        <v>23.2</v>
      </c>
      <c r="G629" s="14" t="n">
        <v>14.6</v>
      </c>
      <c r="H629" s="14">
        <f>IF(D629="","",D629*'参数与说明'!$B$6/45.3592)</f>
        <v/>
      </c>
      <c r="I629" s="15">
        <f>IFERROR(IF(D629="","",D629/INDEX($D:$D,MATCH(EDATE($A629,-1),$A:$A,0))-1),"")</f>
        <v/>
      </c>
      <c r="J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20.2</v>
      </c>
      <c r="E630" s="18" t="n">
        <v>22.3</v>
      </c>
      <c r="F630" s="18" t="n">
        <v>23.3</v>
      </c>
      <c r="G630" s="18" t="n">
        <v>14.2</v>
      </c>
      <c r="H630" s="18">
        <f>IF(D630="","",D630*'参数与说明'!$B$6/45.3592)</f>
        <v/>
      </c>
      <c r="I630" s="19">
        <f>IFERROR(IF(D630="","",D630/INDEX($D:$D,MATCH(EDATE($A630,-1),$A:$A,0))-1),"")</f>
        <v/>
      </c>
      <c r="J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20</v>
      </c>
      <c r="E631" s="14" t="n">
        <v>22.3</v>
      </c>
      <c r="F631" s="14" t="n">
        <v>23.6</v>
      </c>
      <c r="G631" s="14" t="n">
        <v>13.9</v>
      </c>
      <c r="H631" s="14">
        <f>IF(D631="","",D631*'参数与说明'!$B$6/45.3592)</f>
        <v/>
      </c>
      <c r="I631" s="15">
        <f>IFERROR(IF(D631="","",D631/INDEX($D:$D,MATCH(EDATE($A631,-1),$A:$A,0))-1),"")</f>
        <v/>
      </c>
      <c r="J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20.1</v>
      </c>
      <c r="E632" s="18" t="n">
        <v>22.8</v>
      </c>
      <c r="F632" s="18" t="n">
        <v>23.7</v>
      </c>
      <c r="G632" s="18" t="n">
        <v>13.8</v>
      </c>
      <c r="H632" s="18">
        <f>IF(D632="","",D632*'参数与说明'!$B$6/45.3592)</f>
        <v/>
      </c>
      <c r="I632" s="19">
        <f>IFERROR(IF(D632="","",D632/INDEX($D:$D,MATCH(EDATE($A632,-1),$A:$A,0))-1),"")</f>
        <v/>
      </c>
      <c r="J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20.5</v>
      </c>
      <c r="E633" s="14" t="n">
        <v>23.3</v>
      </c>
      <c r="F633" s="14" t="n">
        <v>24.1</v>
      </c>
      <c r="G633" s="14" t="n">
        <v>14.2</v>
      </c>
      <c r="H633" s="14">
        <f>IF(D633="","",D633*'参数与说明'!$B$6/45.3592)</f>
        <v/>
      </c>
      <c r="I633" s="15">
        <f>IFERROR(IF(D633="","",D633/INDEX($D:$D,MATCH(EDATE($A633,-1),$A:$A,0))-1),"")</f>
        <v/>
      </c>
      <c r="J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20.8</v>
      </c>
      <c r="E634" s="18" t="n">
        <v>23.4</v>
      </c>
      <c r="F634" s="18" t="n">
        <v>24.7</v>
      </c>
      <c r="G634" s="18" t="n">
        <v>14.5</v>
      </c>
      <c r="H634" s="18">
        <f>IF(D634="","",D634*'参数与说明'!$B$6/45.3592)</f>
        <v/>
      </c>
      <c r="I634" s="19">
        <f>IFERROR(IF(D634="","",D634/INDEX($D:$D,MATCH(EDATE($A634,-1),$A:$A,0))-1),"")</f>
        <v/>
      </c>
      <c r="J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21</v>
      </c>
      <c r="E635" s="14" t="n">
        <v>23.5</v>
      </c>
      <c r="F635" s="14" t="n">
        <v>25</v>
      </c>
      <c r="G635" s="14" t="n">
        <v>14.5</v>
      </c>
      <c r="H635" s="14">
        <f>IF(D635="","",D635*'参数与说明'!$B$6/45.3592)</f>
        <v/>
      </c>
      <c r="I635" s="15">
        <f>IFERROR(IF(D635="","",D635/INDEX($D:$D,MATCH(EDATE($A635,-1),$A:$A,0))-1),"")</f>
        <v/>
      </c>
      <c r="J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21.1</v>
      </c>
      <c r="E636" s="18" t="n">
        <v>23.6</v>
      </c>
      <c r="F636" s="18" t="n">
        <v>25.2</v>
      </c>
      <c r="G636" s="18" t="n">
        <v>15</v>
      </c>
      <c r="H636" s="18">
        <f>IF(D636="","",D636*'参数与说明'!$B$6/45.3592)</f>
        <v/>
      </c>
      <c r="I636" s="19">
        <f>IFERROR(IF(D636="","",D636/INDEX($D:$D,MATCH(EDATE($A636,-1),$A:$A,0))-1),"")</f>
        <v/>
      </c>
      <c r="J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21.3</v>
      </c>
      <c r="E637" s="14" t="n">
        <v>23.8</v>
      </c>
      <c r="F637" s="14" t="n">
        <v>25.4</v>
      </c>
      <c r="G637" s="14" t="n">
        <v>14.7</v>
      </c>
      <c r="H637" s="14">
        <f>IF(D637="","",D637*'参数与说明'!$B$6/45.3592)</f>
        <v/>
      </c>
      <c r="I637" s="15">
        <f>IFERROR(IF(D637="","",D637/INDEX($D:$D,MATCH(EDATE($A637,-1),$A:$A,0))-1),"")</f>
        <v/>
      </c>
      <c r="J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21.3</v>
      </c>
      <c r="E638" s="18" t="n">
        <v>23.5</v>
      </c>
      <c r="F638" s="18" t="n">
        <v>25.1</v>
      </c>
      <c r="G638" s="18" t="n">
        <v>14.6</v>
      </c>
      <c r="H638" s="18">
        <f>IF(D638="","",D638*'参数与说明'!$B$6/45.3592)</f>
        <v/>
      </c>
      <c r="I638" s="19">
        <f>IFERROR(IF(D638="","",D638/INDEX($D:$D,MATCH(EDATE($A638,-1),$A:$A,0))-1),"")</f>
        <v/>
      </c>
      <c r="J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20.9</v>
      </c>
      <c r="E639" s="14" t="n">
        <v>23.1</v>
      </c>
      <c r="F639" s="14" t="n">
        <v>24.7</v>
      </c>
      <c r="G639" s="14" t="n">
        <v>14.8</v>
      </c>
      <c r="H639" s="14">
        <f>IF(D639="","",D639*'参数与说明'!$B$6/45.3592)</f>
        <v/>
      </c>
      <c r="I639" s="15">
        <f>IFERROR(IF(D639="","",D639/INDEX($D:$D,MATCH(EDATE($A639,-1),$A:$A,0))-1),"")</f>
        <v/>
      </c>
      <c r="J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21</v>
      </c>
      <c r="E640" s="18" t="n">
        <v>23.4</v>
      </c>
      <c r="F640" s="18" t="n">
        <v>24.6</v>
      </c>
      <c r="G640" s="18" t="n">
        <v>14.6</v>
      </c>
      <c r="H640" s="18">
        <f>IF(D640="","",D640*'参数与说明'!$B$6/45.3592)</f>
        <v/>
      </c>
      <c r="I640" s="19">
        <f>IFERROR(IF(D640="","",D640/INDEX($D:$D,MATCH(EDATE($A640,-1),$A:$A,0))-1),"")</f>
        <v/>
      </c>
      <c r="J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21.6</v>
      </c>
      <c r="E641" s="14" t="n">
        <v>24.2</v>
      </c>
      <c r="F641" s="14" t="n">
        <v>24.7</v>
      </c>
      <c r="G641" s="14" t="n">
        <v>14.5</v>
      </c>
      <c r="H641" s="14">
        <f>IF(D641="","",D641*'参数与说明'!$B$6/45.3592)</f>
        <v/>
      </c>
      <c r="I641" s="15">
        <f>IFERROR(IF(D641="","",D641/INDEX($D:$D,MATCH(EDATE($A641,-1),$A:$A,0))-1),"")</f>
        <v/>
      </c>
      <c r="J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22</v>
      </c>
      <c r="E642" s="18" t="n">
        <v>24.8</v>
      </c>
      <c r="F642" s="18" t="n">
        <v>25.1</v>
      </c>
      <c r="G642" s="18" t="n">
        <v>14.8</v>
      </c>
      <c r="H642" s="18">
        <f>IF(D642="","",D642*'参数与说明'!$B$6/45.3592)</f>
        <v/>
      </c>
      <c r="I642" s="19">
        <f>IFERROR(IF(D642="","",D642/INDEX($D:$D,MATCH(EDATE($A642,-1),$A:$A,0))-1),"")</f>
        <v/>
      </c>
      <c r="J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21.7</v>
      </c>
      <c r="E643" s="14" t="n">
        <v>24.6</v>
      </c>
      <c r="F643" s="14" t="n">
        <v>25</v>
      </c>
      <c r="G643" s="14" t="n">
        <v>14</v>
      </c>
      <c r="H643" s="14">
        <f>IF(D643="","",D643*'参数与说明'!$B$6/45.3592)</f>
        <v/>
      </c>
      <c r="I643" s="15">
        <f>IFERROR(IF(D643="","",D643/INDEX($D:$D,MATCH(EDATE($A643,-1),$A:$A,0))-1),"")</f>
        <v/>
      </c>
      <c r="J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21.5</v>
      </c>
      <c r="E644" s="18" t="n">
        <v>25.2</v>
      </c>
      <c r="F644" s="18" t="n">
        <v>24.9</v>
      </c>
      <c r="G644" s="18" t="n">
        <v>13.6</v>
      </c>
      <c r="H644" s="18">
        <f>IF(D644="","",D644*'参数与说明'!$B$6/45.3592)</f>
        <v/>
      </c>
      <c r="I644" s="19">
        <f>IFERROR(IF(D644="","",D644/INDEX($D:$D,MATCH(EDATE($A644,-1),$A:$A,0))-1),"")</f>
        <v/>
      </c>
      <c r="J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21.5</v>
      </c>
      <c r="E645" s="14" t="n">
        <v>25.2</v>
      </c>
      <c r="F645" s="14" t="n">
        <v>25.6</v>
      </c>
      <c r="G645" s="14" t="n">
        <v>13.7</v>
      </c>
      <c r="H645" s="14">
        <f>IF(D645="","",D645*'参数与说明'!$B$6/45.3592)</f>
        <v/>
      </c>
      <c r="I645" s="15">
        <f>IFERROR(IF(D645="","",D645/INDEX($D:$D,MATCH(EDATE($A645,-1),$A:$A,0))-1),"")</f>
        <v/>
      </c>
      <c r="J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21.7</v>
      </c>
      <c r="E646" s="18" t="n">
        <v>24.7</v>
      </c>
      <c r="F646" s="18" t="n">
        <v>25.3</v>
      </c>
      <c r="G646" s="18" t="n">
        <v>14</v>
      </c>
      <c r="H646" s="18">
        <f>IF(D646="","",D646*'参数与说明'!$B$6/45.3592)</f>
        <v/>
      </c>
      <c r="I646" s="19">
        <f>IFERROR(IF(D646="","",D646/INDEX($D:$D,MATCH(EDATE($A646,-1),$A:$A,0))-1),"")</f>
        <v/>
      </c>
      <c r="J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20.4</v>
      </c>
      <c r="E647" s="14" t="n">
        <v>23</v>
      </c>
      <c r="F647" s="14" t="n">
        <v>24.9</v>
      </c>
      <c r="G647" s="14" t="n">
        <v>14</v>
      </c>
      <c r="H647" s="14">
        <f>IF(D647="","",D647*'参数与说明'!$B$6/45.3592)</f>
        <v/>
      </c>
      <c r="I647" s="15">
        <f>IFERROR(IF(D647="","",D647/INDEX($D:$D,MATCH(EDATE($A647,-1),$A:$A,0))-1),"")</f>
        <v/>
      </c>
      <c r="J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19.7</v>
      </c>
      <c r="E648" s="18" t="n">
        <v>21.6</v>
      </c>
      <c r="F648" s="18" t="n">
        <v>24.8</v>
      </c>
      <c r="G648" s="18" t="n">
        <v>14.3</v>
      </c>
      <c r="H648" s="18">
        <f>IF(D648="","",D648*'参数与说明'!$B$6/45.3592)</f>
        <v/>
      </c>
      <c r="I648" s="19">
        <f>IFERROR(IF(D648="","",D648/INDEX($D:$D,MATCH(EDATE($A648,-1),$A:$A,0))-1),"")</f>
        <v/>
      </c>
      <c r="J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20.5</v>
      </c>
      <c r="E649" s="14" t="n">
        <v>22.5</v>
      </c>
      <c r="F649" s="14" t="n">
        <v>25.2</v>
      </c>
      <c r="G649" s="14" t="n">
        <v>14.3</v>
      </c>
      <c r="H649" s="14">
        <f>IF(D649="","",D649*'参数与说明'!$B$6/45.3592)</f>
        <v/>
      </c>
      <c r="I649" s="15">
        <f>IFERROR(IF(D649="","",D649/INDEX($D:$D,MATCH(EDATE($A649,-1),$A:$A,0))-1),"")</f>
        <v/>
      </c>
      <c r="J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19.7</v>
      </c>
      <c r="E650" s="18" t="n">
        <v>21.4</v>
      </c>
      <c r="F650" s="18" t="n">
        <v>24.7</v>
      </c>
      <c r="G650" s="18" t="n">
        <v>14.3</v>
      </c>
      <c r="H650" s="18">
        <f>IF(D650="","",D650*'参数与说明'!$B$6/45.3592)</f>
        <v/>
      </c>
      <c r="I650" s="19">
        <f>IFERROR(IF(D650="","",D650/INDEX($D:$D,MATCH(EDATE($A650,-1),$A:$A,0))-1),"")</f>
        <v/>
      </c>
      <c r="J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19.7</v>
      </c>
      <c r="E651" s="14" t="n">
        <v>21.6</v>
      </c>
      <c r="F651" s="14" t="n">
        <v>24.2</v>
      </c>
      <c r="G651" s="14" t="n">
        <v>14.4</v>
      </c>
      <c r="H651" s="14">
        <f>IF(D651="","",D651*'参数与说明'!$B$6/45.3592)</f>
        <v/>
      </c>
      <c r="I651" s="15">
        <f>IFERROR(IF(D651="","",D651/INDEX($D:$D,MATCH(EDATE($A651,-1),$A:$A,0))-1),"")</f>
        <v/>
      </c>
      <c r="J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20.7</v>
      </c>
      <c r="E652" s="18" t="n">
        <v>23.2</v>
      </c>
      <c r="F652" s="18" t="n">
        <v>24.3</v>
      </c>
      <c r="G652" s="18" t="n">
        <v>14.1</v>
      </c>
      <c r="H652" s="18">
        <f>IF(D652="","",D652*'参数与说明'!$B$6/45.3592)</f>
        <v/>
      </c>
      <c r="I652" s="19">
        <f>IFERROR(IF(D652="","",D652/INDEX($D:$D,MATCH(EDATE($A652,-1),$A:$A,0))-1),"")</f>
        <v/>
      </c>
      <c r="J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20.4</v>
      </c>
      <c r="E653" s="14" t="n">
        <v>22.9</v>
      </c>
      <c r="F653" s="14" t="n">
        <v>24.2</v>
      </c>
      <c r="G653" s="14" t="n">
        <v>14</v>
      </c>
      <c r="H653" s="14">
        <f>IF(D653="","",D653*'参数与说明'!$B$6/45.3592)</f>
        <v/>
      </c>
      <c r="I653" s="15">
        <f>IFERROR(IF(D653="","",D653/INDEX($D:$D,MATCH(EDATE($A653,-1),$A:$A,0))-1),"")</f>
        <v/>
      </c>
      <c r="J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20.1</v>
      </c>
      <c r="E654" s="18" t="n">
        <v>22.4</v>
      </c>
      <c r="F654" s="18" t="n">
        <v>23.9</v>
      </c>
      <c r="G654" s="18" t="n">
        <v>13.8</v>
      </c>
      <c r="H654" s="18">
        <f>IF(D654="","",D654*'参数与说明'!$B$6/45.3592)</f>
        <v/>
      </c>
      <c r="I654" s="19">
        <f>IFERROR(IF(D654="","",D654/INDEX($D:$D,MATCH(EDATE($A654,-1),$A:$A,0))-1),"")</f>
        <v/>
      </c>
      <c r="J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19.6</v>
      </c>
      <c r="E655" s="14" t="n">
        <v>22</v>
      </c>
      <c r="F655" s="14" t="n">
        <v>23.2</v>
      </c>
      <c r="G655" s="14" t="n">
        <v>13.1</v>
      </c>
      <c r="H655" s="14">
        <f>IF(D655="","",D655*'参数与说明'!$B$6/45.3592)</f>
        <v/>
      </c>
      <c r="I655" s="15">
        <f>IFERROR(IF(D655="","",D655/INDEX($D:$D,MATCH(EDATE($A655,-1),$A:$A,0))-1),"")</f>
        <v/>
      </c>
      <c r="J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18.6</v>
      </c>
      <c r="E656" s="18" t="n">
        <v>21.2</v>
      </c>
      <c r="F656" s="18" t="n">
        <v>22.8</v>
      </c>
      <c r="G656" s="18" t="n">
        <v>12.4</v>
      </c>
      <c r="H656" s="18">
        <f>IF(D656="","",D656*'参数与说明'!$B$6/45.3592)</f>
        <v/>
      </c>
      <c r="I656" s="19">
        <f>IFERROR(IF(D656="","",D656/INDEX($D:$D,MATCH(EDATE($A656,-1),$A:$A,0))-1),"")</f>
        <v/>
      </c>
      <c r="J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17.6</v>
      </c>
      <c r="E657" s="14" t="n">
        <v>20</v>
      </c>
      <c r="F657" s="14" t="n">
        <v>22.1</v>
      </c>
      <c r="G657" s="14" t="n">
        <v>12</v>
      </c>
      <c r="H657" s="14">
        <f>IF(D657="","",D657*'参数与说明'!$B$6/45.3592)</f>
        <v/>
      </c>
      <c r="I657" s="15">
        <f>IFERROR(IF(D657="","",D657/INDEX($D:$D,MATCH(EDATE($A657,-1),$A:$A,0))-1),"")</f>
        <v/>
      </c>
      <c r="J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18.7</v>
      </c>
      <c r="E658" s="18" t="n">
        <v>20.9</v>
      </c>
      <c r="F658" s="18" t="n">
        <v>22.8</v>
      </c>
      <c r="G658" s="18" t="n">
        <v>12.7</v>
      </c>
      <c r="H658" s="18">
        <f>IF(D658="","",D658*'参数与说明'!$B$6/45.3592)</f>
        <v/>
      </c>
      <c r="I658" s="19">
        <f>IFERROR(IF(D658="","",D658/INDEX($D:$D,MATCH(EDATE($A658,-1),$A:$A,0))-1),"")</f>
        <v/>
      </c>
      <c r="J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18.3</v>
      </c>
      <c r="E659" s="14" t="n">
        <v>20.2</v>
      </c>
      <c r="F659" s="14" t="n">
        <v>23.2</v>
      </c>
      <c r="G659" s="14" t="n">
        <v>13.1</v>
      </c>
      <c r="H659" s="14">
        <f>IF(D659="","",D659*'参数与说明'!$B$6/45.3592)</f>
        <v/>
      </c>
      <c r="I659" s="15">
        <f>IFERROR(IF(D659="","",D659/INDEX($D:$D,MATCH(EDATE($A659,-1),$A:$A,0))-1),"")</f>
        <v/>
      </c>
      <c r="J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18.8</v>
      </c>
      <c r="E660" s="18" t="n">
        <v>20.4</v>
      </c>
      <c r="F660" s="18" t="n">
        <v>23.2</v>
      </c>
      <c r="G660" s="18" t="n">
        <v>13.6</v>
      </c>
      <c r="H660" s="18">
        <f>IF(D660="","",D660*'参数与说明'!$B$6/45.3592)</f>
        <v/>
      </c>
      <c r="I660" s="19">
        <f>IFERROR(IF(D660="","",D660/INDEX($D:$D,MATCH(EDATE($A660,-1),$A:$A,0))-1),"")</f>
        <v/>
      </c>
      <c r="J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18.2</v>
      </c>
      <c r="E661" s="14" t="n">
        <v>19.7</v>
      </c>
      <c r="F661" s="14" t="n">
        <v>22.2</v>
      </c>
      <c r="G661" s="14" t="n">
        <v>13.5</v>
      </c>
      <c r="H661" s="14">
        <f>IF(D661="","",D661*'参数与说明'!$B$6/45.3592)</f>
        <v/>
      </c>
      <c r="I661" s="15">
        <f>IFERROR(IF(D661="","",D661/INDEX($D:$D,MATCH(EDATE($A661,-1),$A:$A,0))-1),"")</f>
        <v/>
      </c>
      <c r="J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17.6</v>
      </c>
      <c r="E662" s="18" t="n">
        <v>18.9</v>
      </c>
      <c r="F662" s="18" t="n">
        <v>21</v>
      </c>
      <c r="G662" s="18" t="n">
        <v>13.3</v>
      </c>
      <c r="H662" s="18">
        <f>IF(D662="","",D662*'参数与说明'!$B$6/45.3592)</f>
        <v/>
      </c>
      <c r="I662" s="19">
        <f>IFERROR(IF(D662="","",D662/INDEX($D:$D,MATCH(EDATE($A662,-1),$A:$A,0))-1),"")</f>
        <v/>
      </c>
      <c r="J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17.5</v>
      </c>
      <c r="E663" s="14" t="n">
        <v>19.1</v>
      </c>
      <c r="F663" s="14" t="n">
        <v>19.9</v>
      </c>
      <c r="G663" s="14" t="n">
        <v>12.8</v>
      </c>
      <c r="H663" s="14">
        <f>IF(D663="","",D663*'参数与说明'!$B$6/45.3592)</f>
        <v/>
      </c>
      <c r="I663" s="15">
        <f>IFERROR(IF(D663="","",D663/INDEX($D:$D,MATCH(EDATE($A663,-1),$A:$A,0))-1),"")</f>
        <v/>
      </c>
      <c r="J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18.1</v>
      </c>
      <c r="E664" s="18" t="n">
        <v>20.3</v>
      </c>
      <c r="F664" s="18" t="n">
        <v>19.4</v>
      </c>
      <c r="G664" s="18" t="n">
        <v>12.1</v>
      </c>
      <c r="H664" s="18">
        <f>IF(D664="","",D664*'参数与说明'!$B$6/45.3592)</f>
        <v/>
      </c>
      <c r="I664" s="19">
        <f>IFERROR(IF(D664="","",D664/INDEX($D:$D,MATCH(EDATE($A664,-1),$A:$A,0))-1),"")</f>
        <v/>
      </c>
      <c r="J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18.2</v>
      </c>
      <c r="E665" s="14" t="n">
        <v>20.6</v>
      </c>
      <c r="F665" s="14" t="n">
        <v>19.3</v>
      </c>
      <c r="G665" s="14" t="n">
        <v>11.8</v>
      </c>
      <c r="H665" s="14">
        <f>IF(D665="","",D665*'参数与说明'!$B$6/45.3592)</f>
        <v/>
      </c>
      <c r="I665" s="15">
        <f>IFERROR(IF(D665="","",D665/INDEX($D:$D,MATCH(EDATE($A665,-1),$A:$A,0))-1),"")</f>
        <v/>
      </c>
      <c r="J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18.6</v>
      </c>
      <c r="E666" s="18" t="n">
        <v>20.7</v>
      </c>
      <c r="F666" s="18" t="n">
        <v>19.8</v>
      </c>
      <c r="G666" s="18" t="n">
        <v>12.5</v>
      </c>
      <c r="H666" s="18">
        <f>IF(D666="","",D666*'参数与说明'!$B$6/45.3592)</f>
        <v/>
      </c>
      <c r="I666" s="19">
        <f>IFERROR(IF(D666="","",D666/INDEX($D:$D,MATCH(EDATE($A666,-1),$A:$A,0))-1),"")</f>
        <v/>
      </c>
      <c r="J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17.8</v>
      </c>
      <c r="E667" s="14" t="n">
        <v>20.1</v>
      </c>
      <c r="F667" s="14" t="n">
        <v>19</v>
      </c>
      <c r="G667" s="14" t="n">
        <v>11.5</v>
      </c>
      <c r="H667" s="14">
        <f>IF(D667="","",D667*'参数与说明'!$B$6/45.3592)</f>
        <v/>
      </c>
      <c r="I667" s="15">
        <f>IFERROR(IF(D667="","",D667/INDEX($D:$D,MATCH(EDATE($A667,-1),$A:$A,0))-1),"")</f>
        <v/>
      </c>
      <c r="J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17.5</v>
      </c>
      <c r="E668" s="18" t="n">
        <v>20.1</v>
      </c>
      <c r="F668" s="18" t="n">
        <v>19.3</v>
      </c>
      <c r="G668" s="18" t="n">
        <v>11.5</v>
      </c>
      <c r="H668" s="18">
        <f>IF(D668="","",D668*'参数与说明'!$B$6/45.3592)</f>
        <v/>
      </c>
      <c r="I668" s="19">
        <f>IFERROR(IF(D668="","",D668/INDEX($D:$D,MATCH(EDATE($A668,-1),$A:$A,0))-1),"")</f>
        <v/>
      </c>
      <c r="J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17.4</v>
      </c>
      <c r="E669" s="14" t="n">
        <v>19.8</v>
      </c>
      <c r="F669" s="14" t="n">
        <v>19</v>
      </c>
      <c r="G669" s="14" t="n">
        <v>11.1</v>
      </c>
      <c r="H669" s="14">
        <f>IF(D669="","",D669*'参数与说明'!$B$6/45.3592)</f>
        <v/>
      </c>
      <c r="I669" s="15">
        <f>IFERROR(IF(D669="","",D669/INDEX($D:$D,MATCH(EDATE($A669,-1),$A:$A,0))-1),"")</f>
        <v/>
      </c>
      <c r="J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18</v>
      </c>
      <c r="E670" s="18" t="n">
        <v>20.4</v>
      </c>
      <c r="F670" s="18" t="n">
        <v>20.1</v>
      </c>
      <c r="G670" s="18" t="n">
        <v>11.8</v>
      </c>
      <c r="H670" s="18">
        <f>IF(D670="","",D670*'参数与说明'!$B$6/45.3592)</f>
        <v/>
      </c>
      <c r="I670" s="19">
        <f>IFERROR(IF(D670="","",D670/INDEX($D:$D,MATCH(EDATE($A670,-1),$A:$A,0))-1),"")</f>
        <v/>
      </c>
      <c r="J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18.2</v>
      </c>
      <c r="E671" s="14" t="n">
        <v>20.3</v>
      </c>
      <c r="F671" s="14" t="n">
        <v>20.5</v>
      </c>
      <c r="G671" s="14" t="n">
        <v>12.7</v>
      </c>
      <c r="H671" s="14">
        <f>IF(D671="","",D671*'参数与说明'!$B$6/45.3592)</f>
        <v/>
      </c>
      <c r="I671" s="15">
        <f>IFERROR(IF(D671="","",D671/INDEX($D:$D,MATCH(EDATE($A671,-1),$A:$A,0))-1),"")</f>
        <v/>
      </c>
      <c r="J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18.6</v>
      </c>
      <c r="E672" s="18" t="n">
        <v>20.6</v>
      </c>
      <c r="F672" s="18" t="n">
        <v>20.5</v>
      </c>
      <c r="G672" s="18" t="n">
        <v>13</v>
      </c>
      <c r="H672" s="18">
        <f>IF(D672="","",D672*'参数与说明'!$B$6/45.3592)</f>
        <v/>
      </c>
      <c r="I672" s="19">
        <f>IFERROR(IF(D672="","",D672/INDEX($D:$D,MATCH(EDATE($A672,-1),$A:$A,0))-1),"")</f>
        <v/>
      </c>
      <c r="J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19.2</v>
      </c>
      <c r="E673" s="14" t="n">
        <v>21.4</v>
      </c>
      <c r="F673" s="14" t="n">
        <v>21.3</v>
      </c>
      <c r="G673" s="14" t="n">
        <v>13.3</v>
      </c>
      <c r="H673" s="14">
        <f>IF(D673="","",D673*'参数与说明'!$B$6/45.3592)</f>
        <v/>
      </c>
      <c r="I673" s="15">
        <f>IFERROR(IF(D673="","",D673/INDEX($D:$D,MATCH(EDATE($A673,-1),$A:$A,0))-1),"")</f>
        <v/>
      </c>
      <c r="J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20.5</v>
      </c>
      <c r="E674" s="18" t="n">
        <v>22.9</v>
      </c>
      <c r="F674" s="18" t="n">
        <v>21.9</v>
      </c>
      <c r="G674" s="18" t="n">
        <v>13.8</v>
      </c>
      <c r="H674" s="18">
        <f>IF(D674="","",D674*'参数与说明'!$B$6/45.3592)</f>
        <v/>
      </c>
      <c r="I674" s="19">
        <f>IFERROR(IF(D674="","",D674/INDEX($D:$D,MATCH(EDATE($A674,-1),$A:$A,0))-1),"")</f>
        <v/>
      </c>
      <c r="J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21.3</v>
      </c>
      <c r="E675" s="14" t="n">
        <v>23.9</v>
      </c>
      <c r="F675" s="14" t="n">
        <v>23.1</v>
      </c>
      <c r="G675" s="14" t="n">
        <v>14.4</v>
      </c>
      <c r="H675" s="14">
        <f>IF(D675="","",D675*'参数与说明'!$B$6/45.3592)</f>
        <v/>
      </c>
      <c r="I675" s="15">
        <f>IFERROR(IF(D675="","",D675/INDEX($D:$D,MATCH(EDATE($A675,-1),$A:$A,0))-1),"")</f>
        <v/>
      </c>
      <c r="J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21</v>
      </c>
      <c r="E676" s="18" t="n">
        <v>23.7</v>
      </c>
      <c r="F676" s="18" t="n">
        <v>22.6</v>
      </c>
      <c r="G676" s="18" t="n">
        <v>14.2</v>
      </c>
      <c r="H676" s="18">
        <f>IF(D676="","",D676*'参数与说明'!$B$6/45.3592)</f>
        <v/>
      </c>
      <c r="I676" s="19">
        <f>IFERROR(IF(D676="","",D676/INDEX($D:$D,MATCH(EDATE($A676,-1),$A:$A,0))-1),"")</f>
        <v/>
      </c>
      <c r="J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20.6</v>
      </c>
      <c r="E677" s="14" t="n">
        <v>23.2</v>
      </c>
      <c r="F677" s="14" t="n">
        <v>22.2</v>
      </c>
      <c r="G677" s="14" t="n">
        <v>13.9</v>
      </c>
      <c r="H677" s="14">
        <f>IF(D677="","",D677*'参数与说明'!$B$6/45.3592)</f>
        <v/>
      </c>
      <c r="I677" s="15">
        <f>IFERROR(IF(D677="","",D677/INDEX($D:$D,MATCH(EDATE($A677,-1),$A:$A,0))-1),"")</f>
        <v/>
      </c>
      <c r="J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20.6</v>
      </c>
      <c r="E678" s="18" t="n">
        <v>23</v>
      </c>
      <c r="F678" s="18" t="n">
        <v>22.4</v>
      </c>
      <c r="G678" s="18" t="n">
        <v>13.7</v>
      </c>
      <c r="H678" s="18">
        <f>IF(D678="","",D678*'参数与说明'!$B$6/45.3592)</f>
        <v/>
      </c>
      <c r="I678" s="19">
        <f>IFERROR(IF(D678="","",D678/INDEX($D:$D,MATCH(EDATE($A678,-1),$A:$A,0))-1),"")</f>
        <v/>
      </c>
      <c r="J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20.1</v>
      </c>
      <c r="E679" s="14" t="n">
        <v>22.6</v>
      </c>
      <c r="F679" s="14" t="n">
        <v>22.1</v>
      </c>
      <c r="G679" s="14" t="n">
        <v>13.3</v>
      </c>
      <c r="H679" s="14">
        <f>IF(D679="","",D679*'参数与说明'!$B$6/45.3592)</f>
        <v/>
      </c>
      <c r="I679" s="15">
        <f>IFERROR(IF(D679="","",D679/INDEX($D:$D,MATCH(EDATE($A679,-1),$A:$A,0))-1),"")</f>
        <v/>
      </c>
      <c r="J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19.7</v>
      </c>
      <c r="E680" s="18" t="n">
        <v>22.4</v>
      </c>
      <c r="F680" s="18" t="n">
        <v>22.4</v>
      </c>
      <c r="G680" s="18" t="n">
        <v>12.9</v>
      </c>
      <c r="H680" s="18">
        <f>IF(D680="","",D680*'参数与说明'!$B$6/45.3592)</f>
        <v/>
      </c>
      <c r="I680" s="19">
        <f>IFERROR(IF(D680="","",D680/INDEX($D:$D,MATCH(EDATE($A680,-1),$A:$A,0))-1),"")</f>
        <v/>
      </c>
      <c r="J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20.3</v>
      </c>
      <c r="E681" s="14" t="n">
        <v>23.3</v>
      </c>
      <c r="F681" s="14" t="n">
        <v>23.1</v>
      </c>
      <c r="G681" s="14" t="n">
        <v>13.4</v>
      </c>
      <c r="H681" s="14">
        <f>IF(D681="","",D681*'参数与说明'!$B$6/45.3592)</f>
        <v/>
      </c>
      <c r="I681" s="15">
        <f>IFERROR(IF(D681="","",D681/INDEX($D:$D,MATCH(EDATE($A681,-1),$A:$A,0))-1),"")</f>
        <v/>
      </c>
      <c r="J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21.1</v>
      </c>
      <c r="E682" s="18" t="n">
        <v>23.8</v>
      </c>
      <c r="F682" s="18" t="n">
        <v>24.6</v>
      </c>
      <c r="G682" s="18" t="n">
        <v>14.4</v>
      </c>
      <c r="H682" s="18">
        <f>IF(D682="","",D682*'参数与说明'!$B$6/45.3592)</f>
        <v/>
      </c>
      <c r="I682" s="19">
        <f>IFERROR(IF(D682="","",D682/INDEX($D:$D,MATCH(EDATE($A682,-1),$A:$A,0))-1),"")</f>
        <v/>
      </c>
      <c r="J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22.4</v>
      </c>
      <c r="E683" s="14" t="n">
        <v>24.9</v>
      </c>
      <c r="F683" s="14" t="n">
        <v>26.3</v>
      </c>
      <c r="G683" s="14" t="n">
        <v>16.3</v>
      </c>
      <c r="H683" s="14">
        <f>IF(D683="","",D683*'参数与说明'!$B$6/45.3592)</f>
        <v/>
      </c>
      <c r="I683" s="15">
        <f>IFERROR(IF(D683="","",D683/INDEX($D:$D,MATCH(EDATE($A683,-1),$A:$A,0))-1),"")</f>
        <v/>
      </c>
      <c r="J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23.8</v>
      </c>
      <c r="E684" s="18" t="n">
        <v>26.1</v>
      </c>
      <c r="F684" s="18" t="n">
        <v>27.5</v>
      </c>
      <c r="G684" s="18" t="n">
        <v>17.6</v>
      </c>
      <c r="H684" s="18">
        <f>IF(D684="","",D684*'参数与说明'!$B$6/45.3592)</f>
        <v/>
      </c>
      <c r="I684" s="19">
        <f>IFERROR(IF(D684="","",D684/INDEX($D:$D,MATCH(EDATE($A684,-1),$A:$A,0))-1),"")</f>
        <v/>
      </c>
      <c r="J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23.6</v>
      </c>
      <c r="E685" s="14" t="n">
        <v>25.5</v>
      </c>
      <c r="F685" s="14" t="n">
        <v>26.9</v>
      </c>
      <c r="G685" s="14" t="n">
        <v>18</v>
      </c>
      <c r="H685" s="14">
        <f>IF(D685="","",D685*'参数与说明'!$B$6/45.3592)</f>
        <v/>
      </c>
      <c r="I685" s="15">
        <f>IFERROR(IF(D685="","",D685/INDEX($D:$D,MATCH(EDATE($A685,-1),$A:$A,0))-1),"")</f>
        <v/>
      </c>
      <c r="J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23</v>
      </c>
      <c r="E686" s="18" t="n">
        <v>24.7</v>
      </c>
      <c r="F686" s="18" t="n">
        <v>26.8</v>
      </c>
      <c r="G686" s="18" t="n">
        <v>18.1</v>
      </c>
      <c r="H686" s="18">
        <f>IF(D686="","",D686*'参数与说明'!$B$6/45.3592)</f>
        <v/>
      </c>
      <c r="I686" s="19">
        <f>IFERROR(IF(D686="","",D686/INDEX($D:$D,MATCH(EDATE($A686,-1),$A:$A,0))-1),"")</f>
        <v/>
      </c>
      <c r="J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22.5</v>
      </c>
      <c r="E687" s="14" t="n">
        <v>24.1</v>
      </c>
      <c r="F687" s="14" t="n">
        <v>26</v>
      </c>
      <c r="G687" s="14" t="n">
        <v>17.6</v>
      </c>
      <c r="H687" s="14">
        <f>IF(D687="","",D687*'参数与说明'!$B$6/45.3592)</f>
        <v/>
      </c>
      <c r="I687" s="15">
        <f>IFERROR(IF(D687="","",D687/INDEX($D:$D,MATCH(EDATE($A687,-1),$A:$A,0))-1),"")</f>
        <v/>
      </c>
      <c r="J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21.9</v>
      </c>
      <c r="E688" s="18" t="n">
        <v>23.6</v>
      </c>
      <c r="F688" s="18" t="n">
        <v>25.2</v>
      </c>
      <c r="G688" s="18" t="n">
        <v>16.9</v>
      </c>
      <c r="H688" s="18">
        <f>IF(D688="","",D688*'参数与说明'!$B$6/45.3592)</f>
        <v/>
      </c>
      <c r="I688" s="19">
        <f>IFERROR(IF(D688="","",D688/INDEX($D:$D,MATCH(EDATE($A688,-1),$A:$A,0))-1),"")</f>
        <v/>
      </c>
      <c r="J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22.4</v>
      </c>
      <c r="E689" s="14" t="n">
        <v>24.1</v>
      </c>
      <c r="F689" s="14" t="n">
        <v>26</v>
      </c>
      <c r="G689" s="14" t="n">
        <v>17.3</v>
      </c>
      <c r="H689" s="14">
        <f>IF(D689="","",D689*'参数与说明'!$B$6/45.3592)</f>
        <v/>
      </c>
      <c r="I689" s="15">
        <f>IFERROR(IF(D689="","",D689/INDEX($D:$D,MATCH(EDATE($A689,-1),$A:$A,0))-1),"")</f>
        <v/>
      </c>
      <c r="J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22.5</v>
      </c>
      <c r="E690" s="18" t="n">
        <v>24.3</v>
      </c>
      <c r="F690" s="18" t="n">
        <v>26.5</v>
      </c>
      <c r="G690" s="18" t="n">
        <v>17.2</v>
      </c>
      <c r="H690" s="18">
        <f>IF(D690="","",D690*'参数与说明'!$B$6/45.3592)</f>
        <v/>
      </c>
      <c r="I690" s="19">
        <f>IFERROR(IF(D690="","",D690/INDEX($D:$D,MATCH(EDATE($A690,-1),$A:$A,0))-1),"")</f>
        <v/>
      </c>
      <c r="J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21.9</v>
      </c>
      <c r="E691" s="14" t="n">
        <v>23.7</v>
      </c>
      <c r="F691" s="14" t="n">
        <v>25.7</v>
      </c>
      <c r="G691" s="14" t="n">
        <v>16.4</v>
      </c>
      <c r="H691" s="14">
        <f>IF(D691="","",D691*'参数与说明'!$B$6/45.3592)</f>
        <v/>
      </c>
      <c r="I691" s="15">
        <f>IFERROR(IF(D691="","",D691/INDEX($D:$D,MATCH(EDATE($A691,-1),$A:$A,0))-1),"")</f>
        <v/>
      </c>
      <c r="J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20.9</v>
      </c>
      <c r="E692" s="18" t="n">
        <v>22.9</v>
      </c>
      <c r="F692" s="18" t="n">
        <v>25.2</v>
      </c>
      <c r="G692" s="18" t="n">
        <v>15.4</v>
      </c>
      <c r="H692" s="18">
        <f>IF(D692="","",D692*'参数与说明'!$B$6/45.3592)</f>
        <v/>
      </c>
      <c r="I692" s="19">
        <f>IFERROR(IF(D692="","",D692/INDEX($D:$D,MATCH(EDATE($A692,-1),$A:$A,0))-1),"")</f>
        <v/>
      </c>
      <c r="J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21</v>
      </c>
      <c r="E693" s="14" t="n">
        <v>23.1</v>
      </c>
      <c r="F693" s="14" t="n">
        <v>25.3</v>
      </c>
      <c r="G693" s="14" t="n">
        <v>15.4</v>
      </c>
      <c r="H693" s="14">
        <f>IF(D693="","",D693*'参数与说明'!$B$6/45.3592)</f>
        <v/>
      </c>
      <c r="I693" s="15">
        <f>IFERROR(IF(D693="","",D693/INDEX($D:$D,MATCH(EDATE($A693,-1),$A:$A,0))-1),"")</f>
        <v/>
      </c>
      <c r="J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21.8</v>
      </c>
      <c r="E694" s="18" t="n">
        <v>23.8</v>
      </c>
      <c r="F694" s="18" t="n">
        <v>25.9</v>
      </c>
      <c r="G694" s="18" t="n">
        <v>16.3</v>
      </c>
      <c r="H694" s="18">
        <f>IF(D694="","",D694*'参数与说明'!$B$6/45.3592)</f>
        <v/>
      </c>
      <c r="I694" s="19">
        <f>IFERROR(IF(D694="","",D694/INDEX($D:$D,MATCH(EDATE($A694,-1),$A:$A,0))-1),"")</f>
        <v/>
      </c>
      <c r="J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21.7</v>
      </c>
      <c r="E695" s="14" t="n">
        <v>23.3</v>
      </c>
      <c r="F695" s="14" t="n">
        <v>26.4</v>
      </c>
      <c r="G695" s="14" t="n">
        <v>17</v>
      </c>
      <c r="H695" s="14">
        <f>IF(D695="","",D695*'参数与说明'!$B$6/45.3592)</f>
        <v/>
      </c>
      <c r="I695" s="15">
        <f>IFERROR(IF(D695="","",D695/INDEX($D:$D,MATCH(EDATE($A695,-1),$A:$A,0))-1),"")</f>
        <v/>
      </c>
      <c r="J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21.5</v>
      </c>
      <c r="E696" s="18" t="n">
        <v>23</v>
      </c>
      <c r="F696" s="18" t="n">
        <v>26.1</v>
      </c>
      <c r="G696" s="18" t="n">
        <v>16.7</v>
      </c>
      <c r="H696" s="18">
        <f>IF(D696="","",D696*'参数与说明'!$B$6/45.3592)</f>
        <v/>
      </c>
      <c r="I696" s="19">
        <f>IFERROR(IF(D696="","",D696/INDEX($D:$D,MATCH(EDATE($A696,-1),$A:$A,0))-1),"")</f>
        <v/>
      </c>
      <c r="J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21.8</v>
      </c>
      <c r="E697" s="14" t="n">
        <v>23.2</v>
      </c>
      <c r="F697" s="14" t="n">
        <v>26.1</v>
      </c>
      <c r="G697" s="14" t="n">
        <v>16.8</v>
      </c>
      <c r="H697" s="14">
        <f>IF(D697="","",D697*'参数与说明'!$B$6/45.3592)</f>
        <v/>
      </c>
      <c r="I697" s="15">
        <f>IFERROR(IF(D697="","",D697/INDEX($D:$D,MATCH(EDATE($A697,-1),$A:$A,0))-1),"")</f>
        <v/>
      </c>
      <c r="J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22.3</v>
      </c>
      <c r="E698" s="18" t="n">
        <v>23.8</v>
      </c>
      <c r="F698" s="18" t="n">
        <v>26.8</v>
      </c>
      <c r="G698" s="18" t="n">
        <v>16.9</v>
      </c>
      <c r="H698" s="18">
        <f>IF(D698="","",D698*'参数与说明'!$B$6/45.3592)</f>
        <v/>
      </c>
      <c r="I698" s="19">
        <f>IFERROR(IF(D698="","",D698/INDEX($D:$D,MATCH(EDATE($A698,-1),$A:$A,0))-1),"")</f>
        <v/>
      </c>
      <c r="J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23</v>
      </c>
      <c r="E699" s="14" t="n">
        <v>24.6</v>
      </c>
      <c r="F699" s="14" t="n">
        <v>26.8</v>
      </c>
      <c r="G699" s="14" t="n">
        <v>17.4</v>
      </c>
      <c r="H699" s="14">
        <f>IF(D699="","",D699*'参数与说明'!$B$6/45.3592)</f>
        <v/>
      </c>
      <c r="I699" s="15">
        <f>IFERROR(IF(D699="","",D699/INDEX($D:$D,MATCH(EDATE($A699,-1),$A:$A,0))-1),"")</f>
        <v/>
      </c>
      <c r="J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23.2</v>
      </c>
      <c r="E700" s="18" t="n">
        <v>24.9</v>
      </c>
      <c r="F700" s="18" t="n">
        <v>27.2</v>
      </c>
      <c r="G700" s="18" t="n">
        <v>17.4</v>
      </c>
      <c r="H700" s="18">
        <f>IF(D700="","",D700*'参数与说明'!$B$6/45.3592)</f>
        <v/>
      </c>
      <c r="I700" s="19">
        <f>IFERROR(IF(D700="","",D700/INDEX($D:$D,MATCH(EDATE($A700,-1),$A:$A,0))-1),"")</f>
        <v/>
      </c>
      <c r="J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23.3</v>
      </c>
      <c r="E701" s="14" t="n">
        <v>25.1</v>
      </c>
      <c r="F701" s="14" t="n">
        <v>26.9</v>
      </c>
      <c r="G701" s="14" t="n">
        <v>17</v>
      </c>
      <c r="H701" s="14">
        <f>IF(D701="","",D701*'参数与说明'!$B$6/45.3592)</f>
        <v/>
      </c>
      <c r="I701" s="15">
        <f>IFERROR(IF(D701="","",D701/INDEX($D:$D,MATCH(EDATE($A701,-1),$A:$A,0))-1),"")</f>
        <v/>
      </c>
      <c r="J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23</v>
      </c>
      <c r="E702" s="18" t="n">
        <v>25</v>
      </c>
      <c r="F702" s="18" t="n">
        <v>26.7</v>
      </c>
      <c r="G702" s="18" t="n">
        <v>16.5</v>
      </c>
      <c r="H702" s="18">
        <f>IF(D702="","",D702*'参数与说明'!$B$6/45.3592)</f>
        <v/>
      </c>
      <c r="I702" s="19">
        <f>IFERROR(IF(D702="","",D702/INDEX($D:$D,MATCH(EDATE($A702,-1),$A:$A,0))-1),"")</f>
        <v/>
      </c>
      <c r="J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22.3</v>
      </c>
      <c r="E703" s="14" t="n">
        <v>24.3</v>
      </c>
      <c r="F703" s="14" t="n">
        <v>26.2</v>
      </c>
      <c r="G703" s="14" t="n">
        <v>15.7</v>
      </c>
      <c r="H703" s="14">
        <f>IF(D703="","",D703*'参数与说明'!$B$6/45.3592)</f>
        <v/>
      </c>
      <c r="I703" s="15">
        <f>IFERROR(IF(D703="","",D703/INDEX($D:$D,MATCH(EDATE($A703,-1),$A:$A,0))-1),"")</f>
        <v/>
      </c>
      <c r="J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21.4</v>
      </c>
      <c r="E704" s="18" t="n">
        <v>23.6</v>
      </c>
      <c r="F704" s="18" t="n">
        <v>25.6</v>
      </c>
      <c r="G704" s="18" t="n">
        <v>14.9</v>
      </c>
      <c r="H704" s="18">
        <f>IF(D704="","",D704*'参数与说明'!$B$6/45.3592)</f>
        <v/>
      </c>
      <c r="I704" s="19">
        <f>IFERROR(IF(D704="","",D704/INDEX($D:$D,MATCH(EDATE($A704,-1),$A:$A,0))-1),"")</f>
        <v/>
      </c>
      <c r="J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21.7</v>
      </c>
      <c r="E705" s="14" t="n">
        <v>24</v>
      </c>
      <c r="F705" s="14" t="n">
        <v>25.9</v>
      </c>
      <c r="G705" s="14" t="n">
        <v>15.4</v>
      </c>
      <c r="H705" s="14">
        <f>IF(D705="","",D705*'参数与说明'!$B$6/45.3592)</f>
        <v/>
      </c>
      <c r="I705" s="15">
        <f>IFERROR(IF(D705="","",D705/INDEX($D:$D,MATCH(EDATE($A705,-1),$A:$A,0))-1),"")</f>
        <v/>
      </c>
      <c r="J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21.9</v>
      </c>
      <c r="E706" s="18" t="n">
        <v>24.1</v>
      </c>
      <c r="F706" s="18" t="n">
        <v>26.4</v>
      </c>
      <c r="G706" s="18" t="n">
        <v>15.6</v>
      </c>
      <c r="H706" s="18">
        <f>IF(D706="","",D706*'参数与说明'!$B$6/45.3592)</f>
        <v/>
      </c>
      <c r="I706" s="19">
        <f>IFERROR(IF(D706="","",D706/INDEX($D:$D,MATCH(EDATE($A706,-1),$A:$A,0))-1),"")</f>
        <v/>
      </c>
      <c r="J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22.9</v>
      </c>
      <c r="E707" s="14" t="n">
        <v>24.9</v>
      </c>
      <c r="F707" s="14" t="n">
        <v>27.6</v>
      </c>
      <c r="G707" s="14" t="n">
        <v>16.7</v>
      </c>
      <c r="H707" s="14">
        <f>IF(D707="","",D707*'参数与说明'!$B$6/45.3592)</f>
        <v/>
      </c>
      <c r="I707" s="15">
        <f>IFERROR(IF(D707="","",D707/INDEX($D:$D,MATCH(EDATE($A707,-1),$A:$A,0))-1),"")</f>
        <v/>
      </c>
      <c r="J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23.4</v>
      </c>
      <c r="E708" s="18" t="n">
        <v>25.3</v>
      </c>
      <c r="F708" s="18" t="n">
        <v>28.1</v>
      </c>
      <c r="G708" s="18" t="n">
        <v>17.5</v>
      </c>
      <c r="H708" s="18">
        <f>IF(D708="","",D708*'参数与说明'!$B$6/45.3592)</f>
        <v/>
      </c>
      <c r="I708" s="19">
        <f>IFERROR(IF(D708="","",D708/INDEX($D:$D,MATCH(EDATE($A708,-1),$A:$A,0))-1),"")</f>
        <v/>
      </c>
      <c r="J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23.6</v>
      </c>
      <c r="E709" s="14" t="n">
        <v>25.4</v>
      </c>
      <c r="F709" s="14" t="n">
        <v>28.1</v>
      </c>
      <c r="G709" s="14" t="n">
        <v>17.8</v>
      </c>
      <c r="H709" s="14">
        <f>IF(D709="","",D709*'参数与说明'!$B$6/45.3592)</f>
        <v/>
      </c>
      <c r="I709" s="15">
        <f>IFERROR(IF(D709="","",D709/INDEX($D:$D,MATCH(EDATE($A709,-1),$A:$A,0))-1),"")</f>
        <v/>
      </c>
      <c r="J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23.7</v>
      </c>
      <c r="E710" s="18" t="n">
        <v>25.3</v>
      </c>
      <c r="F710" s="18" t="n">
        <v>28.2</v>
      </c>
      <c r="G710" s="18" t="n">
        <v>17.8</v>
      </c>
      <c r="H710" s="18">
        <f>IF(D710="","",D710*'参数与说明'!$B$6/45.3592)</f>
        <v/>
      </c>
      <c r="I710" s="19">
        <f>IFERROR(IF(D710="","",D710/INDEX($D:$D,MATCH(EDATE($A710,-1),$A:$A,0))-1),"")</f>
        <v/>
      </c>
      <c r="J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23.8</v>
      </c>
      <c r="E711" s="14" t="n">
        <v>25.5</v>
      </c>
      <c r="F711" s="14" t="n">
        <v>28.2</v>
      </c>
      <c r="G711" s="14" t="n">
        <v>18</v>
      </c>
      <c r="H711" s="14">
        <f>IF(D711="","",D711*'参数与说明'!$B$6/45.3592)</f>
        <v/>
      </c>
      <c r="I711" s="15">
        <f>IFERROR(IF(D711="","",D711/INDEX($D:$D,MATCH(EDATE($A711,-1),$A:$A,0))-1),"")</f>
        <v/>
      </c>
      <c r="J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24</v>
      </c>
      <c r="E712" s="18" t="n">
        <v>25.8</v>
      </c>
      <c r="F712" s="18" t="n">
        <v>28</v>
      </c>
      <c r="G712" s="18" t="n">
        <v>17.7</v>
      </c>
      <c r="H712" s="18">
        <f>IF(D712="","",D712*'参数与说明'!$B$6/45.3592)</f>
        <v/>
      </c>
      <c r="I712" s="19">
        <f>IFERROR(IF(D712="","",D712/INDEX($D:$D,MATCH(EDATE($A712,-1),$A:$A,0))-1),"")</f>
        <v/>
      </c>
      <c r="J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23.9</v>
      </c>
      <c r="E713" s="14" t="n">
        <v>25.8</v>
      </c>
      <c r="F713" s="14" t="n">
        <v>27.6</v>
      </c>
      <c r="G713" s="14" t="n">
        <v>17.4</v>
      </c>
      <c r="H713" s="14">
        <f>IF(D713="","",D713*'参数与说明'!$B$6/45.3592)</f>
        <v/>
      </c>
      <c r="I713" s="15">
        <f>IFERROR(IF(D713="","",D713/INDEX($D:$D,MATCH(EDATE($A713,-1),$A:$A,0))-1),"")</f>
        <v/>
      </c>
      <c r="J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23.6</v>
      </c>
      <c r="E714" s="18" t="n">
        <v>25.5</v>
      </c>
      <c r="F714" s="18" t="n">
        <v>27.1</v>
      </c>
      <c r="G714" s="18" t="n">
        <v>17</v>
      </c>
      <c r="H714" s="18">
        <f>IF(D714="","",D714*'参数与说明'!$B$6/45.3592)</f>
        <v/>
      </c>
      <c r="I714" s="19">
        <f>IFERROR(IF(D714="","",D714/INDEX($D:$D,MATCH(EDATE($A714,-1),$A:$A,0))-1),"")</f>
        <v/>
      </c>
      <c r="J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23</v>
      </c>
      <c r="E715" s="14" t="n">
        <v>24.9</v>
      </c>
      <c r="F715" s="14" t="n">
        <v>27.2</v>
      </c>
      <c r="G715" s="14" t="n">
        <v>16.6</v>
      </c>
      <c r="H715" s="14">
        <f>IF(D715="","",D715*'参数与说明'!$B$6/45.3592)</f>
        <v/>
      </c>
      <c r="I715" s="15">
        <f>IFERROR(IF(D715="","",D715/INDEX($D:$D,MATCH(EDATE($A715,-1),$A:$A,0))-1),"")</f>
        <v/>
      </c>
      <c r="J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23</v>
      </c>
      <c r="E716" s="18" t="n">
        <v>25.3</v>
      </c>
      <c r="F716" s="18" t="n">
        <v>27.4</v>
      </c>
      <c r="G716" s="18" t="n">
        <v>16.2</v>
      </c>
      <c r="H716" s="18">
        <f>IF(D716="","",D716*'参数与说明'!$B$6/45.3592)</f>
        <v/>
      </c>
      <c r="I716" s="19">
        <f>IFERROR(IF(D716="","",D716/INDEX($D:$D,MATCH(EDATE($A716,-1),$A:$A,0))-1),"")</f>
        <v/>
      </c>
      <c r="J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23.5</v>
      </c>
      <c r="E717" s="14" t="n">
        <v>26</v>
      </c>
      <c r="F717" s="14" t="n">
        <v>27.8</v>
      </c>
      <c r="G717" s="14" t="n">
        <v>16.5</v>
      </c>
      <c r="H717" s="14">
        <f>IF(D717="","",D717*'参数与说明'!$B$6/45.3592)</f>
        <v/>
      </c>
      <c r="I717" s="15">
        <f>IFERROR(IF(D717="","",D717/INDEX($D:$D,MATCH(EDATE($A717,-1),$A:$A,0))-1),"")</f>
        <v/>
      </c>
      <c r="J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23.8</v>
      </c>
      <c r="E718" s="18" t="n">
        <v>26.1</v>
      </c>
      <c r="F718" s="18" t="n">
        <v>28.3</v>
      </c>
      <c r="G718" s="18" t="n">
        <v>16.6</v>
      </c>
      <c r="H718" s="18">
        <f>IF(D718="","",D718*'参数与说明'!$B$6/45.3592)</f>
        <v/>
      </c>
      <c r="I718" s="19">
        <f>IFERROR(IF(D718="","",D718/INDEX($D:$D,MATCH(EDATE($A718,-1),$A:$A,0))-1),"")</f>
        <v/>
      </c>
      <c r="J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24.3</v>
      </c>
      <c r="E719" s="14" t="n">
        <v>26.3</v>
      </c>
      <c r="F719" s="14" t="n">
        <v>29.6</v>
      </c>
      <c r="G719" s="14" t="n">
        <v>17.7</v>
      </c>
      <c r="H719" s="14">
        <f>IF(D719="","",D719*'参数与说明'!$B$6/45.3592)</f>
        <v/>
      </c>
      <c r="I719" s="15">
        <f>IFERROR(IF(D719="","",D719/INDEX($D:$D,MATCH(EDATE($A719,-1),$A:$A,0))-1),"")</f>
        <v/>
      </c>
      <c r="J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25.4</v>
      </c>
      <c r="E720" s="18" t="n">
        <v>27.2</v>
      </c>
      <c r="F720" s="18" t="n">
        <v>30.5</v>
      </c>
      <c r="G720" s="18" t="n">
        <v>18.7</v>
      </c>
      <c r="H720" s="18">
        <f>IF(D720="","",D720*'参数与说明'!$B$6/45.3592)</f>
        <v/>
      </c>
      <c r="I720" s="19">
        <f>IFERROR(IF(D720="","",D720/INDEX($D:$D,MATCH(EDATE($A720,-1),$A:$A,0))-1),"")</f>
        <v/>
      </c>
      <c r="J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26.7</v>
      </c>
      <c r="E721" s="14" t="n">
        <v>28.6</v>
      </c>
      <c r="F721" s="14" t="n">
        <v>32.1</v>
      </c>
      <c r="G721" s="14" t="n">
        <v>19.2</v>
      </c>
      <c r="H721" s="14">
        <f>IF(D721="","",D721*'参数与说明'!$B$6/45.3592)</f>
        <v/>
      </c>
      <c r="I721" s="15">
        <f>IFERROR(IF(D721="","",D721/INDEX($D:$D,MATCH(EDATE($A721,-1),$A:$A,0))-1),"")</f>
        <v/>
      </c>
      <c r="J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28.6</v>
      </c>
      <c r="E722" s="18" t="n">
        <v>30.8</v>
      </c>
      <c r="F722" s="18" t="n">
        <v>33.4</v>
      </c>
      <c r="G722" s="18" t="n">
        <v>20.5</v>
      </c>
      <c r="H722" s="18">
        <f>IF(D722="","",D722*'参数与说明'!$B$6/45.3592)</f>
        <v/>
      </c>
      <c r="I722" s="19">
        <f>IFERROR(IF(D722="","",D722/INDEX($D:$D,MATCH(EDATE($A722,-1),$A:$A,0))-1),"")</f>
        <v/>
      </c>
      <c r="J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29.4</v>
      </c>
      <c r="E723" s="14" t="n">
        <v>31.9</v>
      </c>
      <c r="F723" s="14" t="n">
        <v>33.6</v>
      </c>
      <c r="G723" s="14" t="n">
        <v>20.7</v>
      </c>
      <c r="H723" s="14">
        <f>IF(D723="","",D723*'参数与说明'!$B$6/45.3592)</f>
        <v/>
      </c>
      <c r="I723" s="15">
        <f>IFERROR(IF(D723="","",D723/INDEX($D:$D,MATCH(EDATE($A723,-1),$A:$A,0))-1),"")</f>
        <v/>
      </c>
      <c r="J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27.9</v>
      </c>
      <c r="E724" s="18" t="n">
        <v>30.2</v>
      </c>
      <c r="F724" s="18" t="n">
        <v>32.1</v>
      </c>
      <c r="G724" s="18" t="n">
        <v>20.1</v>
      </c>
      <c r="H724" s="18">
        <f>IF(D724="","",D724*'参数与说明'!$B$6/45.3592)</f>
        <v/>
      </c>
      <c r="I724" s="19">
        <f>IFERROR(IF(D724="","",D724/INDEX($D:$D,MATCH(EDATE($A724,-1),$A:$A,0))-1),"")</f>
        <v/>
      </c>
      <c r="J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26.9</v>
      </c>
      <c r="E725" s="14" t="n">
        <v>28.9</v>
      </c>
      <c r="F725" s="14" t="n">
        <v>31.5</v>
      </c>
      <c r="G725" s="14" t="n">
        <v>20</v>
      </c>
      <c r="H725" s="14">
        <f>IF(D725="","",D725*'参数与说明'!$B$6/45.3592)</f>
        <v/>
      </c>
      <c r="I725" s="15">
        <f>IFERROR(IF(D725="","",D725/INDEX($D:$D,MATCH(EDATE($A725,-1),$A:$A,0))-1),"")</f>
        <v/>
      </c>
      <c r="J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26.1</v>
      </c>
      <c r="E726" s="18" t="n">
        <v>27.7</v>
      </c>
      <c r="F726" s="18" t="n">
        <v>31.5</v>
      </c>
      <c r="G726" s="18" t="n">
        <v>19.5</v>
      </c>
      <c r="H726" s="18">
        <f>IF(D726="","",D726*'参数与说明'!$B$6/45.3592)</f>
        <v/>
      </c>
      <c r="I726" s="19">
        <f>IFERROR(IF(D726="","",D726/INDEX($D:$D,MATCH(EDATE($A726,-1),$A:$A,0))-1),"")</f>
        <v/>
      </c>
      <c r="J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25.4</v>
      </c>
      <c r="E727" s="14" t="n">
        <v>27.2</v>
      </c>
      <c r="F727" s="14" t="n">
        <v>31.3</v>
      </c>
      <c r="G727" s="14" t="n">
        <v>18.9</v>
      </c>
      <c r="H727" s="14">
        <f>IF(D727="","",D727*'参数与说明'!$B$6/45.3592)</f>
        <v/>
      </c>
      <c r="I727" s="15">
        <f>IFERROR(IF(D727="","",D727/INDEX($D:$D,MATCH(EDATE($A727,-1),$A:$A,0))-1),"")</f>
        <v/>
      </c>
      <c r="J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24.9</v>
      </c>
      <c r="E728" s="18" t="n">
        <v>27.1</v>
      </c>
      <c r="F728" s="18" t="n">
        <v>31.3</v>
      </c>
      <c r="G728" s="18" t="n">
        <v>18.2</v>
      </c>
      <c r="H728" s="18">
        <f>IF(D728="","",D728*'参数与说明'!$B$6/45.3592)</f>
        <v/>
      </c>
      <c r="I728" s="19">
        <f>IFERROR(IF(D728="","",D728/INDEX($D:$D,MATCH(EDATE($A728,-1),$A:$A,0))-1),"")</f>
        <v/>
      </c>
      <c r="J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25.6</v>
      </c>
      <c r="E729" s="14" t="n">
        <v>27.8</v>
      </c>
      <c r="F729" s="14" t="n">
        <v>32.6</v>
      </c>
      <c r="G729" s="14" t="n">
        <v>19</v>
      </c>
      <c r="H729" s="14">
        <f>IF(D729="","",D729*'参数与说明'!$B$6/45.3592)</f>
        <v/>
      </c>
      <c r="I729" s="15">
        <f>IFERROR(IF(D729="","",D729/INDEX($D:$D,MATCH(EDATE($A729,-1),$A:$A,0))-1),"")</f>
        <v/>
      </c>
      <c r="J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>
        <v>28.4</v>
      </c>
      <c r="F730" s="18" t="n">
        <v>33.6</v>
      </c>
      <c r="G730" s="18" t="n">
        <v>19.8</v>
      </c>
      <c r="H730" s="18">
        <f>IF(D730="","",D730*'参数与说明'!$B$6/45.3592)</f>
        <v/>
      </c>
      <c r="I730" s="19">
        <f>IFERROR(IF(D730="","",D730/INDEX($D:$D,MATCH(EDATE($A730,-1),$A:$A,0))-1),"")</f>
        <v/>
      </c>
      <c r="J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27.4</v>
      </c>
      <c r="E731" s="14" t="n">
        <v>29.1</v>
      </c>
      <c r="F731" s="14" t="n">
        <v>35.1</v>
      </c>
      <c r="G731" s="14" t="n">
        <v>21.1</v>
      </c>
      <c r="H731" s="14">
        <f>IF(D731="","",D731*'参数与说明'!$B$6/45.3592)</f>
        <v/>
      </c>
      <c r="I731" s="15">
        <f>IFERROR(IF(D731="","",D731/INDEX($D:$D,MATCH(EDATE($A731,-1),$A:$A,0))-1),"")</f>
        <v/>
      </c>
      <c r="J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29</v>
      </c>
      <c r="E732" s="18" t="n">
        <v>30.7</v>
      </c>
      <c r="F732" s="18" t="n">
        <v>36.4</v>
      </c>
      <c r="G732" s="18" t="n">
        <v>22</v>
      </c>
      <c r="H732" s="18">
        <f>IF(D732="","",D732*'参数与说明'!$B$6/45.3592)</f>
        <v/>
      </c>
      <c r="I732" s="19">
        <f>IFERROR(IF(D732="","",D732/INDEX($D:$D,MATCH(EDATE($A732,-1),$A:$A,0))-1),"")</f>
        <v/>
      </c>
      <c r="J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28.7</v>
      </c>
      <c r="E733" s="14" t="n">
        <v>30.5</v>
      </c>
      <c r="F733" s="14" t="n">
        <v>35.9</v>
      </c>
      <c r="G733" s="14" t="n">
        <v>21.8</v>
      </c>
      <c r="H733" s="14">
        <f>IF(D733="","",D733*'参数与说明'!$B$6/45.3592)</f>
        <v/>
      </c>
      <c r="I733" s="15">
        <f>IFERROR(IF(D733="","",D733/INDEX($D:$D,MATCH(EDATE($A733,-1),$A:$A,0))-1),"")</f>
        <v/>
      </c>
      <c r="J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27.9</v>
      </c>
      <c r="E734" s="18" t="n">
        <v>29.5</v>
      </c>
      <c r="F734" s="18" t="n">
        <v>35.8</v>
      </c>
      <c r="G734" s="18" t="n">
        <v>21.5</v>
      </c>
      <c r="H734" s="18">
        <f>IF(D734="","",D734*'参数与说明'!$B$6/45.3592)</f>
        <v/>
      </c>
      <c r="I734" s="19">
        <f>IFERROR(IF(D734="","",D734/INDEX($D:$D,MATCH(EDATE($A734,-1),$A:$A,0))-1),"")</f>
        <v/>
      </c>
      <c r="J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28.1</v>
      </c>
      <c r="E735" s="14" t="n">
        <v>29.8</v>
      </c>
      <c r="F735" s="14" t="n">
        <v>35.3</v>
      </c>
      <c r="G735" s="14" t="n">
        <v>21.6</v>
      </c>
      <c r="H735" s="14">
        <f>IF(D735="","",D735*'参数与说明'!$B$6/45.3592)</f>
        <v/>
      </c>
      <c r="I735" s="15">
        <f>IFERROR(IF(D735="","",D735/INDEX($D:$D,MATCH(EDATE($A735,-1),$A:$A,0))-1),"")</f>
        <v/>
      </c>
      <c r="J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28.1</v>
      </c>
      <c r="E736" s="18" t="n">
        <v>30</v>
      </c>
      <c r="F736" s="18" t="n">
        <v>34.6</v>
      </c>
      <c r="G736" s="18" t="n">
        <v>20.6</v>
      </c>
      <c r="H736" s="18">
        <f>IF(D736="","",D736*'参数与说明'!$B$6/45.3592)</f>
        <v/>
      </c>
      <c r="I736" s="19">
        <f>IFERROR(IF(D736="","",D736/INDEX($D:$D,MATCH(EDATE($A736,-1),$A:$A,0))-1),"")</f>
        <v/>
      </c>
      <c r="J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27.1</v>
      </c>
      <c r="E737" s="14" t="n">
        <v>29</v>
      </c>
      <c r="F737" s="14" t="n">
        <v>34</v>
      </c>
      <c r="G737" s="14" t="n">
        <v>20</v>
      </c>
      <c r="H737" s="14">
        <f>IF(D737="","",D737*'参数与说明'!$B$6/45.3592)</f>
        <v/>
      </c>
      <c r="I737" s="15">
        <f>IFERROR(IF(D737="","",D737/INDEX($D:$D,MATCH(EDATE($A737,-1),$A:$A,0))-1),"")</f>
        <v/>
      </c>
      <c r="J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26.8</v>
      </c>
      <c r="E738" s="18" t="n">
        <v>28.6</v>
      </c>
      <c r="F738" s="18" t="n">
        <v>33.8</v>
      </c>
      <c r="G738" s="18" t="n">
        <v>19.9</v>
      </c>
      <c r="H738" s="18">
        <f>IF(D738="","",D738*'参数与说明'!$B$6/45.3592)</f>
        <v/>
      </c>
      <c r="I738" s="19">
        <f>IFERROR(IF(D738="","",D738/INDEX($D:$D,MATCH(EDATE($A738,-1),$A:$A,0))-1),"")</f>
        <v/>
      </c>
      <c r="J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26.5</v>
      </c>
      <c r="E739" s="14" t="n">
        <v>28.5</v>
      </c>
      <c r="F739" s="14" t="n">
        <v>34</v>
      </c>
      <c r="G739" s="14" t="n">
        <v>19.7</v>
      </c>
      <c r="H739" s="14">
        <f>IF(D739="","",D739*'参数与说明'!$B$6/45.3592)</f>
        <v/>
      </c>
      <c r="I739" s="15">
        <f>IFERROR(IF(D739="","",D739/INDEX($D:$D,MATCH(EDATE($A739,-1),$A:$A,0))-1),"")</f>
        <v/>
      </c>
      <c r="J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25.1</v>
      </c>
      <c r="E740" s="18" t="n">
        <v>27.3</v>
      </c>
      <c r="F740" s="18" t="n">
        <v>33.2</v>
      </c>
      <c r="G740" s="18" t="n">
        <v>18.7</v>
      </c>
      <c r="H740" s="18">
        <f>IF(D740="","",D740*'参数与说明'!$B$6/45.3592)</f>
        <v/>
      </c>
      <c r="I740" s="19">
        <f>IFERROR(IF(D740="","",D740/INDEX($D:$D,MATCH(EDATE($A740,-1),$A:$A,0))-1),"")</f>
        <v/>
      </c>
      <c r="J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24.4</v>
      </c>
      <c r="E741" s="14" t="n">
        <v>26.6</v>
      </c>
      <c r="F741" s="14" t="n">
        <v>32.7</v>
      </c>
      <c r="G741" s="14" t="n">
        <v>18.5</v>
      </c>
      <c r="H741" s="14">
        <f>IF(D741="","",D741*'参数与说明'!$B$6/45.3592)</f>
        <v/>
      </c>
      <c r="I741" s="15">
        <f>IFERROR(IF(D741="","",D741/INDEX($D:$D,MATCH(EDATE($A741,-1),$A:$A,0))-1),"")</f>
        <v/>
      </c>
      <c r="J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26.1</v>
      </c>
      <c r="E742" s="18" t="n">
        <v>28</v>
      </c>
      <c r="F742" s="18" t="n">
        <v>33.5</v>
      </c>
      <c r="G742" s="18" t="n">
        <v>19.3</v>
      </c>
      <c r="H742" s="18">
        <f>IF(D742="","",D742*'参数与说明'!$B$6/45.3592)</f>
        <v/>
      </c>
      <c r="I742" s="19">
        <f>IFERROR(IF(D742="","",D742/INDEX($D:$D,MATCH(EDATE($A742,-1),$A:$A,0))-1),"")</f>
        <v/>
      </c>
      <c r="J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28.9</v>
      </c>
      <c r="E743" s="14" t="n">
        <v>31</v>
      </c>
      <c r="F743" s="14" t="n">
        <v>35.7</v>
      </c>
      <c r="G743" s="14" t="n">
        <v>20.6</v>
      </c>
      <c r="H743" s="14">
        <f>IF(D743="","",D743*'参数与说明'!$B$6/45.3592)</f>
        <v/>
      </c>
      <c r="I743" s="15">
        <f>IFERROR(IF(D743="","",D743/INDEX($D:$D,MATCH(EDATE($A743,-1),$A:$A,0))-1),"")</f>
        <v/>
      </c>
      <c r="J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28.8</v>
      </c>
      <c r="E744" s="18" t="n">
        <v>30.7</v>
      </c>
      <c r="F744" s="18" t="n">
        <v>35.5</v>
      </c>
      <c r="G744" s="18" t="n">
        <v>20.8</v>
      </c>
      <c r="H744" s="18">
        <f>IF(D744="","",D744*'参数与说明'!$B$6/45.3592)</f>
        <v/>
      </c>
      <c r="I744" s="19">
        <f>IFERROR(IF(D744="","",D744/INDEX($D:$D,MATCH(EDATE($A744,-1),$A:$A,0))-1),"")</f>
        <v/>
      </c>
      <c r="J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29.1</v>
      </c>
      <c r="E745" s="14" t="n">
        <v>31.1</v>
      </c>
      <c r="F745" s="14" t="n">
        <v>35.4</v>
      </c>
      <c r="G745" s="14" t="n">
        <v>20.7</v>
      </c>
      <c r="H745" s="14">
        <f>IF(D745="","",D745*'参数与说明'!$B$6/45.3592)</f>
        <v/>
      </c>
      <c r="I745" s="15">
        <f>IFERROR(IF(D745="","",D745/INDEX($D:$D,MATCH(EDATE($A745,-1),$A:$A,0))-1),"")</f>
        <v/>
      </c>
      <c r="J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29.5</v>
      </c>
      <c r="E746" s="18" t="n">
        <v>31.4</v>
      </c>
      <c r="F746" s="18" t="n">
        <v>36</v>
      </c>
      <c r="G746" s="18" t="n">
        <v>21.2</v>
      </c>
      <c r="H746" s="18">
        <f>IF(D746="","",D746*'参数与说明'!$B$6/45.3592)</f>
        <v/>
      </c>
      <c r="I746" s="19">
        <f>IFERROR(IF(D746="","",D746/INDEX($D:$D,MATCH(EDATE($A746,-1),$A:$A,0))-1),"")</f>
        <v/>
      </c>
      <c r="J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28.9</v>
      </c>
      <c r="E747" s="14" t="n">
        <v>30.9</v>
      </c>
      <c r="F747" s="14" t="n">
        <v>35.6</v>
      </c>
      <c r="G747" s="14" t="n">
        <v>21.2</v>
      </c>
      <c r="H747" s="14">
        <f>IF(D747="","",D747*'参数与说明'!$B$6/45.3592)</f>
        <v/>
      </c>
      <c r="I747" s="15">
        <f>IFERROR(IF(D747="","",D747/INDEX($D:$D,MATCH(EDATE($A747,-1),$A:$A,0))-1),"")</f>
        <v/>
      </c>
      <c r="J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28.5</v>
      </c>
      <c r="E748" s="18" t="n">
        <v>30.5</v>
      </c>
      <c r="F748" s="18" t="n">
        <v>35.1</v>
      </c>
      <c r="G748" s="18" t="n">
        <v>20.7</v>
      </c>
      <c r="H748" s="18">
        <f>IF(D748="","",D748*'参数与说明'!$B$6/45.3592)</f>
        <v/>
      </c>
      <c r="I748" s="19">
        <f>IFERROR(IF(D748="","",D748/INDEX($D:$D,MATCH(EDATE($A748,-1),$A:$A,0))-1),"")</f>
        <v/>
      </c>
      <c r="J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29.3</v>
      </c>
      <c r="E749" s="14" t="n">
        <v>31.4</v>
      </c>
      <c r="F749" s="14" t="n">
        <v>36.4</v>
      </c>
      <c r="G749" s="14" t="n">
        <v>21</v>
      </c>
      <c r="H749" s="14">
        <f>IF(D749="","",D749*'参数与说明'!$B$6/45.3592)</f>
        <v/>
      </c>
      <c r="I749" s="15">
        <f>IFERROR(IF(D749="","",D749/INDEX($D:$D,MATCH(EDATE($A749,-1),$A:$A,0))-1),"")</f>
        <v/>
      </c>
      <c r="J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29.2</v>
      </c>
      <c r="E750" s="18" t="n">
        <v>31.2</v>
      </c>
      <c r="F750" s="18" t="n">
        <v>36.3</v>
      </c>
      <c r="G750" s="18" t="n">
        <v>20.9</v>
      </c>
      <c r="H750" s="18">
        <f>IF(D750="","",D750*'参数与说明'!$B$6/45.3592)</f>
        <v/>
      </c>
      <c r="I750" s="19">
        <f>IFERROR(IF(D750="","",D750/INDEX($D:$D,MATCH(EDATE($A750,-1),$A:$A,0))-1),"")</f>
        <v/>
      </c>
      <c r="J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29.3</v>
      </c>
      <c r="E751" s="14" t="n">
        <v>31.4</v>
      </c>
      <c r="F751" s="14" t="n">
        <v>36.9</v>
      </c>
      <c r="G751" s="14" t="n">
        <v>20.8</v>
      </c>
      <c r="H751" s="14">
        <f>IF(D751="","",D751*'参数与说明'!$B$6/45.3592)</f>
        <v/>
      </c>
      <c r="I751" s="15">
        <f>IFERROR(IF(D751="","",D751/INDEX($D:$D,MATCH(EDATE($A751,-1),$A:$A,0))-1),"")</f>
        <v/>
      </c>
      <c r="J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29.9</v>
      </c>
      <c r="E752" s="18" t="n">
        <v>32.6</v>
      </c>
      <c r="F752" s="18" t="n">
        <v>37.8</v>
      </c>
      <c r="G752" s="18" t="n">
        <v>20.7</v>
      </c>
      <c r="H752" s="18">
        <f>IF(D752="","",D752*'参数与说明'!$B$6/45.3592)</f>
        <v/>
      </c>
      <c r="I752" s="19">
        <f>IFERROR(IF(D752="","",D752/INDEX($D:$D,MATCH(EDATE($A752,-1),$A:$A,0))-1),"")</f>
        <v/>
      </c>
      <c r="J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30.3</v>
      </c>
      <c r="E753" s="14" t="n">
        <v>33.1</v>
      </c>
      <c r="F753" s="14" t="n">
        <v>38.4</v>
      </c>
      <c r="G753" s="14" t="n">
        <v>21</v>
      </c>
      <c r="H753" s="14">
        <f>IF(D753="","",D753*'参数与说明'!$B$6/45.3592)</f>
        <v/>
      </c>
      <c r="I753" s="15">
        <f>IFERROR(IF(D753="","",D753/INDEX($D:$D,MATCH(EDATE($A753,-1),$A:$A,0))-1),"")</f>
        <v/>
      </c>
      <c r="J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31.8</v>
      </c>
      <c r="E754" s="18" t="n">
        <v>34.5</v>
      </c>
      <c r="F754" s="18" t="n">
        <v>39.7</v>
      </c>
      <c r="G754" s="18" t="n">
        <v>21.8</v>
      </c>
      <c r="H754" s="18">
        <f>IF(D754="","",D754*'参数与说明'!$B$6/45.3592)</f>
        <v/>
      </c>
      <c r="I754" s="19">
        <f>IFERROR(IF(D754="","",D754/INDEX($D:$D,MATCH(EDATE($A754,-1),$A:$A,0))-1),"")</f>
        <v/>
      </c>
      <c r="J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32.9</v>
      </c>
      <c r="E755" s="14" t="n">
        <v>35.2</v>
      </c>
      <c r="F755" s="14" t="n">
        <v>41.2</v>
      </c>
      <c r="G755" s="14" t="n">
        <v>23.2</v>
      </c>
      <c r="H755" s="14">
        <f>IF(D755="","",D755*'参数与说明'!$B$6/45.3592)</f>
        <v/>
      </c>
      <c r="I755" s="15">
        <f>IFERROR(IF(D755="","",D755/INDEX($D:$D,MATCH(EDATE($A755,-1),$A:$A,0))-1),"")</f>
        <v/>
      </c>
      <c r="J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32.5</v>
      </c>
      <c r="E756" s="18" t="n">
        <v>34.7</v>
      </c>
      <c r="F756" s="18" t="n">
        <v>41.8</v>
      </c>
      <c r="G756" s="18" t="n">
        <v>23.7</v>
      </c>
      <c r="H756" s="18">
        <f>IF(D756="","",D756*'参数与说明'!$B$6/45.3592)</f>
        <v/>
      </c>
      <c r="I756" s="19">
        <f>IFERROR(IF(D756="","",D756/INDEX($D:$D,MATCH(EDATE($A756,-1),$A:$A,0))-1),"")</f>
        <v/>
      </c>
      <c r="J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32.2</v>
      </c>
      <c r="E757" s="14" t="n">
        <v>34.1</v>
      </c>
      <c r="F757" s="14" t="n">
        <v>41.5</v>
      </c>
      <c r="G757" s="14" t="n">
        <v>23.5</v>
      </c>
      <c r="H757" s="14">
        <f>IF(D757="","",D757*'参数与说明'!$B$6/45.3592)</f>
        <v/>
      </c>
      <c r="I757" s="15">
        <f>IFERROR(IF(D757="","",D757/INDEX($D:$D,MATCH(EDATE($A757,-1),$A:$A,0))-1),"")</f>
        <v/>
      </c>
      <c r="J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33.3</v>
      </c>
      <c r="E758" s="18" t="n">
        <v>35.1</v>
      </c>
      <c r="F758" s="18" t="n">
        <v>42.9</v>
      </c>
      <c r="G758" s="18" t="n">
        <v>24.6</v>
      </c>
      <c r="H758" s="18">
        <f>IF(D758="","",D758*'参数与说明'!$B$6/45.3592)</f>
        <v/>
      </c>
      <c r="I758" s="19">
        <f>IFERROR(IF(D758="","",D758/INDEX($D:$D,MATCH(EDATE($A758,-1),$A:$A,0))-1),"")</f>
        <v/>
      </c>
      <c r="J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34.5</v>
      </c>
      <c r="E759" s="14" t="n">
        <v>36.6</v>
      </c>
      <c r="F759" s="14" t="n">
        <v>44</v>
      </c>
      <c r="G759" s="14" t="n">
        <v>24.9</v>
      </c>
      <c r="H759" s="14">
        <f>IF(D759="","",D759*'参数与说明'!$B$6/45.3592)</f>
        <v/>
      </c>
      <c r="I759" s="15">
        <f>IFERROR(IF(D759="","",D759/INDEX($D:$D,MATCH(EDATE($A759,-1),$A:$A,0))-1),"")</f>
        <v/>
      </c>
      <c r="J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34.6</v>
      </c>
      <c r="E760" s="18" t="n">
        <v>37</v>
      </c>
      <c r="F760" s="18" t="n">
        <v>45.1</v>
      </c>
      <c r="G760" s="18" t="n">
        <v>25</v>
      </c>
      <c r="H760" s="18">
        <f>IF(D760="","",D760*'参数与说明'!$B$6/45.3592)</f>
        <v/>
      </c>
      <c r="I760" s="19">
        <f>IFERROR(IF(D760="","",D760/INDEX($D:$D,MATCH(EDATE($A760,-1),$A:$A,0))-1),"")</f>
        <v/>
      </c>
      <c r="J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33.6</v>
      </c>
      <c r="E761" s="14" t="n">
        <v>35.6</v>
      </c>
      <c r="F761" s="14" t="n">
        <v>45</v>
      </c>
      <c r="G761" s="14" t="n">
        <v>25.3</v>
      </c>
      <c r="H761" s="14">
        <f>IF(D761="","",D761*'参数与说明'!$B$6/45.3592)</f>
        <v/>
      </c>
      <c r="I761" s="15">
        <f>IFERROR(IF(D761="","",D761/INDEX($D:$D,MATCH(EDATE($A761,-1),$A:$A,0))-1),"")</f>
        <v/>
      </c>
      <c r="J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34</v>
      </c>
      <c r="E762" s="18" t="n">
        <v>35.8</v>
      </c>
      <c r="F762" s="18" t="n">
        <v>45.6</v>
      </c>
      <c r="G762" s="18" t="n">
        <v>25.1</v>
      </c>
      <c r="H762" s="18">
        <f>IF(D762="","",D762*'参数与说明'!$B$6/45.3592)</f>
        <v/>
      </c>
      <c r="I762" s="19">
        <f>IFERROR(IF(D762="","",D762/INDEX($D:$D,MATCH(EDATE($A762,-1),$A:$A,0))-1),"")</f>
        <v/>
      </c>
      <c r="J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34.4</v>
      </c>
      <c r="E763" s="14" t="n">
        <v>36.5</v>
      </c>
      <c r="F763" s="14" t="n">
        <v>47.1</v>
      </c>
      <c r="G763" s="14" t="n">
        <v>25.2</v>
      </c>
      <c r="H763" s="14">
        <f>IF(D763="","",D763*'参数与说明'!$B$6/45.3592)</f>
        <v/>
      </c>
      <c r="I763" s="15">
        <f>IFERROR(IF(D763="","",D763/INDEX($D:$D,MATCH(EDATE($A763,-1),$A:$A,0))-1),"")</f>
        <v/>
      </c>
      <c r="J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33</v>
      </c>
      <c r="E764" s="18" t="n">
        <v>35.3</v>
      </c>
      <c r="F764" s="18" t="n">
        <v>46.8</v>
      </c>
      <c r="G764" s="18" t="n">
        <v>24.8</v>
      </c>
      <c r="H764" s="18">
        <f>IF(D764="","",D764*'参数与说明'!$B$6/45.3592)</f>
        <v/>
      </c>
      <c r="I764" s="19">
        <f>IFERROR(IF(D764="","",D764/INDEX($D:$D,MATCH(EDATE($A764,-1),$A:$A,0))-1),"")</f>
        <v/>
      </c>
      <c r="J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34.8</v>
      </c>
      <c r="E765" s="14" t="n">
        <v>37.4</v>
      </c>
      <c r="F765" s="14" t="n">
        <v>46.6</v>
      </c>
      <c r="G765" s="14" t="n">
        <v>25.1</v>
      </c>
      <c r="H765" s="14">
        <f>IF(D765="","",D765*'参数与说明'!$B$6/45.3592)</f>
        <v/>
      </c>
      <c r="I765" s="15">
        <f>IFERROR(IF(D765="","",D765/INDEX($D:$D,MATCH(EDATE($A765,-1),$A:$A,0))-1),"")</f>
        <v/>
      </c>
      <c r="J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37.9</v>
      </c>
      <c r="E766" s="18" t="n">
        <v>40.8</v>
      </c>
      <c r="F766" s="18" t="n">
        <v>49.4</v>
      </c>
      <c r="G766" s="18" t="n">
        <v>26.2</v>
      </c>
      <c r="H766" s="18">
        <f>IF(D766="","",D766*'参数与说明'!$B$6/45.3592)</f>
        <v/>
      </c>
      <c r="I766" s="19">
        <f>IFERROR(IF(D766="","",D766/INDEX($D:$D,MATCH(EDATE($A766,-1),$A:$A,0))-1),"")</f>
        <v/>
      </c>
      <c r="J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40.7</v>
      </c>
      <c r="E767" s="14" t="n">
        <v>43.4</v>
      </c>
      <c r="F767" s="14" t="n">
        <v>53</v>
      </c>
      <c r="G767" s="14" t="n">
        <v>29.8</v>
      </c>
      <c r="H767" s="14">
        <f>IF(D767="","",D767*'参数与说明'!$B$6/45.3592)</f>
        <v/>
      </c>
      <c r="I767" s="15">
        <f>IFERROR(IF(D767="","",D767/INDEX($D:$D,MATCH(EDATE($A767,-1),$A:$A,0))-1),"")</f>
        <v/>
      </c>
      <c r="J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43.8</v>
      </c>
      <c r="E768" s="18" t="n">
        <v>46.3</v>
      </c>
      <c r="F768" s="18" t="n">
        <v>58.5</v>
      </c>
      <c r="G768" s="18" t="n">
        <v>33.2</v>
      </c>
      <c r="H768" s="18">
        <f>IF(D768="","",D768*'参数与说明'!$B$6/45.3592)</f>
        <v/>
      </c>
      <c r="I768" s="19">
        <f>IFERROR(IF(D768="","",D768/INDEX($D:$D,MATCH(EDATE($A768,-1),$A:$A,0))-1),"")</f>
        <v/>
      </c>
      <c r="J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42.8</v>
      </c>
      <c r="E769" s="14" t="n">
        <v>44.9</v>
      </c>
      <c r="F769" s="14" t="n">
        <v>56.6</v>
      </c>
      <c r="G769" s="14" t="n">
        <v>32.6</v>
      </c>
      <c r="H769" s="14">
        <f>IF(D769="","",D769*'参数与说明'!$B$6/45.3592)</f>
        <v/>
      </c>
      <c r="I769" s="15">
        <f>IFERROR(IF(D769="","",D769/INDEX($D:$D,MATCH(EDATE($A769,-1),$A:$A,0))-1),"")</f>
        <v/>
      </c>
      <c r="J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43.6</v>
      </c>
      <c r="E770" s="18" t="n">
        <v>45.7</v>
      </c>
      <c r="F770" s="18" t="n">
        <v>58.9</v>
      </c>
      <c r="G770" s="18" t="n">
        <v>33.1</v>
      </c>
      <c r="H770" s="18">
        <f>IF(D770="","",D770*'参数与说明'!$B$6/45.3592)</f>
        <v/>
      </c>
      <c r="I770" s="19">
        <f>IFERROR(IF(D770="","",D770/INDEX($D:$D,MATCH(EDATE($A770,-1),$A:$A,0))-1),"")</f>
        <v/>
      </c>
      <c r="J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43.9</v>
      </c>
      <c r="E771" s="14" t="n">
        <v>46.1</v>
      </c>
      <c r="F771" s="14" t="n">
        <v>58.5</v>
      </c>
      <c r="G771" s="14" t="n">
        <v>32.8</v>
      </c>
      <c r="H771" s="14">
        <f>IF(D771="","",D771*'参数与说明'!$B$6/45.3592)</f>
        <v/>
      </c>
      <c r="I771" s="15">
        <f>IFERROR(IF(D771="","",D771/INDEX($D:$D,MATCH(EDATE($A771,-1),$A:$A,0))-1),"")</f>
        <v/>
      </c>
      <c r="J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44.6</v>
      </c>
      <c r="E772" s="18" t="n">
        <v>47.3</v>
      </c>
      <c r="F772" s="18" t="n">
        <v>59.2</v>
      </c>
      <c r="G772" s="18" t="n">
        <v>33.4</v>
      </c>
      <c r="H772" s="18">
        <f>IF(D772="","",D772*'参数与说明'!$B$6/45.3592)</f>
        <v/>
      </c>
      <c r="I772" s="19">
        <f>IFERROR(IF(D772="","",D772/INDEX($D:$D,MATCH(EDATE($A772,-1),$A:$A,0))-1),"")</f>
        <v/>
      </c>
      <c r="J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51.7</v>
      </c>
      <c r="E773" s="14" t="n">
        <v>55.1</v>
      </c>
      <c r="F773" s="14" t="n">
        <v>68.2</v>
      </c>
      <c r="G773" s="14" t="n">
        <v>37.6</v>
      </c>
      <c r="H773" s="14">
        <f>IF(D773="","",D773*'参数与说明'!$B$6/45.3592)</f>
        <v/>
      </c>
      <c r="I773" s="15">
        <f>IFERROR(IF(D773="","",D773/INDEX($D:$D,MATCH(EDATE($A773,-1),$A:$A,0))-1),"")</f>
        <v/>
      </c>
      <c r="J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46.7</v>
      </c>
      <c r="E774" s="18" t="n">
        <v>49.1</v>
      </c>
      <c r="F774" s="18" t="n">
        <v>61.2</v>
      </c>
      <c r="G774" s="18" t="n">
        <v>35.3</v>
      </c>
      <c r="H774" s="18">
        <f>IF(D774="","",D774*'参数与说明'!$B$6/45.3592)</f>
        <v/>
      </c>
      <c r="I774" s="19">
        <f>IFERROR(IF(D774="","",D774/INDEX($D:$D,MATCH(EDATE($A774,-1),$A:$A,0))-1),"")</f>
        <v/>
      </c>
      <c r="J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42.7</v>
      </c>
      <c r="E775" s="14" t="n">
        <v>44.7</v>
      </c>
      <c r="F775" s="14" t="n">
        <v>57.7</v>
      </c>
      <c r="G775" s="14" t="n">
        <v>33.3</v>
      </c>
      <c r="H775" s="14">
        <f>IF(D775="","",D775*'参数与说明'!$B$6/45.3592)</f>
        <v/>
      </c>
      <c r="I775" s="15">
        <f>IFERROR(IF(D775="","",D775/INDEX($D:$D,MATCH(EDATE($A775,-1),$A:$A,0))-1),"")</f>
        <v/>
      </c>
      <c r="J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39.6</v>
      </c>
      <c r="E776" s="18" t="n">
        <v>42</v>
      </c>
      <c r="F776" s="18" t="n">
        <v>52.8</v>
      </c>
      <c r="G776" s="18" t="n">
        <v>29.9</v>
      </c>
      <c r="H776" s="18">
        <f>IF(D776="","",D776*'参数与说明'!$B$6/45.3592)</f>
        <v/>
      </c>
      <c r="I776" s="19">
        <f>IFERROR(IF(D776="","",D776/INDEX($D:$D,MATCH(EDATE($A776,-1),$A:$A,0))-1),"")</f>
        <v/>
      </c>
      <c r="J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37.7</v>
      </c>
      <c r="E777" s="14" t="n">
        <v>39.9</v>
      </c>
      <c r="F777" s="14" t="n">
        <v>50.1</v>
      </c>
      <c r="G777" s="14" t="n">
        <v>29.4</v>
      </c>
      <c r="H777" s="14">
        <f>IF(D777="","",D777*'参数与说明'!$B$6/45.3592)</f>
        <v/>
      </c>
      <c r="I777" s="15">
        <f>IFERROR(IF(D777="","",D777/INDEX($D:$D,MATCH(EDATE($A777,-1),$A:$A,0))-1),"")</f>
        <v/>
      </c>
      <c r="J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44.2</v>
      </c>
      <c r="E778" s="18" t="n">
        <v>47.4</v>
      </c>
      <c r="F778" s="18" t="n">
        <v>54.1</v>
      </c>
      <c r="G778" s="18" t="n">
        <v>31.8</v>
      </c>
      <c r="H778" s="18">
        <f>IF(D778="","",D778*'参数与说明'!$B$6/45.3592)</f>
        <v/>
      </c>
      <c r="I778" s="19">
        <f>IFERROR(IF(D778="","",D778/INDEX($D:$D,MATCH(EDATE($A778,-1),$A:$A,0))-1),"")</f>
        <v/>
      </c>
      <c r="J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43.6</v>
      </c>
      <c r="E779" s="14" t="n">
        <v>46.5</v>
      </c>
      <c r="F779" s="14" t="n">
        <v>53.3</v>
      </c>
      <c r="G779" s="14" t="n">
        <v>32.9</v>
      </c>
      <c r="H779" s="14">
        <f>IF(D779="","",D779*'参数与说明'!$B$6/45.3592)</f>
        <v/>
      </c>
      <c r="I779" s="15">
        <f>IFERROR(IF(D779="","",D779/INDEX($D:$D,MATCH(EDATE($A779,-1),$A:$A,0))-1),"")</f>
        <v/>
      </c>
      <c r="J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40.7</v>
      </c>
      <c r="E780" s="18" t="n">
        <v>42.8</v>
      </c>
      <c r="F780" s="18" t="n">
        <v>49.6</v>
      </c>
      <c r="G780" s="18" t="n">
        <v>32.2</v>
      </c>
      <c r="H780" s="18">
        <f>IF(D780="","",D780*'参数与说明'!$B$6/45.3592)</f>
        <v/>
      </c>
      <c r="I780" s="19">
        <f>IFERROR(IF(D780="","",D780/INDEX($D:$D,MATCH(EDATE($A780,-1),$A:$A,0))-1),"")</f>
        <v/>
      </c>
      <c r="J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39.2</v>
      </c>
      <c r="E781" s="14" t="n">
        <v>41.1</v>
      </c>
      <c r="F781" s="14" t="n">
        <v>47.4</v>
      </c>
      <c r="G781" s="14" t="n">
        <v>30.6</v>
      </c>
      <c r="H781" s="14">
        <f>IF(D781="","",D781*'参数与说明'!$B$6/45.3592)</f>
        <v/>
      </c>
      <c r="I781" s="15">
        <f>IFERROR(IF(D781="","",D781/INDEX($D:$D,MATCH(EDATE($A781,-1),$A:$A,0))-1),"")</f>
        <v/>
      </c>
      <c r="J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37.3</v>
      </c>
      <c r="E782" s="18" t="n">
        <v>39.2</v>
      </c>
      <c r="F782" s="18" t="n">
        <v>42.7</v>
      </c>
      <c r="G782" s="18" t="n">
        <v>28.8</v>
      </c>
      <c r="H782" s="18">
        <f>IF(D782="","",D782*'参数与说明'!$B$6/45.3592)</f>
        <v/>
      </c>
      <c r="I782" s="19">
        <f>IFERROR(IF(D782="","",D782/INDEX($D:$D,MATCH(EDATE($A782,-1),$A:$A,0))-1),"")</f>
        <v/>
      </c>
      <c r="J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32.6</v>
      </c>
      <c r="E783" s="14" t="n">
        <v>34.3</v>
      </c>
      <c r="F783" s="14" t="n">
        <v>37.4</v>
      </c>
      <c r="G783" s="14" t="n">
        <v>24.9</v>
      </c>
      <c r="H783" s="14">
        <f>IF(D783="","",D783*'参数与说明'!$B$6/45.3592)</f>
        <v/>
      </c>
      <c r="I783" s="15">
        <f>IFERROR(IF(D783="","",D783/INDEX($D:$D,MATCH(EDATE($A783,-1),$A:$A,0))-1),"")</f>
        <v/>
      </c>
      <c r="J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35.3</v>
      </c>
      <c r="E784" s="18" t="n">
        <v>38.3</v>
      </c>
      <c r="F784" s="18" t="n">
        <v>36</v>
      </c>
      <c r="G784" s="18" t="n">
        <v>23.6</v>
      </c>
      <c r="H784" s="18">
        <f>IF(D784="","",D784*'参数与说明'!$B$6/45.3592)</f>
        <v/>
      </c>
      <c r="I784" s="19">
        <f>IFERROR(IF(D784="","",D784/INDEX($D:$D,MATCH(EDATE($A784,-1),$A:$A,0))-1),"")</f>
        <v/>
      </c>
      <c r="J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37</v>
      </c>
      <c r="E785" s="14" t="n">
        <v>40.5</v>
      </c>
      <c r="F785" s="14" t="n">
        <v>34.3</v>
      </c>
      <c r="G785" s="14" t="n">
        <v>24</v>
      </c>
      <c r="H785" s="14">
        <f>IF(D785="","",D785*'参数与说明'!$B$6/45.3592)</f>
        <v/>
      </c>
      <c r="I785" s="15">
        <f>IFERROR(IF(D785="","",D785/INDEX($D:$D,MATCH(EDATE($A785,-1),$A:$A,0))-1),"")</f>
        <v/>
      </c>
      <c r="J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32.6</v>
      </c>
      <c r="E786" s="18" t="n">
        <v>35.4</v>
      </c>
      <c r="F786" s="18" t="n">
        <v>30.1</v>
      </c>
      <c r="G786" s="18" t="n">
        <v>21.6</v>
      </c>
      <c r="H786" s="18">
        <f>IF(D786="","",D786*'参数与说明'!$B$6/45.3592)</f>
        <v/>
      </c>
      <c r="I786" s="19">
        <f>IFERROR(IF(D786="","",D786/INDEX($D:$D,MATCH(EDATE($A786,-1),$A:$A,0))-1),"")</f>
        <v/>
      </c>
      <c r="J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30.6</v>
      </c>
      <c r="E787" s="14" t="n">
        <v>33.4</v>
      </c>
      <c r="F787" s="14" t="n">
        <v>27.7</v>
      </c>
      <c r="G787" s="14" t="n">
        <v>19</v>
      </c>
      <c r="H787" s="14">
        <f>IF(D787="","",D787*'参数与说明'!$B$6/45.3592)</f>
        <v/>
      </c>
      <c r="I787" s="15">
        <f>IFERROR(IF(D787="","",D787/INDEX($D:$D,MATCH(EDATE($A787,-1),$A:$A,0))-1),"")</f>
        <v/>
      </c>
      <c r="J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28.2</v>
      </c>
      <c r="E788" s="18" t="n">
        <v>31.7</v>
      </c>
      <c r="F788" s="18" t="n">
        <v>25.7</v>
      </c>
      <c r="G788" s="18" t="n">
        <v>17.1</v>
      </c>
      <c r="H788" s="18">
        <f>IF(D788="","",D788*'参数与说明'!$B$6/45.3592)</f>
        <v/>
      </c>
      <c r="I788" s="19">
        <f>IFERROR(IF(D788="","",D788/INDEX($D:$D,MATCH(EDATE($A788,-1),$A:$A,0))-1),"")</f>
        <v/>
      </c>
      <c r="J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27.7</v>
      </c>
      <c r="E789" s="14" t="n">
        <v>31</v>
      </c>
      <c r="F789" s="14" t="n">
        <v>25</v>
      </c>
      <c r="G789" s="14" t="n">
        <v>16.9</v>
      </c>
      <c r="H789" s="14">
        <f>IF(D789="","",D789*'参数与说明'!$B$6/45.3592)</f>
        <v/>
      </c>
      <c r="I789" s="15">
        <f>IFERROR(IF(D789="","",D789/INDEX($D:$D,MATCH(EDATE($A789,-1),$A:$A,0))-1),"")</f>
        <v/>
      </c>
      <c r="J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27.4</v>
      </c>
      <c r="E790" s="18" t="n">
        <v>30.9</v>
      </c>
      <c r="F790" s="18" t="n">
        <v>23.9</v>
      </c>
      <c r="G790" s="18" t="n">
        <v>16.5</v>
      </c>
      <c r="H790" s="18">
        <f>IF(D790="","",D790*'参数与说明'!$B$6/45.3592)</f>
        <v/>
      </c>
      <c r="I790" s="19">
        <f>IFERROR(IF(D790="","",D790/INDEX($D:$D,MATCH(EDATE($A790,-1),$A:$A,0))-1),"")</f>
        <v/>
      </c>
      <c r="J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26.8</v>
      </c>
      <c r="E791" s="14" t="n">
        <v>29.5</v>
      </c>
      <c r="F791" s="14" t="n">
        <v>24.5</v>
      </c>
      <c r="G791" s="14" t="n">
        <v>18.1</v>
      </c>
      <c r="H791" s="14">
        <f>IF(D791="","",D791*'参数与说明'!$B$6/45.3592)</f>
        <v/>
      </c>
      <c r="I791" s="15">
        <f>IFERROR(IF(D791="","",D791/INDEX($D:$D,MATCH(EDATE($A791,-1),$A:$A,0))-1),"")</f>
        <v/>
      </c>
      <c r="J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27.8</v>
      </c>
      <c r="E792" s="18" t="n">
        <v>30.3</v>
      </c>
      <c r="F792" s="18" t="n">
        <v>24.8</v>
      </c>
      <c r="G792" s="18" t="n">
        <v>18.7</v>
      </c>
      <c r="H792" s="18">
        <f>IF(D792="","",D792*'参数与说明'!$B$6/45.3592)</f>
        <v/>
      </c>
      <c r="I792" s="19">
        <f>IFERROR(IF(D792="","",D792/INDEX($D:$D,MATCH(EDATE($A792,-1),$A:$A,0))-1),"")</f>
        <v/>
      </c>
      <c r="J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31.6</v>
      </c>
      <c r="E793" s="14" t="n">
        <v>34.9</v>
      </c>
      <c r="F793" s="14" t="n">
        <v>26.9</v>
      </c>
      <c r="G793" s="14" t="n">
        <v>20.1</v>
      </c>
      <c r="H793" s="14">
        <f>IF(D793="","",D793*'参数与说明'!$B$6/45.3592)</f>
        <v/>
      </c>
      <c r="I793" s="15">
        <f>IFERROR(IF(D793="","",D793/INDEX($D:$D,MATCH(EDATE($A793,-1),$A:$A,0))-1),"")</f>
        <v/>
      </c>
      <c r="J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35.3</v>
      </c>
      <c r="E794" s="18" t="n">
        <v>39.3</v>
      </c>
      <c r="F794" s="18" t="n">
        <v>29.1</v>
      </c>
      <c r="G794" s="18" t="n">
        <v>22</v>
      </c>
      <c r="H794" s="18">
        <f>IF(D794="","",D794*'参数与说明'!$B$6/45.3592)</f>
        <v/>
      </c>
      <c r="I794" s="19">
        <f>IFERROR(IF(D794="","",D794/INDEX($D:$D,MATCH(EDATE($A794,-1),$A:$A,0))-1),"")</f>
        <v/>
      </c>
      <c r="J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36.8</v>
      </c>
      <c r="E795" s="14" t="n">
        <v>41.6</v>
      </c>
      <c r="F795" s="14" t="n">
        <v>29.1</v>
      </c>
      <c r="G795" s="14" t="n">
        <v>21.9</v>
      </c>
      <c r="H795" s="14">
        <f>IF(D795="","",D795*'参数与说明'!$B$6/45.3592)</f>
        <v/>
      </c>
      <c r="I795" s="15">
        <f>IFERROR(IF(D795="","",D795/INDEX($D:$D,MATCH(EDATE($A795,-1),$A:$A,0))-1),"")</f>
        <v/>
      </c>
      <c r="J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35.2</v>
      </c>
      <c r="E796" s="18" t="n">
        <v>39.9</v>
      </c>
      <c r="F796" s="18" t="n">
        <v>27.7</v>
      </c>
      <c r="G796" s="18" t="n">
        <v>20.5</v>
      </c>
      <c r="H796" s="18">
        <f>IF(D796="","",D796*'参数与说明'!$B$6/45.3592)</f>
        <v/>
      </c>
      <c r="I796" s="19">
        <f>IFERROR(IF(D796="","",D796/INDEX($D:$D,MATCH(EDATE($A796,-1),$A:$A,0))-1),"")</f>
        <v/>
      </c>
      <c r="J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32.3</v>
      </c>
      <c r="E797" s="14" t="n">
        <v>36.4</v>
      </c>
      <c r="F797" s="14" t="n">
        <v>25.4</v>
      </c>
      <c r="G797" s="14" t="n">
        <v>19.6</v>
      </c>
      <c r="H797" s="14">
        <f>IF(D797="","",D797*'参数与说明'!$B$6/45.3592)</f>
        <v/>
      </c>
      <c r="I797" s="15">
        <f>IFERROR(IF(D797="","",D797/INDEX($D:$D,MATCH(EDATE($A797,-1),$A:$A,0))-1),"")</f>
        <v/>
      </c>
      <c r="J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34</v>
      </c>
      <c r="E798" s="18" t="n">
        <v>38.2</v>
      </c>
      <c r="F798" s="18" t="n">
        <v>26.9</v>
      </c>
      <c r="G798" s="18" t="n">
        <v>20.3</v>
      </c>
      <c r="H798" s="18">
        <f>IF(D798="","",D798*'参数与说明'!$B$6/45.3592)</f>
        <v/>
      </c>
      <c r="I798" s="19">
        <f>IFERROR(IF(D798="","",D798/INDEX($D:$D,MATCH(EDATE($A798,-1),$A:$A,0))-1),"")</f>
        <v/>
      </c>
      <c r="J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33.4</v>
      </c>
      <c r="E799" s="14" t="n">
        <v>37.8</v>
      </c>
      <c r="F799" s="14" t="n">
        <v>26.6</v>
      </c>
      <c r="G799" s="14" t="n">
        <v>19.6</v>
      </c>
      <c r="H799" s="14">
        <f>IF(D799="","",D799*'参数与说明'!$B$6/45.3592)</f>
        <v/>
      </c>
      <c r="I799" s="15">
        <f>IFERROR(IF(D799="","",D799/INDEX($D:$D,MATCH(EDATE($A799,-1),$A:$A,0))-1),"")</f>
        <v/>
      </c>
      <c r="J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32.3</v>
      </c>
      <c r="E800" s="18" t="n">
        <v>36.9</v>
      </c>
      <c r="F800" s="18" t="n">
        <v>28.3</v>
      </c>
      <c r="G800" s="18" t="n">
        <v>20</v>
      </c>
      <c r="H800" s="18">
        <f>IF(D800="","",D800*'参数与说明'!$B$6/45.3592)</f>
        <v/>
      </c>
      <c r="I800" s="19">
        <f>IFERROR(IF(D800="","",D800/INDEX($D:$D,MATCH(EDATE($A800,-1),$A:$A,0))-1),"")</f>
        <v/>
      </c>
      <c r="J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33.5</v>
      </c>
      <c r="E801" s="14" t="n">
        <v>38.5</v>
      </c>
      <c r="F801" s="14" t="n">
        <v>30</v>
      </c>
      <c r="G801" s="14" t="n">
        <v>20.1</v>
      </c>
      <c r="H801" s="14">
        <f>IF(D801="","",D801*'参数与说明'!$B$6/45.3592)</f>
        <v/>
      </c>
      <c r="I801" s="15">
        <f>IFERROR(IF(D801="","",D801/INDEX($D:$D,MATCH(EDATE($A801,-1),$A:$A,0))-1),"")</f>
        <v/>
      </c>
      <c r="J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32.8</v>
      </c>
      <c r="E802" s="18" t="n">
        <v>36.7</v>
      </c>
      <c r="F802" s="18" t="n">
        <v>30.8</v>
      </c>
      <c r="G802" s="18" t="n">
        <v>22</v>
      </c>
      <c r="H802" s="18">
        <f>IF(D802="","",D802*'参数与说明'!$B$6/45.3592)</f>
        <v/>
      </c>
      <c r="I802" s="19">
        <f>IFERROR(IF(D802="","",D802/INDEX($D:$D,MATCH(EDATE($A802,-1),$A:$A,0))-1),"")</f>
        <v/>
      </c>
      <c r="J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33.9</v>
      </c>
      <c r="E803" s="14" t="n">
        <v>36.6</v>
      </c>
      <c r="F803" s="14" t="n">
        <v>33.8</v>
      </c>
      <c r="G803" s="14" t="n">
        <v>25</v>
      </c>
      <c r="H803" s="14">
        <f>IF(D803="","",D803*'参数与说明'!$B$6/45.3592)</f>
        <v/>
      </c>
      <c r="I803" s="15">
        <f>IFERROR(IF(D803="","",D803/INDEX($D:$D,MATCH(EDATE($A803,-1),$A:$A,0))-1),"")</f>
        <v/>
      </c>
      <c r="J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33.4</v>
      </c>
      <c r="E804" s="18" t="n">
        <v>35.2</v>
      </c>
      <c r="F804" s="18" t="n">
        <v>34.8</v>
      </c>
      <c r="G804" s="18" t="n">
        <v>26.9</v>
      </c>
      <c r="H804" s="18">
        <f>IF(D804="","",D804*'参数与说明'!$B$6/45.3592)</f>
        <v/>
      </c>
      <c r="I804" s="19">
        <f>IFERROR(IF(D804="","",D804/INDEX($D:$D,MATCH(EDATE($A804,-1),$A:$A,0))-1),"")</f>
        <v/>
      </c>
      <c r="J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38</v>
      </c>
      <c r="E805" s="14" t="n">
        <v>40.5</v>
      </c>
      <c r="F805" s="14" t="n">
        <v>38.2</v>
      </c>
      <c r="G805" s="14" t="n">
        <v>28.9</v>
      </c>
      <c r="H805" s="14">
        <f>IF(D805="","",D805*'参数与说明'!$B$6/45.3592)</f>
        <v/>
      </c>
      <c r="I805" s="15">
        <f>IFERROR(IF(D805="","",D805/INDEX($D:$D,MATCH(EDATE($A805,-1),$A:$A,0))-1),"")</f>
        <v/>
      </c>
      <c r="J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37.1</v>
      </c>
      <c r="E806" s="18" t="n">
        <v>39.4</v>
      </c>
      <c r="F806" s="18" t="n">
        <v>38.8</v>
      </c>
      <c r="G806" s="18" t="n">
        <v>28.9</v>
      </c>
      <c r="H806" s="18">
        <f>IF(D806="","",D806*'参数与说明'!$B$6/45.3592)</f>
        <v/>
      </c>
      <c r="I806" s="19">
        <f>IFERROR(IF(D806="","",D806/INDEX($D:$D,MATCH(EDATE($A806,-1),$A:$A,0))-1),"")</f>
        <v/>
      </c>
      <c r="J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36.4</v>
      </c>
      <c r="E807" s="14" t="n">
        <v>39</v>
      </c>
      <c r="F807" s="14" t="n">
        <v>37.7</v>
      </c>
      <c r="G807" s="14" t="n">
        <v>26.7</v>
      </c>
      <c r="H807" s="14">
        <f>IF(D807="","",D807*'参数与说明'!$B$6/45.3592)</f>
        <v/>
      </c>
      <c r="I807" s="15">
        <f>IFERROR(IF(D807="","",D807/INDEX($D:$D,MATCH(EDATE($A807,-1),$A:$A,0))-1),"")</f>
        <v/>
      </c>
      <c r="J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33.6</v>
      </c>
      <c r="E808" s="18" t="n">
        <v>35.8</v>
      </c>
      <c r="F808" s="18" t="n">
        <v>34.9</v>
      </c>
      <c r="G808" s="18" t="n">
        <v>26</v>
      </c>
      <c r="H808" s="18">
        <f>IF(D808="","",D808*'参数与说明'!$B$6/45.3592)</f>
        <v/>
      </c>
      <c r="I808" s="19">
        <f>IFERROR(IF(D808="","",D808/INDEX($D:$D,MATCH(EDATE($A808,-1),$A:$A,0))-1),"")</f>
        <v/>
      </c>
      <c r="J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33</v>
      </c>
      <c r="E809" s="14" t="n">
        <v>35.4</v>
      </c>
      <c r="F809" s="14" t="n">
        <v>34.2</v>
      </c>
      <c r="G809" s="14" t="n">
        <v>24.5</v>
      </c>
      <c r="H809" s="14">
        <f>IF(D809="","",D809*'参数与说明'!$B$6/45.3592)</f>
        <v/>
      </c>
      <c r="I809" s="15">
        <f>IFERROR(IF(D809="","",D809/INDEX($D:$D,MATCH(EDATE($A809,-1),$A:$A,0))-1),"")</f>
        <v/>
      </c>
      <c r="J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32.3</v>
      </c>
      <c r="E810" s="18" t="n">
        <v>34.8</v>
      </c>
      <c r="F810" s="18" t="n">
        <v>32.9</v>
      </c>
      <c r="G810" s="18" t="n">
        <v>23.3</v>
      </c>
      <c r="H810" s="18">
        <f>IF(D810="","",D810*'参数与说明'!$B$6/45.3592)</f>
        <v/>
      </c>
      <c r="I810" s="19">
        <f>IFERROR(IF(D810="","",D810/INDEX($D:$D,MATCH(EDATE($A810,-1),$A:$A,0))-1),"")</f>
        <v/>
      </c>
      <c r="J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32.2</v>
      </c>
      <c r="E811" s="14" t="n">
        <v>34.7</v>
      </c>
      <c r="F811" s="14" t="n">
        <v>33</v>
      </c>
      <c r="G811" s="14" t="n">
        <v>22.5</v>
      </c>
      <c r="H811" s="14">
        <f>IF(D811="","",D811*'参数与说明'!$B$6/45.3592)</f>
        <v/>
      </c>
      <c r="I811" s="15">
        <f>IFERROR(IF(D811="","",D811/INDEX($D:$D,MATCH(EDATE($A811,-1),$A:$A,0))-1),"")</f>
        <v/>
      </c>
      <c r="J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>
        <v>34.6</v>
      </c>
      <c r="F812" s="18" t="n">
        <v>32.1</v>
      </c>
      <c r="G812" s="18" t="n">
        <v>20.7</v>
      </c>
      <c r="H812" s="18">
        <f>IF(D812="","",D812*'参数与说明'!$B$6/45.3592)</f>
        <v/>
      </c>
      <c r="I812" s="19">
        <f>IFERROR(IF(D812="","",D812/INDEX($D:$D,MATCH(EDATE($A812,-1),$A:$A,0))-1),"")</f>
        <v/>
      </c>
      <c r="J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32.4</v>
      </c>
      <c r="E813" s="14" t="n">
        <v>36</v>
      </c>
      <c r="F813" s="14" t="n">
        <v>32.8</v>
      </c>
      <c r="G813" s="14" t="n">
        <v>21.3</v>
      </c>
      <c r="H813" s="14">
        <f>IF(D813="","",D813*'参数与说明'!$B$6/45.3592)</f>
        <v/>
      </c>
      <c r="I813" s="15">
        <f>IFERROR(IF(D813="","",D813/INDEX($D:$D,MATCH(EDATE($A813,-1),$A:$A,0))-1),"")</f>
        <v/>
      </c>
      <c r="J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32.2</v>
      </c>
      <c r="E814" s="18" t="n">
        <v>35</v>
      </c>
      <c r="F814" s="18" t="n">
        <v>33.4</v>
      </c>
      <c r="G814" s="18" t="n">
        <v>23</v>
      </c>
      <c r="H814" s="18">
        <f>IF(D814="","",D814*'参数与说明'!$B$6/45.3592)</f>
        <v/>
      </c>
      <c r="I814" s="19">
        <f>IFERROR(IF(D814="","",D814/INDEX($D:$D,MATCH(EDATE($A814,-1),$A:$A,0))-1),"")</f>
        <v/>
      </c>
      <c r="J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33.2</v>
      </c>
      <c r="E815" s="14" t="n">
        <v>35.8</v>
      </c>
      <c r="F815" s="14" t="n">
        <v>35.7</v>
      </c>
      <c r="G815" s="14" t="n">
        <v>24.1</v>
      </c>
      <c r="H815" s="14">
        <f>IF(D815="","",D815*'参数与说明'!$B$6/45.3592)</f>
        <v/>
      </c>
      <c r="I815" s="15">
        <f>IFERROR(IF(D815="","",D815/INDEX($D:$D,MATCH(EDATE($A815,-1),$A:$A,0))-1),"")</f>
        <v/>
      </c>
      <c r="J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33.8</v>
      </c>
      <c r="E816" s="18" t="n">
        <v>35.9</v>
      </c>
      <c r="F816" s="18" t="n">
        <v>36.6</v>
      </c>
      <c r="G816" s="18" t="n">
        <v>25.9</v>
      </c>
      <c r="H816" s="18">
        <f>IF(D816="","",D816*'参数与说明'!$B$6/45.3592)</f>
        <v/>
      </c>
      <c r="I816" s="19">
        <f>IFERROR(IF(D816="","",D816/INDEX($D:$D,MATCH(EDATE($A816,-1),$A:$A,0))-1),"")</f>
        <v/>
      </c>
      <c r="J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35.3</v>
      </c>
      <c r="E817" s="14" t="n">
        <v>37.4</v>
      </c>
      <c r="F817" s="14" t="n">
        <v>38.2</v>
      </c>
      <c r="G817" s="14" t="n">
        <v>26.8</v>
      </c>
      <c r="H817" s="14">
        <f>IF(D817="","",D817*'参数与说明'!$B$6/45.3592)</f>
        <v/>
      </c>
      <c r="I817" s="15">
        <f>IFERROR(IF(D817="","",D817/INDEX($D:$D,MATCH(EDATE($A817,-1),$A:$A,0))-1),"")</f>
        <v/>
      </c>
      <c r="J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36.3</v>
      </c>
      <c r="E818" s="18" t="n">
        <v>38.9</v>
      </c>
      <c r="F818" s="18" t="n">
        <v>38.4</v>
      </c>
      <c r="G818" s="18" t="n">
        <v>26.5</v>
      </c>
      <c r="H818" s="18">
        <f>IF(D818="","",D818*'参数与说明'!$B$6/45.3592)</f>
        <v/>
      </c>
      <c r="I818" s="19">
        <f>IFERROR(IF(D818="","",D818/INDEX($D:$D,MATCH(EDATE($A818,-1),$A:$A,0))-1),"")</f>
        <v/>
      </c>
      <c r="J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34</v>
      </c>
      <c r="E819" s="14" t="n">
        <v>36.7</v>
      </c>
      <c r="F819" s="14" t="n">
        <v>35.8</v>
      </c>
      <c r="G819" s="14" t="n">
        <v>24.4</v>
      </c>
      <c r="H819" s="14">
        <f>IF(D819="","",D819*'参数与说明'!$B$6/45.3592)</f>
        <v/>
      </c>
      <c r="I819" s="15">
        <f>IFERROR(IF(D819="","",D819/INDEX($D:$D,MATCH(EDATE($A819,-1),$A:$A,0))-1),"")</f>
        <v/>
      </c>
      <c r="J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34.9</v>
      </c>
      <c r="E820" s="18" t="n">
        <v>37.8</v>
      </c>
      <c r="F820" s="18" t="n">
        <v>36.4</v>
      </c>
      <c r="G820" s="18" t="n">
        <v>24</v>
      </c>
      <c r="H820" s="18">
        <f>IF(D820="","",D820*'参数与说明'!$B$6/45.3592)</f>
        <v/>
      </c>
      <c r="I820" s="19">
        <f>IFERROR(IF(D820="","",D820/INDEX($D:$D,MATCH(EDATE($A820,-1),$A:$A,0))-1),"")</f>
        <v/>
      </c>
      <c r="J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34.5</v>
      </c>
      <c r="E821" s="14" t="n">
        <v>37.3</v>
      </c>
      <c r="F821" s="14" t="n">
        <v>37.1</v>
      </c>
      <c r="G821" s="14" t="n">
        <v>24.1</v>
      </c>
      <c r="H821" s="14">
        <f>IF(D821="","",D821*'参数与说明'!$B$6/45.3592)</f>
        <v/>
      </c>
      <c r="I821" s="15">
        <f>IFERROR(IF(D821="","",D821/INDEX($D:$D,MATCH(EDATE($A821,-1),$A:$A,0))-1),"")</f>
        <v/>
      </c>
      <c r="J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34.7</v>
      </c>
      <c r="E822" s="18" t="n">
        <v>37.5</v>
      </c>
      <c r="F822" s="18" t="n">
        <v>38</v>
      </c>
      <c r="G822" s="18" t="n">
        <v>24.3</v>
      </c>
      <c r="H822" s="18">
        <f>IF(D822="","",D822*'参数与说明'!$B$6/45.3592)</f>
        <v/>
      </c>
      <c r="I822" s="19">
        <f>IFERROR(IF(D822="","",D822/INDEX($D:$D,MATCH(EDATE($A822,-1),$A:$A,0))-1),"")</f>
        <v/>
      </c>
      <c r="J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35.1</v>
      </c>
      <c r="E823" s="14" t="n">
        <v>38.3</v>
      </c>
      <c r="F823" s="14" t="n">
        <v>37.2</v>
      </c>
      <c r="G823" s="14" t="n">
        <v>23</v>
      </c>
      <c r="H823" s="14">
        <f>IF(D823="","",D823*'参数与说明'!$B$6/45.3592)</f>
        <v/>
      </c>
      <c r="I823" s="15">
        <f>IFERROR(IF(D823="","",D823/INDEX($D:$D,MATCH(EDATE($A823,-1),$A:$A,0))-1),"")</f>
        <v/>
      </c>
      <c r="J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34.3</v>
      </c>
      <c r="E824" s="18" t="n">
        <v>38</v>
      </c>
      <c r="F824" s="18" t="n">
        <v>36.8</v>
      </c>
      <c r="G824" s="18" t="n">
        <v>23</v>
      </c>
      <c r="H824" s="18">
        <f>IF(D824="","",D824*'参数与说明'!$B$6/45.3592)</f>
        <v/>
      </c>
      <c r="I824" s="19">
        <f>IFERROR(IF(D824="","",D824/INDEX($D:$D,MATCH(EDATE($A824,-1),$A:$A,0))-1),"")</f>
        <v/>
      </c>
      <c r="J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35.5</v>
      </c>
      <c r="E825" s="14" t="n">
        <v>39.2</v>
      </c>
      <c r="F825" s="14" t="n">
        <v>37.5</v>
      </c>
      <c r="G825" s="14" t="n">
        <v>24</v>
      </c>
      <c r="H825" s="14">
        <f>IF(D825="","",D825*'参数与说明'!$B$6/45.3592)</f>
        <v/>
      </c>
      <c r="I825" s="15">
        <f>IFERROR(IF(D825="","",D825/INDEX($D:$D,MATCH(EDATE($A825,-1),$A:$A,0))-1),"")</f>
        <v/>
      </c>
      <c r="J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37.7</v>
      </c>
      <c r="E826" s="18" t="n">
        <v>40.6</v>
      </c>
      <c r="F826" s="18" t="n">
        <v>41</v>
      </c>
      <c r="G826" s="18" t="n">
        <v>26.5</v>
      </c>
      <c r="H826" s="18">
        <f>IF(D826="","",D826*'参数与说明'!$B$6/45.3592)</f>
        <v/>
      </c>
      <c r="I826" s="19">
        <f>IFERROR(IF(D826="","",D826/INDEX($D:$D,MATCH(EDATE($A826,-1),$A:$A,0))-1),"")</f>
        <v/>
      </c>
      <c r="J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40.5</v>
      </c>
      <c r="E827" s="14" t="n">
        <v>43.1</v>
      </c>
      <c r="F827" s="14" t="n">
        <v>44.9</v>
      </c>
      <c r="G827" s="14" t="n">
        <v>30.1</v>
      </c>
      <c r="H827" s="14">
        <f>IF(D827="","",D827*'参数与说明'!$B$6/45.3592)</f>
        <v/>
      </c>
      <c r="I827" s="15">
        <f>IFERROR(IF(D827="","",D827/INDEX($D:$D,MATCH(EDATE($A827,-1),$A:$A,0))-1),"")</f>
        <v/>
      </c>
      <c r="J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44</v>
      </c>
      <c r="E828" s="18" t="n">
        <v>46.7</v>
      </c>
      <c r="F828" s="18" t="n">
        <v>50</v>
      </c>
      <c r="G828" s="18" t="n">
        <v>32.9</v>
      </c>
      <c r="H828" s="18">
        <f>IF(D828="","",D828*'参数与说明'!$B$6/45.3592)</f>
        <v/>
      </c>
      <c r="I828" s="19">
        <f>IFERROR(IF(D828="","",D828/INDEX($D:$D,MATCH(EDATE($A828,-1),$A:$A,0))-1),"")</f>
        <v/>
      </c>
      <c r="J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47.2</v>
      </c>
      <c r="E829" s="14" t="n">
        <v>50.2</v>
      </c>
      <c r="F829" s="14" t="n">
        <v>53.7</v>
      </c>
      <c r="G829" s="14" t="n">
        <v>35.3</v>
      </c>
      <c r="H829" s="14">
        <f>IF(D829="","",D829*'参数与说明'!$B$6/45.3592)</f>
        <v/>
      </c>
      <c r="I829" s="15">
        <f>IFERROR(IF(D829="","",D829/INDEX($D:$D,MATCH(EDATE($A829,-1),$A:$A,0))-1),"")</f>
        <v/>
      </c>
      <c r="J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50.5</v>
      </c>
      <c r="E830" s="18" t="n">
        <v>53.9</v>
      </c>
      <c r="F830" s="18" t="n">
        <v>59.5</v>
      </c>
      <c r="G830" s="18" t="n">
        <v>37.8</v>
      </c>
      <c r="H830" s="18">
        <f>IF(D830="","",D830*'参数与说明'!$B$6/45.3592)</f>
        <v/>
      </c>
      <c r="I830" s="19">
        <f>IFERROR(IF(D830="","",D830/INDEX($D:$D,MATCH(EDATE($A830,-1),$A:$A,0))-1),"")</f>
        <v/>
      </c>
      <c r="J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51.1</v>
      </c>
      <c r="E831" s="14" t="n">
        <v>54.8</v>
      </c>
      <c r="F831" s="14" t="n">
        <v>58.7</v>
      </c>
      <c r="G831" s="14" t="n">
        <v>36.4</v>
      </c>
      <c r="H831" s="14">
        <f>IF(D831="","",D831*'参数与说明'!$B$6/45.3592)</f>
        <v/>
      </c>
      <c r="I831" s="15">
        <f>IFERROR(IF(D831="","",D831/INDEX($D:$D,MATCH(EDATE($A831,-1),$A:$A,0))-1),"")</f>
        <v/>
      </c>
      <c r="J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50.1</v>
      </c>
      <c r="E832" s="18" t="n">
        <v>53.5</v>
      </c>
      <c r="F832" s="18" t="n">
        <v>60.1</v>
      </c>
      <c r="G832" s="18" t="n">
        <v>36.8</v>
      </c>
      <c r="H832" s="18">
        <f>IF(D832="","",D832*'参数与说明'!$B$6/45.3592)</f>
        <v/>
      </c>
      <c r="I832" s="19">
        <f>IFERROR(IF(D832="","",D832/INDEX($D:$D,MATCH(EDATE($A832,-1),$A:$A,0))-1),"")</f>
        <v/>
      </c>
      <c r="J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49.3</v>
      </c>
      <c r="E833" s="14" t="n">
        <v>52.3</v>
      </c>
      <c r="F833" s="14" t="n">
        <v>61.9</v>
      </c>
      <c r="G833" s="14" t="n">
        <v>36.2</v>
      </c>
      <c r="H833" s="14">
        <f>IF(D833="","",D833*'参数与说明'!$B$6/45.3592)</f>
        <v/>
      </c>
      <c r="I833" s="15">
        <f>IFERROR(IF(D833="","",D833/INDEX($D:$D,MATCH(EDATE($A833,-1),$A:$A,0))-1),"")</f>
        <v/>
      </c>
      <c r="J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52.2</v>
      </c>
      <c r="E834" s="18" t="n">
        <v>55.2</v>
      </c>
      <c r="F834" s="18" t="n">
        <v>65.7</v>
      </c>
      <c r="G834" s="18" t="n">
        <v>37.9</v>
      </c>
      <c r="H834" s="18">
        <f>IF(D834="","",D834*'参数与说明'!$B$6/45.3592)</f>
        <v/>
      </c>
      <c r="I834" s="19">
        <f>IFERROR(IF(D834="","",D834/INDEX($D:$D,MATCH(EDATE($A834,-1),$A:$A,0))-1),"")</f>
        <v/>
      </c>
      <c r="J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53.2</v>
      </c>
      <c r="E835" s="14" t="n">
        <v>56.8</v>
      </c>
      <c r="F835" s="14" t="n">
        <v>66.40000000000001</v>
      </c>
      <c r="G835" s="14" t="n">
        <v>39.1</v>
      </c>
      <c r="H835" s="14">
        <f>IF(D835="","",D835*'参数与说明'!$B$6/45.3592)</f>
        <v/>
      </c>
      <c r="I835" s="15">
        <f>IFERROR(IF(D835="","",D835/INDEX($D:$D,MATCH(EDATE($A835,-1),$A:$A,0))-1),"")</f>
        <v/>
      </c>
      <c r="J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51.9</v>
      </c>
      <c r="E836" s="18" t="n">
        <v>49.7</v>
      </c>
      <c r="F836" s="18" t="n">
        <v>67.2</v>
      </c>
      <c r="G836" s="18" t="n">
        <v>39.3</v>
      </c>
      <c r="H836" s="18">
        <f>IF(D836="","",D836*'参数与说明'!$B$6/45.3592)</f>
        <v/>
      </c>
      <c r="I836" s="19">
        <f>IFERROR(IF(D836="","",D836/INDEX($D:$D,MATCH(EDATE($A836,-1),$A:$A,0))-1),"")</f>
        <v/>
      </c>
      <c r="J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54.6</v>
      </c>
      <c r="E837" s="14" t="n">
        <v>57.9</v>
      </c>
      <c r="F837" s="14" t="n">
        <v>72.09999999999999</v>
      </c>
      <c r="G837" s="14" t="n">
        <v>41.8</v>
      </c>
      <c r="H837" s="14">
        <f>IF(D837="","",D837*'参数与说明'!$B$6/45.3592)</f>
        <v/>
      </c>
      <c r="I837" s="15">
        <f>IFERROR(IF(D837="","",D837/INDEX($D:$D,MATCH(EDATE($A837,-1),$A:$A,0))-1),"")</f>
        <v/>
      </c>
      <c r="J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60.2</v>
      </c>
      <c r="E838" s="18" t="n">
        <v>63</v>
      </c>
      <c r="F838" s="18" t="n">
        <v>79.09999999999999</v>
      </c>
      <c r="G838" s="18" t="n">
        <v>48.2</v>
      </c>
      <c r="H838" s="18">
        <f>IF(D838="","",D838*'参数与说明'!$B$6/45.3592)</f>
        <v/>
      </c>
      <c r="I838" s="19">
        <f>IFERROR(IF(D838="","",D838/INDEX($D:$D,MATCH(EDATE($A838,-1),$A:$A,0))-1),"")</f>
        <v/>
      </c>
      <c r="J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64.7</v>
      </c>
      <c r="E839" s="14" t="n">
        <v>67.59999999999999</v>
      </c>
      <c r="F839" s="14" t="n">
        <v>87</v>
      </c>
      <c r="G839" s="14" t="n">
        <v>51.2</v>
      </c>
      <c r="H839" s="14">
        <f>IF(D839="","",D839*'参数与说明'!$B$6/45.3592)</f>
        <v/>
      </c>
      <c r="I839" s="15">
        <f>IFERROR(IF(D839="","",D839/INDEX($D:$D,MATCH(EDATE($A839,-1),$A:$A,0))-1),"")</f>
        <v/>
      </c>
      <c r="J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70.59999999999999</v>
      </c>
      <c r="E840" s="18" t="n">
        <v>74.3</v>
      </c>
      <c r="F840" s="18" t="n">
        <v>94.8</v>
      </c>
      <c r="G840" s="18" t="n">
        <v>53.7</v>
      </c>
      <c r="H840" s="18">
        <f>IF(D840="","",D840*'参数与说明'!$B$6/45.3592)</f>
        <v/>
      </c>
      <c r="I840" s="19">
        <f>IFERROR(IF(D840="","",D840/INDEX($D:$D,MATCH(EDATE($A840,-1),$A:$A,0))-1),"")</f>
        <v/>
      </c>
      <c r="J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73.40000000000001</v>
      </c>
      <c r="E841" s="14" t="n">
        <v>77</v>
      </c>
      <c r="F841" s="14" t="n">
        <v>98.2</v>
      </c>
      <c r="G841" s="14" t="n">
        <v>56.4</v>
      </c>
      <c r="H841" s="14">
        <f>IF(D841="","",D841*'参数与说明'!$B$6/45.3592)</f>
        <v/>
      </c>
      <c r="I841" s="15">
        <f>IFERROR(IF(D841="","",D841/INDEX($D:$D,MATCH(EDATE($A841,-1),$A:$A,0))-1),"")</f>
        <v/>
      </c>
      <c r="J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71.90000000000001</v>
      </c>
      <c r="E842" s="18" t="n">
        <v>75.5</v>
      </c>
      <c r="F842" s="18" t="n">
        <v>99.5</v>
      </c>
      <c r="G842" s="18" t="n">
        <v>56.1</v>
      </c>
      <c r="H842" s="18">
        <f>IF(D842="","",D842*'参数与说明'!$B$6/45.3592)</f>
        <v/>
      </c>
      <c r="I842" s="19">
        <f>IFERROR(IF(D842="","",D842/INDEX($D:$D,MATCH(EDATE($A842,-1),$A:$A,0))-1),"")</f>
        <v/>
      </c>
      <c r="J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66.8</v>
      </c>
      <c r="E843" s="14" t="n">
        <v>70.2</v>
      </c>
      <c r="F843" s="14" t="n">
        <v>92.3</v>
      </c>
      <c r="G843" s="14" t="n">
        <v>50.4</v>
      </c>
      <c r="H843" s="14">
        <f>IF(D843="","",D843*'参数与说明'!$B$6/45.3592)</f>
        <v/>
      </c>
      <c r="I843" s="15">
        <f>IFERROR(IF(D843="","",D843/INDEX($D:$D,MATCH(EDATE($A843,-1),$A:$A,0))-1),"")</f>
        <v/>
      </c>
      <c r="J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65.5</v>
      </c>
      <c r="E844" s="18" t="n">
        <v>68.90000000000001</v>
      </c>
      <c r="F844" s="18" t="n">
        <v>91.2</v>
      </c>
      <c r="G844" s="18" t="n">
        <v>49.5</v>
      </c>
      <c r="H844" s="18">
        <f>IF(D844="","",D844*'参数与说明'!$B$6/45.3592)</f>
        <v/>
      </c>
      <c r="I844" s="19">
        <f>IFERROR(IF(D844="","",D844/INDEX($D:$D,MATCH(EDATE($A844,-1),$A:$A,0))-1),"")</f>
        <v/>
      </c>
      <c r="J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62.2</v>
      </c>
      <c r="E845" s="14" t="n">
        <v>65.3</v>
      </c>
      <c r="F845" s="14" t="n">
        <v>87.2</v>
      </c>
      <c r="G845" s="14" t="n">
        <v>47.6</v>
      </c>
      <c r="H845" s="14">
        <f>IF(D845="","",D845*'参数与说明'!$B$6/45.3592)</f>
        <v/>
      </c>
      <c r="I845" s="15">
        <f>IFERROR(IF(D845="","",D845/INDEX($D:$D,MATCH(EDATE($A845,-1),$A:$A,0))-1),"")</f>
        <v/>
      </c>
      <c r="J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66.8</v>
      </c>
      <c r="E846" s="18" t="n">
        <v>70.5</v>
      </c>
      <c r="F846" s="18" t="n">
        <v>90</v>
      </c>
      <c r="G846" s="18" t="n">
        <v>48.7</v>
      </c>
      <c r="H846" s="18">
        <f>IF(D846="","",D846*'参数与说明'!$B$6/45.3592)</f>
        <v/>
      </c>
      <c r="I846" s="19">
        <f>IFERROR(IF(D846="","",D846/INDEX($D:$D,MATCH(EDATE($A846,-1),$A:$A,0))-1),"")</f>
        <v/>
      </c>
      <c r="J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64.59999999999999</v>
      </c>
      <c r="E847" s="14" t="n">
        <v>68.5</v>
      </c>
      <c r="F847" s="14" t="n">
        <v>86.90000000000001</v>
      </c>
      <c r="G847" s="14" t="n">
        <v>47.5</v>
      </c>
      <c r="H847" s="14">
        <f>IF(D847="","",D847*'参数与说明'!$B$6/45.3592)</f>
        <v/>
      </c>
      <c r="I847" s="15">
        <f>IFERROR(IF(D847="","",D847/INDEX($D:$D,MATCH(EDATE($A847,-1),$A:$A,0))-1),"")</f>
        <v/>
      </c>
      <c r="J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63.9</v>
      </c>
      <c r="E848" s="18" t="n">
        <v>68.90000000000001</v>
      </c>
      <c r="F848" s="18" t="n">
        <v>86.3</v>
      </c>
      <c r="G848" s="18" t="n">
        <v>46.6</v>
      </c>
      <c r="H848" s="18">
        <f>IF(D848="","",D848*'参数与说明'!$B$6/45.3592)</f>
        <v/>
      </c>
      <c r="I848" s="19">
        <f>IFERROR(IF(D848="","",D848/INDEX($D:$D,MATCH(EDATE($A848,-1),$A:$A,0))-1),"")</f>
        <v/>
      </c>
      <c r="J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64.40000000000001</v>
      </c>
      <c r="E849" s="14" t="n">
        <v>69</v>
      </c>
      <c r="F849" s="14" t="n">
        <v>84.3</v>
      </c>
      <c r="G849" s="14" t="n">
        <v>47.2</v>
      </c>
      <c r="H849" s="14">
        <f>IF(D849="","",D849*'参数与说明'!$B$6/45.3592)</f>
        <v/>
      </c>
      <c r="I849" s="15">
        <f>IFERROR(IF(D849="","",D849/INDEX($D:$D,MATCH(EDATE($A849,-1),$A:$A,0))-1),"")</f>
        <v/>
      </c>
      <c r="J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63.8</v>
      </c>
      <c r="E850" s="18" t="n">
        <v>68</v>
      </c>
      <c r="F850" s="18" t="n">
        <v>86.90000000000001</v>
      </c>
      <c r="G850" s="18" t="n">
        <v>49.6</v>
      </c>
      <c r="H850" s="18">
        <f>IF(D850="","",D850*'参数与说明'!$B$6/45.3592)</f>
        <v/>
      </c>
      <c r="I850" s="19">
        <f>IFERROR(IF(D850="","",D850/INDEX($D:$D,MATCH(EDATE($A850,-1),$A:$A,0))-1),"")</f>
        <v/>
      </c>
      <c r="J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67</v>
      </c>
      <c r="E851" s="14" t="n">
        <v>70.59999999999999</v>
      </c>
      <c r="F851" s="14" t="n">
        <v>90.90000000000001</v>
      </c>
      <c r="G851" s="14" t="n">
        <v>52</v>
      </c>
      <c r="H851" s="14">
        <f>IF(D851="","",D851*'参数与说明'!$B$6/45.3592)</f>
        <v/>
      </c>
      <c r="I851" s="15">
        <f>IFERROR(IF(D851="","",D851/INDEX($D:$D,MATCH(EDATE($A851,-1),$A:$A,0))-1),"")</f>
        <v/>
      </c>
      <c r="J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64.40000000000001</v>
      </c>
      <c r="E852" s="18" t="n">
        <v>68</v>
      </c>
      <c r="F852" s="18" t="n">
        <v>82.59999999999999</v>
      </c>
      <c r="G852" s="18" t="n">
        <v>49.5</v>
      </c>
      <c r="H852" s="18">
        <f>IF(D852="","",D852*'参数与说明'!$B$6/45.3592)</f>
        <v/>
      </c>
      <c r="I852" s="19">
        <f>IFERROR(IF(D852="","",D852/INDEX($D:$D,MATCH(EDATE($A852,-1),$A:$A,0))-1),"")</f>
        <v/>
      </c>
      <c r="J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60.6</v>
      </c>
      <c r="E853" s="14" t="n">
        <v>63.7</v>
      </c>
      <c r="F853" s="14" t="n">
        <v>75.5</v>
      </c>
      <c r="G853" s="14" t="n">
        <v>45.7</v>
      </c>
      <c r="H853" s="14">
        <f>IF(D853="","",D853*'参数与说明'!$B$6/45.3592)</f>
        <v/>
      </c>
      <c r="I853" s="15">
        <f>IFERROR(IF(D853="","",D853/INDEX($D:$D,MATCH(EDATE($A853,-1),$A:$A,0))-1),"")</f>
        <v/>
      </c>
      <c r="J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60.7</v>
      </c>
      <c r="E854" s="18" t="n">
        <v>64</v>
      </c>
      <c r="F854" s="18" t="n">
        <v>75.40000000000001</v>
      </c>
      <c r="G854" s="18" t="n">
        <v>43.3</v>
      </c>
      <c r="H854" s="18">
        <f>IF(D854="","",D854*'参数与说明'!$B$6/45.3592)</f>
        <v/>
      </c>
      <c r="I854" s="19">
        <f>IFERROR(IF(D854="","",D854/INDEX($D:$D,MATCH(EDATE($A854,-1),$A:$A,0))-1),"")</f>
        <v/>
      </c>
      <c r="J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61.1</v>
      </c>
      <c r="E855" s="14" t="n">
        <v>65</v>
      </c>
      <c r="F855" s="14" t="n">
        <v>76.90000000000001</v>
      </c>
      <c r="G855" s="14" t="n">
        <v>44.1</v>
      </c>
      <c r="H855" s="14">
        <f>IF(D855="","",D855*'参数与说明'!$B$6/45.3592)</f>
        <v/>
      </c>
      <c r="I855" s="15">
        <f>IFERROR(IF(D855="","",D855/INDEX($D:$D,MATCH(EDATE($A855,-1),$A:$A,0))-1),"")</f>
        <v/>
      </c>
      <c r="J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63.2</v>
      </c>
      <c r="E856" s="18" t="n">
        <v>68.09999999999999</v>
      </c>
      <c r="F856" s="18" t="n">
        <v>75.40000000000001</v>
      </c>
      <c r="G856" s="18" t="n">
        <v>43.3</v>
      </c>
      <c r="H856" s="18">
        <f>IF(D856="","",D856*'参数与说明'!$B$6/45.3592)</f>
        <v/>
      </c>
      <c r="I856" s="19">
        <f>IFERROR(IF(D856="","",D856/INDEX($D:$D,MATCH(EDATE($A856,-1),$A:$A,0))-1),"")</f>
        <v/>
      </c>
      <c r="J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64.40000000000001</v>
      </c>
      <c r="E857" s="14" t="n">
        <v>69.09999999999999</v>
      </c>
      <c r="F857" s="14" t="n">
        <v>75.59999999999999</v>
      </c>
      <c r="G857" s="14" t="n">
        <v>44.9</v>
      </c>
      <c r="H857" s="14">
        <f>IF(D857="","",D857*'参数与说明'!$B$6/45.3592)</f>
        <v/>
      </c>
      <c r="I857" s="15">
        <f>IFERROR(IF(D857="","",D857/INDEX($D:$D,MATCH(EDATE($A857,-1),$A:$A,0))-1),"")</f>
        <v/>
      </c>
      <c r="J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63</v>
      </c>
      <c r="E858" s="18" t="n">
        <v>67.7</v>
      </c>
      <c r="F858" s="18" t="n">
        <v>74.3</v>
      </c>
      <c r="G858" s="18" t="n">
        <v>45.1</v>
      </c>
      <c r="H858" s="18">
        <f>IF(D858="","",D858*'参数与说明'!$B$6/45.3592)</f>
        <v/>
      </c>
      <c r="I858" s="19">
        <f>IFERROR(IF(D858="","",D858/INDEX($D:$D,MATCH(EDATE($A858,-1),$A:$A,0))-1),"")</f>
        <v/>
      </c>
      <c r="J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62.1</v>
      </c>
      <c r="E859" s="14" t="n">
        <v>67.09999999999999</v>
      </c>
      <c r="F859" s="14" t="n">
        <v>73.90000000000001</v>
      </c>
      <c r="G859" s="14" t="n">
        <v>44.6</v>
      </c>
      <c r="H859" s="14">
        <f>IF(D859="","",D859*'参数与说明'!$B$6/45.3592)</f>
        <v/>
      </c>
      <c r="I859" s="15">
        <f>IFERROR(IF(D859="","",D859/INDEX($D:$D,MATCH(EDATE($A859,-1),$A:$A,0))-1),"")</f>
        <v/>
      </c>
      <c r="J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60</v>
      </c>
      <c r="E860" s="18" t="n">
        <v>65.90000000000001</v>
      </c>
      <c r="F860" s="18" t="n">
        <v>72.09999999999999</v>
      </c>
      <c r="G860" s="18" t="n">
        <v>43.1</v>
      </c>
      <c r="H860" s="18">
        <f>IF(D860="","",D860*'参数与说明'!$B$6/45.3592)</f>
        <v/>
      </c>
      <c r="I860" s="19">
        <f>IFERROR(IF(D860="","",D860/INDEX($D:$D,MATCH(EDATE($A860,-1),$A:$A,0))-1),"")</f>
        <v/>
      </c>
      <c r="J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59.4</v>
      </c>
      <c r="E861" s="14" t="n">
        <v>65</v>
      </c>
      <c r="F861" s="14" t="n">
        <v>70.3</v>
      </c>
      <c r="G861" s="14" t="n">
        <v>42.7</v>
      </c>
      <c r="H861" s="14">
        <f>IF(D861="","",D861*'参数与说明'!$B$6/45.3592)</f>
        <v/>
      </c>
      <c r="I861" s="15">
        <f>IFERROR(IF(D861="","",D861/INDEX($D:$D,MATCH(EDATE($A861,-1),$A:$A,0))-1),"")</f>
        <v/>
      </c>
      <c r="J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60.4</v>
      </c>
      <c r="E862" s="18" t="n">
        <v>64.3</v>
      </c>
      <c r="F862" s="18" t="n">
        <v>70.40000000000001</v>
      </c>
      <c r="G862" s="18" t="n">
        <v>43.1</v>
      </c>
      <c r="H862" s="18">
        <f>IF(D862="","",D862*'参数与说明'!$B$6/45.3592)</f>
        <v/>
      </c>
      <c r="I862" s="19">
        <f>IFERROR(IF(D862="","",D862/INDEX($D:$D,MATCH(EDATE($A862,-1),$A:$A,0))-1),"")</f>
        <v/>
      </c>
      <c r="J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59.4</v>
      </c>
      <c r="E863" s="14" t="n">
        <v>62.3</v>
      </c>
      <c r="F863" s="14" t="n">
        <v>70.59999999999999</v>
      </c>
      <c r="G863" s="14" t="n">
        <v>45</v>
      </c>
      <c r="H863" s="14">
        <f>IF(D863="","",D863*'参数与说明'!$B$6/45.3592)</f>
        <v/>
      </c>
      <c r="I863" s="15">
        <f>IFERROR(IF(D863="","",D863/INDEX($D:$D,MATCH(EDATE($A863,-1),$A:$A,0))-1),"")</f>
        <v/>
      </c>
      <c r="J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58.2</v>
      </c>
      <c r="E864" s="18" t="n">
        <v>61.3</v>
      </c>
      <c r="F864" s="18" t="n">
        <v>68.8</v>
      </c>
      <c r="G864" s="18" t="n">
        <v>43.7</v>
      </c>
      <c r="H864" s="18">
        <f>IF(D864="","",D864*'参数与说明'!$B$6/45.3592)</f>
        <v/>
      </c>
      <c r="I864" s="19">
        <f>IFERROR(IF(D864="","",D864/INDEX($D:$D,MATCH(EDATE($A864,-1),$A:$A,0))-1),"")</f>
        <v/>
      </c>
      <c r="J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61</v>
      </c>
      <c r="E865" s="14" t="n">
        <v>63.9</v>
      </c>
      <c r="F865" s="14" t="n">
        <v>69.59999999999999</v>
      </c>
      <c r="G865" s="14" t="n">
        <v>44.1</v>
      </c>
      <c r="H865" s="14">
        <f>IF(D865="","",D865*'参数与说明'!$B$6/45.3592)</f>
        <v/>
      </c>
      <c r="I865" s="15">
        <f>IFERROR(IF(D865="","",D865/INDEX($D:$D,MATCH(EDATE($A865,-1),$A:$A,0))-1),"")</f>
        <v/>
      </c>
      <c r="J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60.5</v>
      </c>
      <c r="E866" s="18" t="n">
        <v>63.9</v>
      </c>
      <c r="F866" s="18" t="n">
        <v>66</v>
      </c>
      <c r="G866" s="18" t="n">
        <v>42.5</v>
      </c>
      <c r="H866" s="18">
        <f>IF(D866="","",D866*'参数与说明'!$B$6/45.3592)</f>
        <v/>
      </c>
      <c r="I866" s="19">
        <f>IFERROR(IF(D866="","",D866/INDEX($D:$D,MATCH(EDATE($A866,-1),$A:$A,0))-1),"")</f>
        <v/>
      </c>
      <c r="J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61.4</v>
      </c>
      <c r="E867" s="14" t="n">
        <v>64.8</v>
      </c>
      <c r="F867" s="14" t="n">
        <v>66.3</v>
      </c>
      <c r="G867" s="14" t="n">
        <v>42.8</v>
      </c>
      <c r="H867" s="14">
        <f>IF(D867="","",D867*'参数与说明'!$B$6/45.3592)</f>
        <v/>
      </c>
      <c r="I867" s="15">
        <f>IFERROR(IF(D867="","",D867/INDEX($D:$D,MATCH(EDATE($A867,-1),$A:$A,0))-1),"")</f>
        <v/>
      </c>
      <c r="J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60.5</v>
      </c>
      <c r="E868" s="18" t="n">
        <v>64.09999999999999</v>
      </c>
      <c r="F868" s="18" t="n">
        <v>62</v>
      </c>
      <c r="G868" s="18" t="n">
        <v>42.4</v>
      </c>
      <c r="H868" s="18">
        <f>IF(D868="","",D868*'参数与说明'!$B$6/45.3592)</f>
        <v/>
      </c>
      <c r="I868" s="19">
        <f>IFERROR(IF(D868="","",D868/INDEX($D:$D,MATCH(EDATE($A868,-1),$A:$A,0))-1),"")</f>
        <v/>
      </c>
      <c r="J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59.7</v>
      </c>
      <c r="E869" s="14" t="n">
        <v>63.4</v>
      </c>
      <c r="F869" s="14" t="n">
        <v>62.3</v>
      </c>
      <c r="G869" s="14" t="n">
        <v>42.7</v>
      </c>
      <c r="H869" s="14">
        <f>IF(D869="","",D869*'参数与说明'!$B$6/45.3592)</f>
        <v/>
      </c>
      <c r="I869" s="15">
        <f>IFERROR(IF(D869="","",D869/INDEX($D:$D,MATCH(EDATE($A869,-1),$A:$A,0))-1),"")</f>
        <v/>
      </c>
      <c r="J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58.8</v>
      </c>
      <c r="E870" s="18" t="n">
        <v>62.9</v>
      </c>
      <c r="F870" s="18" t="n">
        <v>61.4</v>
      </c>
      <c r="G870" s="18" t="n">
        <v>41.1</v>
      </c>
      <c r="H870" s="18">
        <f>IF(D870="","",D870*'参数与说明'!$B$6/45.3592)</f>
        <v/>
      </c>
      <c r="I870" s="19">
        <f>IFERROR(IF(D870="","",D870/INDEX($D:$D,MATCH(EDATE($A870,-1),$A:$A,0))-1),"")</f>
        <v/>
      </c>
      <c r="J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55.7</v>
      </c>
      <c r="E871" s="14" t="n">
        <v>59.9</v>
      </c>
      <c r="F871" s="14" t="n">
        <v>59</v>
      </c>
      <c r="G871" s="14" t="n">
        <v>38.4</v>
      </c>
      <c r="H871" s="14">
        <f>IF(D871="","",D871*'参数与说明'!$B$6/45.3592)</f>
        <v/>
      </c>
      <c r="I871" s="15">
        <f>IFERROR(IF(D871="","",D871/INDEX($D:$D,MATCH(EDATE($A871,-1),$A:$A,0))-1),"")</f>
        <v/>
      </c>
      <c r="J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54.5</v>
      </c>
      <c r="E872" s="18" t="n">
        <v>59.1</v>
      </c>
      <c r="F872" s="18" t="n">
        <v>59.4</v>
      </c>
      <c r="G872" s="18" t="n">
        <v>36.6</v>
      </c>
      <c r="H872" s="18">
        <f>IF(D872="","",D872*'参数与说明'!$B$6/45.3592)</f>
        <v/>
      </c>
      <c r="I872" s="19">
        <f>IFERROR(IF(D872="","",D872/INDEX($D:$D,MATCH(EDATE($A872,-1),$A:$A,0))-1),"")</f>
        <v/>
      </c>
      <c r="J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52</v>
      </c>
      <c r="E873" s="14" t="n">
        <v>57.3</v>
      </c>
      <c r="F873" s="14" t="n">
        <v>57.7</v>
      </c>
      <c r="G873" s="14" t="n">
        <v>35.5</v>
      </c>
      <c r="H873" s="14">
        <f>IF(D873="","",D873*'参数与说明'!$B$6/45.3592)</f>
        <v/>
      </c>
      <c r="I873" s="15">
        <f>IFERROR(IF(D873="","",D873/INDEX($D:$D,MATCH(EDATE($A873,-1),$A:$A,0))-1),"")</f>
        <v/>
      </c>
      <c r="J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53.5</v>
      </c>
      <c r="E874" s="18" t="n">
        <v>58.3</v>
      </c>
      <c r="F874" s="18" t="n">
        <v>57</v>
      </c>
      <c r="G874" s="18" t="n">
        <v>36.9</v>
      </c>
      <c r="H874" s="18">
        <f>IF(D874="","",D874*'参数与说明'!$B$6/45.3592)</f>
        <v/>
      </c>
      <c r="I874" s="19">
        <f>IFERROR(IF(D874="","",D874/INDEX($D:$D,MATCH(EDATE($A874,-1),$A:$A,0))-1),"")</f>
        <v/>
      </c>
      <c r="J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56.3</v>
      </c>
      <c r="E875" s="14" t="n">
        <v>60.7</v>
      </c>
      <c r="F875" s="14" t="n">
        <v>58.9</v>
      </c>
      <c r="G875" s="14" t="n">
        <v>38.7</v>
      </c>
      <c r="H875" s="14">
        <f>IF(D875="","",D875*'参数与说明'!$B$6/45.3592)</f>
        <v/>
      </c>
      <c r="I875" s="15">
        <f>IFERROR(IF(D875="","",D875/INDEX($D:$D,MATCH(EDATE($A875,-1),$A:$A,0))-1),"")</f>
        <v/>
      </c>
      <c r="J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58.6</v>
      </c>
      <c r="E876" s="18" t="n">
        <v>62.9</v>
      </c>
      <c r="F876" s="18" t="n">
        <v>61.9</v>
      </c>
      <c r="G876" s="18" t="n">
        <v>40</v>
      </c>
      <c r="H876" s="18">
        <f>IF(D876="","",D876*'参数与说明'!$B$6/45.3592)</f>
        <v/>
      </c>
      <c r="I876" s="19">
        <f>IFERROR(IF(D876="","",D876/INDEX($D:$D,MATCH(EDATE($A876,-1),$A:$A,0))-1),"")</f>
        <v/>
      </c>
      <c r="J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60.1</v>
      </c>
      <c r="E877" s="14" t="n">
        <v>64.5</v>
      </c>
      <c r="F877" s="14" t="n">
        <v>62.1</v>
      </c>
      <c r="G877" s="14" t="n">
        <v>40.3</v>
      </c>
      <c r="H877" s="14">
        <f>IF(D877="","",D877*'参数与说明'!$B$6/45.3592)</f>
        <v/>
      </c>
      <c r="I877" s="15">
        <f>IFERROR(IF(D877="","",D877/INDEX($D:$D,MATCH(EDATE($A877,-1),$A:$A,0))-1),"")</f>
        <v/>
      </c>
      <c r="J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62.6</v>
      </c>
      <c r="E878" s="18" t="n">
        <v>67.3</v>
      </c>
      <c r="F878" s="18" t="n">
        <v>64.2</v>
      </c>
      <c r="G878" s="18" t="n">
        <v>41.9</v>
      </c>
      <c r="H878" s="18">
        <f>IF(D878="","",D878*'参数与说明'!$B$6/45.3592)</f>
        <v/>
      </c>
      <c r="I878" s="19">
        <f>IFERROR(IF(D878="","",D878/INDEX($D:$D,MATCH(EDATE($A878,-1),$A:$A,0))-1),"")</f>
        <v/>
      </c>
      <c r="J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61.1</v>
      </c>
      <c r="E879" s="14" t="n">
        <v>65.90000000000001</v>
      </c>
      <c r="F879" s="14" t="n">
        <v>61.7</v>
      </c>
      <c r="G879" s="14" t="n">
        <v>41.3</v>
      </c>
      <c r="H879" s="14">
        <f>IF(D879="","",D879*'参数与说明'!$B$6/45.3592)</f>
        <v/>
      </c>
      <c r="I879" s="15">
        <f>IFERROR(IF(D879="","",D879/INDEX($D:$D,MATCH(EDATE($A879,-1),$A:$A,0))-1),"")</f>
        <v/>
      </c>
      <c r="J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58.8</v>
      </c>
      <c r="E880" s="18" t="n">
        <v>63.2</v>
      </c>
      <c r="F880" s="18" t="n">
        <v>60.4</v>
      </c>
      <c r="G880" s="18" t="n">
        <v>40.6</v>
      </c>
      <c r="H880" s="18">
        <f>IF(D880="","",D880*'参数与说明'!$B$6/45.3592)</f>
        <v/>
      </c>
      <c r="I880" s="19">
        <f>IFERROR(IF(D880="","",D880/INDEX($D:$D,MATCH(EDATE($A880,-1),$A:$A,0))-1),"")</f>
        <v/>
      </c>
      <c r="J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58.1</v>
      </c>
      <c r="E881" s="14" t="n">
        <v>62.5</v>
      </c>
      <c r="F881" s="14" t="n">
        <v>61.8</v>
      </c>
      <c r="G881" s="14" t="n">
        <v>39.8</v>
      </c>
      <c r="H881" s="14">
        <f>IF(D881="","",D881*'参数与说明'!$B$6/45.3592)</f>
        <v/>
      </c>
      <c r="I881" s="15">
        <f>IFERROR(IF(D881="","",D881/INDEX($D:$D,MATCH(EDATE($A881,-1),$A:$A,0))-1),"")</f>
        <v/>
      </c>
      <c r="J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55.6</v>
      </c>
      <c r="E882" s="18" t="n">
        <v>60</v>
      </c>
      <c r="F882" s="18" t="n">
        <v>59</v>
      </c>
      <c r="G882" s="18" t="n">
        <v>38.1</v>
      </c>
      <c r="H882" s="18">
        <f>IF(D882="","",D882*'参数与说明'!$B$6/45.3592)</f>
        <v/>
      </c>
      <c r="I882" s="19">
        <f>IFERROR(IF(D882="","",D882/INDEX($D:$D,MATCH(EDATE($A882,-1),$A:$A,0))-1),"")</f>
        <v/>
      </c>
      <c r="J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53.8</v>
      </c>
      <c r="E883" s="14" t="n">
        <v>58.1</v>
      </c>
      <c r="F883" s="14" t="n">
        <v>58.3</v>
      </c>
      <c r="G883" s="14" t="n">
        <v>36.8</v>
      </c>
      <c r="H883" s="14">
        <f>IF(D883="","",D883*'参数与说明'!$B$6/45.3592)</f>
        <v/>
      </c>
      <c r="I883" s="15">
        <f>IFERROR(IF(D883="","",D883/INDEX($D:$D,MATCH(EDATE($A883,-1),$A:$A,0))-1),"")</f>
        <v/>
      </c>
      <c r="J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52.6</v>
      </c>
      <c r="E884" s="18" t="n">
        <v>57.8</v>
      </c>
      <c r="F884" s="18" t="n">
        <v>58.1</v>
      </c>
      <c r="G884" s="18" t="n">
        <v>35</v>
      </c>
      <c r="H884" s="18">
        <f>IF(D884="","",D884*'参数与说明'!$B$6/45.3592)</f>
        <v/>
      </c>
      <c r="I884" s="19">
        <f>IFERROR(IF(D884="","",D884/INDEX($D:$D,MATCH(EDATE($A884,-1),$A:$A,0))-1),"")</f>
        <v/>
      </c>
      <c r="J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52.5</v>
      </c>
      <c r="E885" s="14" t="n">
        <v>57.5</v>
      </c>
      <c r="F885" s="14" t="n">
        <v>58.8</v>
      </c>
      <c r="G885" s="14" t="n">
        <v>34.9</v>
      </c>
      <c r="H885" s="14">
        <f>IF(D885="","",D885*'参数与说明'!$B$6/45.3592)</f>
        <v/>
      </c>
      <c r="I885" s="15">
        <f>IFERROR(IF(D885="","",D885/INDEX($D:$D,MATCH(EDATE($A885,-1),$A:$A,0))-1),"")</f>
        <v/>
      </c>
      <c r="J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54.3</v>
      </c>
      <c r="E886" s="18" t="n">
        <v>59</v>
      </c>
      <c r="F886" s="18" t="n">
        <v>62.4</v>
      </c>
      <c r="G886" s="18" t="n">
        <v>37</v>
      </c>
      <c r="H886" s="18">
        <f>IF(D886="","",D886*'参数与说明'!$B$6/45.3592)</f>
        <v/>
      </c>
      <c r="I886" s="19">
        <f>IFERROR(IF(D886="","",D886/INDEX($D:$D,MATCH(EDATE($A886,-1),$A:$A,0))-1),"")</f>
        <v/>
      </c>
      <c r="J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57.1</v>
      </c>
      <c r="E887" s="14" t="n">
        <v>60.8</v>
      </c>
      <c r="F887" s="14" t="n">
        <v>66.5</v>
      </c>
      <c r="G887" s="14" t="n">
        <v>41.4</v>
      </c>
      <c r="H887" s="14">
        <f>IF(D887="","",D887*'参数与说明'!$B$6/45.3592)</f>
        <v/>
      </c>
      <c r="I887" s="15">
        <f>IFERROR(IF(D887="","",D887/INDEX($D:$D,MATCH(EDATE($A887,-1),$A:$A,0))-1),"")</f>
        <v/>
      </c>
      <c r="J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59.7</v>
      </c>
      <c r="E888" s="18" t="n">
        <v>63.2</v>
      </c>
      <c r="F888" s="18" t="n">
        <v>68.40000000000001</v>
      </c>
      <c r="G888" s="18" t="n">
        <v>42.7</v>
      </c>
      <c r="H888" s="18">
        <f>IF(D888="","",D888*'参数与说明'!$B$6/45.3592)</f>
        <v/>
      </c>
      <c r="I888" s="19">
        <f>IFERROR(IF(D888="","",D888/INDEX($D:$D,MATCH(EDATE($A888,-1),$A:$A,0))-1),"")</f>
        <v/>
      </c>
      <c r="J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61</v>
      </c>
      <c r="E889" s="14" t="n">
        <v>64.8</v>
      </c>
      <c r="F889" s="14" t="n">
        <v>66.7</v>
      </c>
      <c r="G889" s="14" t="n">
        <v>42.4</v>
      </c>
      <c r="H889" s="14">
        <f>IF(D889="","",D889*'参数与说明'!$B$6/45.3592)</f>
        <v/>
      </c>
      <c r="I889" s="15">
        <f>IFERROR(IF(D889="","",D889/INDEX($D:$D,MATCH(EDATE($A889,-1),$A:$A,0))-1),"")</f>
        <v/>
      </c>
      <c r="J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59.9</v>
      </c>
      <c r="E890" s="18" t="n">
        <v>63.6</v>
      </c>
      <c r="F890" s="18" t="n">
        <v>66.2</v>
      </c>
      <c r="G890" s="18" t="n">
        <v>41.9</v>
      </c>
      <c r="H890" s="18">
        <f>IF(D890="","",D890*'参数与说明'!$B$6/45.3592)</f>
        <v/>
      </c>
      <c r="I890" s="19">
        <f>IFERROR(IF(D890="","",D890/INDEX($D:$D,MATCH(EDATE($A890,-1),$A:$A,0))-1),"")</f>
        <v/>
      </c>
      <c r="J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58.3</v>
      </c>
      <c r="E891" s="14" t="n">
        <v>62.2</v>
      </c>
      <c r="F891" s="14" t="n">
        <v>64.3</v>
      </c>
      <c r="G891" s="14" t="n">
        <v>41.2</v>
      </c>
      <c r="H891" s="14">
        <f>IF(D891="","",D891*'参数与说明'!$B$6/45.3592)</f>
        <v/>
      </c>
      <c r="I891" s="15">
        <f>IFERROR(IF(D891="","",D891/INDEX($D:$D,MATCH(EDATE($A891,-1),$A:$A,0))-1),"")</f>
        <v/>
      </c>
      <c r="J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55.8</v>
      </c>
      <c r="E892" s="18" t="n">
        <v>59.9</v>
      </c>
      <c r="F892" s="18" t="n">
        <v>60.3</v>
      </c>
      <c r="G892" s="18" t="n">
        <v>39.5</v>
      </c>
      <c r="H892" s="18">
        <f>IF(D892="","",D892*'参数与说明'!$B$6/45.3592)</f>
        <v/>
      </c>
      <c r="I892" s="19">
        <f>IFERROR(IF(D892="","",D892/INDEX($D:$D,MATCH(EDATE($A892,-1),$A:$A,0))-1),"")</f>
        <v/>
      </c>
      <c r="J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54.2</v>
      </c>
      <c r="E893" s="14" t="n">
        <v>58.1</v>
      </c>
      <c r="F893" s="14" t="n">
        <v>57.4</v>
      </c>
      <c r="G893" s="14" t="n">
        <v>37.7</v>
      </c>
      <c r="H893" s="14">
        <f>IF(D893="","",D893*'参数与说明'!$B$6/45.3592)</f>
        <v/>
      </c>
      <c r="I893" s="15">
        <f>IFERROR(IF(D893="","",D893/INDEX($D:$D,MATCH(EDATE($A893,-1),$A:$A,0))-1),"")</f>
        <v/>
      </c>
      <c r="J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52.3</v>
      </c>
      <c r="E894" s="18" t="n">
        <v>56.2</v>
      </c>
      <c r="F894" s="18" t="n">
        <v>56.1</v>
      </c>
      <c r="G894" s="18" t="n">
        <v>36</v>
      </c>
      <c r="H894" s="18">
        <f>IF(D894="","",D894*'参数与说明'!$B$6/45.3592)</f>
        <v/>
      </c>
      <c r="I894" s="19">
        <f>IFERROR(IF(D894="","",D894/INDEX($D:$D,MATCH(EDATE($A894,-1),$A:$A,0))-1),"")</f>
        <v/>
      </c>
      <c r="J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51.7</v>
      </c>
      <c r="E895" s="14" t="n">
        <v>56.6</v>
      </c>
      <c r="F895" s="14" t="n">
        <v>57.2</v>
      </c>
      <c r="G895" s="14" t="n">
        <v>34.4</v>
      </c>
      <c r="H895" s="14">
        <f>IF(D895="","",D895*'参数与说明'!$B$6/45.3592)</f>
        <v/>
      </c>
      <c r="I895" s="15">
        <f>IFERROR(IF(D895="","",D895/INDEX($D:$D,MATCH(EDATE($A895,-1),$A:$A,0))-1),"")</f>
        <v/>
      </c>
      <c r="J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51.2</v>
      </c>
      <c r="E896" s="18" t="n">
        <v>56.9</v>
      </c>
      <c r="F896" s="18" t="n">
        <v>59.4</v>
      </c>
      <c r="G896" s="18" t="n">
        <v>33.8</v>
      </c>
      <c r="H896" s="18">
        <f>IF(D896="","",D896*'参数与说明'!$B$6/45.3592)</f>
        <v/>
      </c>
      <c r="I896" s="19">
        <f>IFERROR(IF(D896="","",D896/INDEX($D:$D,MATCH(EDATE($A896,-1),$A:$A,0))-1),"")</f>
        <v/>
      </c>
      <c r="J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54.5</v>
      </c>
      <c r="E897" s="14" t="n">
        <v>60.9</v>
      </c>
      <c r="F897" s="14" t="n">
        <v>60.6</v>
      </c>
      <c r="G897" s="14" t="n">
        <v>33.8</v>
      </c>
      <c r="H897" s="14">
        <f>IF(D897="","",D897*'参数与说明'!$B$6/45.3592)</f>
        <v/>
      </c>
      <c r="I897" s="15">
        <f>IFERROR(IF(D897="","",D897/INDEX($D:$D,MATCH(EDATE($A897,-1),$A:$A,0))-1),"")</f>
        <v/>
      </c>
      <c r="J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57.2</v>
      </c>
      <c r="E898" s="18" t="n">
        <v>63.9</v>
      </c>
      <c r="F898" s="18" t="n">
        <v>61.1</v>
      </c>
      <c r="G898" s="18" t="n">
        <v>35</v>
      </c>
      <c r="H898" s="18">
        <f>IF(D898="","",D898*'参数与说明'!$B$6/45.3592)</f>
        <v/>
      </c>
      <c r="I898" s="19">
        <f>IFERROR(IF(D898="","",D898/INDEX($D:$D,MATCH(EDATE($A898,-1),$A:$A,0))-1),"")</f>
        <v/>
      </c>
      <c r="J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59.7</v>
      </c>
      <c r="E899" s="14" t="n">
        <v>64.59999999999999</v>
      </c>
      <c r="F899" s="14" t="n">
        <v>63.9</v>
      </c>
      <c r="G899" s="14" t="n">
        <v>39.7</v>
      </c>
      <c r="H899" s="14">
        <f>IF(D899="","",D899*'参数与说明'!$B$6/45.3592)</f>
        <v/>
      </c>
      <c r="I899" s="15">
        <f>IFERROR(IF(D899="","",D899/INDEX($D:$D,MATCH(EDATE($A899,-1),$A:$A,0))-1),"")</f>
        <v/>
      </c>
      <c r="J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61.7</v>
      </c>
      <c r="E900" s="18" t="n">
        <v>65.8</v>
      </c>
      <c r="F900" s="18" t="n">
        <v>63.7</v>
      </c>
      <c r="G900" s="18" t="n">
        <v>41.8</v>
      </c>
      <c r="H900" s="18">
        <f>IF(D900="","",D900*'参数与说明'!$B$6/45.3592)</f>
        <v/>
      </c>
      <c r="I900" s="19">
        <f>IFERROR(IF(D900="","",D900/INDEX($D:$D,MATCH(EDATE($A900,-1),$A:$A,0))-1),"")</f>
        <v/>
      </c>
      <c r="J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60.1</v>
      </c>
      <c r="E901" s="14" t="n">
        <v>64.59999999999999</v>
      </c>
      <c r="F901" s="14" t="n">
        <v>62.3</v>
      </c>
      <c r="G901" s="14" t="n">
        <v>40.8</v>
      </c>
      <c r="H901" s="14">
        <f>IF(D901="","",D901*'参数与说明'!$B$6/45.3592)</f>
        <v/>
      </c>
      <c r="I901" s="15">
        <f>IFERROR(IF(D901="","",D901/INDEX($D:$D,MATCH(EDATE($A901,-1),$A:$A,0))-1),"")</f>
        <v/>
      </c>
      <c r="J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58.6</v>
      </c>
      <c r="E902" s="18" t="n">
        <v>62.7</v>
      </c>
      <c r="F902" s="18" t="n">
        <v>60.8</v>
      </c>
      <c r="G902" s="18" t="n">
        <v>39.4</v>
      </c>
      <c r="H902" s="18">
        <f>IF(D902="","",D902*'参数与说明'!$B$6/45.3592)</f>
        <v/>
      </c>
      <c r="I902" s="19">
        <f>IFERROR(IF(D902="","",D902/INDEX($D:$D,MATCH(EDATE($A902,-1),$A:$A,0))-1),"")</f>
        <v/>
      </c>
      <c r="J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57.6</v>
      </c>
      <c r="E903" s="14" t="n">
        <v>61.5</v>
      </c>
      <c r="F903" s="14" t="n">
        <v>59.2</v>
      </c>
      <c r="G903" s="14" t="n">
        <v>39.1</v>
      </c>
      <c r="H903" s="14">
        <f>IF(D903="","",D903*'参数与说明'!$B$6/45.3592)</f>
        <v/>
      </c>
      <c r="I903" s="15">
        <f>IFERROR(IF(D903="","",D903/INDEX($D:$D,MATCH(EDATE($A903,-1),$A:$A,0))-1),"")</f>
        <v/>
      </c>
      <c r="J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57.6</v>
      </c>
      <c r="E904" s="18" t="n">
        <v>62.3</v>
      </c>
      <c r="F904" s="18" t="n">
        <v>59.1</v>
      </c>
      <c r="G904" s="18" t="n">
        <v>37.8</v>
      </c>
      <c r="H904" s="18">
        <f>IF(D904="","",D904*'参数与说明'!$B$6/45.3592)</f>
        <v/>
      </c>
      <c r="I904" s="19">
        <f>IFERROR(IF(D904="","",D904/INDEX($D:$D,MATCH(EDATE($A904,-1),$A:$A,0))-1),"")</f>
        <v/>
      </c>
      <c r="J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56.6</v>
      </c>
      <c r="E905" s="14" t="n">
        <v>61.3</v>
      </c>
      <c r="F905" s="14" t="n">
        <v>59.1</v>
      </c>
      <c r="G905" s="14" t="n">
        <v>37.3</v>
      </c>
      <c r="H905" s="14">
        <f>IF(D905="","",D905*'参数与说明'!$B$6/45.3592)</f>
        <v/>
      </c>
      <c r="I905" s="15">
        <f>IFERROR(IF(D905="","",D905/INDEX($D:$D,MATCH(EDATE($A905,-1),$A:$A,0))-1),"")</f>
        <v/>
      </c>
      <c r="J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55.7</v>
      </c>
      <c r="E906" s="18" t="n">
        <v>60.2</v>
      </c>
      <c r="F906" s="18" t="n">
        <v>56.6</v>
      </c>
      <c r="G906" s="18" t="n">
        <v>34.9</v>
      </c>
      <c r="H906" s="18">
        <f>IF(D906="","",D906*'参数与说明'!$B$6/45.3592)</f>
        <v/>
      </c>
      <c r="I906" s="19">
        <f>IFERROR(IF(D906="","",D906/INDEX($D:$D,MATCH(EDATE($A906,-1),$A:$A,0))-1),"")</f>
        <v/>
      </c>
      <c r="J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54.1</v>
      </c>
      <c r="E907" s="14" t="n">
        <v>59.2</v>
      </c>
      <c r="F907" s="14" t="n">
        <v>58.2</v>
      </c>
      <c r="G907" s="14" t="n">
        <v>35.1</v>
      </c>
      <c r="H907" s="14">
        <f>IF(D907="","",D907*'参数与说明'!$B$6/45.3592)</f>
        <v/>
      </c>
      <c r="I907" s="15">
        <f>IFERROR(IF(D907="","",D907/INDEX($D:$D,MATCH(EDATE($A907,-1),$A:$A,0))-1),"")</f>
        <v/>
      </c>
      <c r="J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54.8</v>
      </c>
      <c r="E908" s="18" t="n">
        <v>61.1</v>
      </c>
      <c r="F908" s="18" t="n">
        <v>59.4</v>
      </c>
      <c r="G908" s="18" t="n">
        <v>33.9</v>
      </c>
      <c r="H908" s="18">
        <f>IF(D908="","",D908*'参数与说明'!$B$6/45.3592)</f>
        <v/>
      </c>
      <c r="I908" s="19">
        <f>IFERROR(IF(D908="","",D908/INDEX($D:$D,MATCH(EDATE($A908,-1),$A:$A,0))-1),"")</f>
        <v/>
      </c>
      <c r="J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57</v>
      </c>
      <c r="E909" s="14" t="n">
        <v>63</v>
      </c>
      <c r="F909" s="14" t="n">
        <v>59.4</v>
      </c>
      <c r="G909" s="14" t="n">
        <v>34.3</v>
      </c>
      <c r="H909" s="14">
        <f>IF(D909="","",D909*'参数与说明'!$B$6/45.3592)</f>
        <v/>
      </c>
      <c r="I909" s="15">
        <f>IFERROR(IF(D909="","",D909/INDEX($D:$D,MATCH(EDATE($A909,-1),$A:$A,0))-1),"")</f>
        <v/>
      </c>
      <c r="J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57.4</v>
      </c>
      <c r="E910" s="18" t="n">
        <v>63.1</v>
      </c>
      <c r="F910" s="18" t="n">
        <v>64.09999999999999</v>
      </c>
      <c r="G910" s="18" t="n">
        <v>37.7</v>
      </c>
      <c r="H910" s="18">
        <f>IF(D910="","",D910*'参数与说明'!$B$6/45.3592)</f>
        <v/>
      </c>
      <c r="I910" s="19">
        <f>IFERROR(IF(D910="","",D910/INDEX($D:$D,MATCH(EDATE($A910,-1),$A:$A,0))-1),"")</f>
        <v/>
      </c>
      <c r="J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58.5</v>
      </c>
      <c r="E911" s="14" t="n">
        <v>62.9</v>
      </c>
      <c r="F911" s="14" t="n">
        <v>65.40000000000001</v>
      </c>
      <c r="G911" s="14" t="n">
        <v>41.1</v>
      </c>
      <c r="H911" s="14">
        <f>IF(D911="","",D911*'参数与说明'!$B$6/45.3592)</f>
        <v/>
      </c>
      <c r="I911" s="15">
        <f>IFERROR(IF(D911="","",D911/INDEX($D:$D,MATCH(EDATE($A911,-1),$A:$A,0))-1),"")</f>
        <v/>
      </c>
      <c r="J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57.3</v>
      </c>
      <c r="E912" s="18" t="n">
        <v>60.7</v>
      </c>
      <c r="F912" s="18" t="n">
        <v>65.90000000000001</v>
      </c>
      <c r="G912" s="18" t="n">
        <v>40.9</v>
      </c>
      <c r="H912" s="18">
        <f>IF(D912="","",D912*'参数与说明'!$B$6/45.3592)</f>
        <v/>
      </c>
      <c r="I912" s="19">
        <f>IFERROR(IF(D912="","",D912/INDEX($D:$D,MATCH(EDATE($A912,-1),$A:$A,0))-1),"")</f>
        <v/>
      </c>
      <c r="J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56.2</v>
      </c>
      <c r="E913" s="14" t="n">
        <v>59.6</v>
      </c>
      <c r="F913" s="14" t="n">
        <v>65.40000000000001</v>
      </c>
      <c r="G913" s="14" t="n">
        <v>39.7</v>
      </c>
      <c r="H913" s="14">
        <f>IF(D913="","",D913*'参数与说明'!$B$6/45.3592)</f>
        <v/>
      </c>
      <c r="I913" s="15">
        <f>IFERROR(IF(D913="","",D913/INDEX($D:$D,MATCH(EDATE($A913,-1),$A:$A,0))-1),"")</f>
        <v/>
      </c>
      <c r="J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55.3</v>
      </c>
      <c r="E914" s="18" t="n">
        <v>58.4</v>
      </c>
      <c r="F914" s="18" t="n">
        <v>65.59999999999999</v>
      </c>
      <c r="G914" s="18" t="n">
        <v>39.3</v>
      </c>
      <c r="H914" s="18">
        <f>IF(D914="","",D914*'参数与说明'!$B$6/45.3592)</f>
        <v/>
      </c>
      <c r="I914" s="19">
        <f>IFERROR(IF(D914="","",D914/INDEX($D:$D,MATCH(EDATE($A914,-1),$A:$A,0))-1),"")</f>
        <v/>
      </c>
      <c r="J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53.6</v>
      </c>
      <c r="E915" s="14" t="n">
        <v>56.6</v>
      </c>
      <c r="F915" s="14" t="n">
        <v>62.6</v>
      </c>
      <c r="G915" s="14" t="n">
        <v>37.4</v>
      </c>
      <c r="H915" s="14">
        <f>IF(D915="","",D915*'参数与说明'!$B$6/45.3592)</f>
        <v/>
      </c>
      <c r="I915" s="15">
        <f>IFERROR(IF(D915="","",D915/INDEX($D:$D,MATCH(EDATE($A915,-1),$A:$A,0))-1),"")</f>
        <v/>
      </c>
      <c r="J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50.2</v>
      </c>
      <c r="E916" s="18" t="n">
        <v>53.2</v>
      </c>
      <c r="F916" s="18" t="n">
        <v>60</v>
      </c>
      <c r="G916" s="18" t="n">
        <v>35.4</v>
      </c>
      <c r="H916" s="18">
        <f>IF(D916="","",D916*'参数与说明'!$B$6/45.3592)</f>
        <v/>
      </c>
      <c r="I916" s="19">
        <f>IFERROR(IF(D916="","",D916/INDEX($D:$D,MATCH(EDATE($A916,-1),$A:$A,0))-1),"")</f>
        <v/>
      </c>
      <c r="J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49.4</v>
      </c>
      <c r="E917" s="14" t="n">
        <v>51.9</v>
      </c>
      <c r="F917" s="14" t="n">
        <v>61.4</v>
      </c>
      <c r="G917" s="14" t="n">
        <v>35.2</v>
      </c>
      <c r="H917" s="14">
        <f>IF(D917="","",D917*'参数与说明'!$B$6/45.3592)</f>
        <v/>
      </c>
      <c r="I917" s="15">
        <f>IFERROR(IF(D917="","",D917/INDEX($D:$D,MATCH(EDATE($A917,-1),$A:$A,0))-1),"")</f>
        <v/>
      </c>
      <c r="J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49.1</v>
      </c>
      <c r="E918" s="18" t="n">
        <v>52.2</v>
      </c>
      <c r="F918" s="18" t="n">
        <v>58.3</v>
      </c>
      <c r="G918" s="18" t="n">
        <v>34.1</v>
      </c>
      <c r="H918" s="18">
        <f>IF(D918="","",D918*'参数与说明'!$B$6/45.3592)</f>
        <v/>
      </c>
      <c r="I918" s="19">
        <f>IFERROR(IF(D918="","",D918/INDEX($D:$D,MATCH(EDATE($A918,-1),$A:$A,0))-1),"")</f>
        <v/>
      </c>
      <c r="J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52.1</v>
      </c>
      <c r="E919" s="14" t="n">
        <v>56.6</v>
      </c>
      <c r="F919" s="14" t="n">
        <v>60.2</v>
      </c>
      <c r="G919" s="14" t="n">
        <v>33</v>
      </c>
      <c r="H919" s="14">
        <f>IF(D919="","",D919*'参数与说明'!$B$6/45.3592)</f>
        <v/>
      </c>
      <c r="I919" s="15">
        <f>IFERROR(IF(D919="","",D919/INDEX($D:$D,MATCH(EDATE($A919,-1),$A:$A,0))-1),"")</f>
        <v/>
      </c>
      <c r="J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54.7</v>
      </c>
      <c r="E920" s="18" t="n">
        <v>60.1</v>
      </c>
      <c r="F920" s="18" t="n">
        <v>61.4</v>
      </c>
      <c r="G920" s="18" t="n">
        <v>32.9</v>
      </c>
      <c r="H920" s="18">
        <f>IF(D920="","",D920*'参数与说明'!$B$6/45.3592)</f>
        <v/>
      </c>
      <c r="I920" s="19">
        <f>IFERROR(IF(D920="","",D920/INDEX($D:$D,MATCH(EDATE($A920,-1),$A:$A,0))-1),"")</f>
        <v/>
      </c>
      <c r="J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53.7</v>
      </c>
      <c r="E921" s="14" t="n">
        <v>59.8</v>
      </c>
      <c r="F921" s="14" t="n">
        <v>58.8</v>
      </c>
      <c r="G921" s="14" t="n">
        <v>33</v>
      </c>
      <c r="H921" s="14">
        <f>IF(D921="","",D921*'参数与说明'!$B$6/45.3592)</f>
        <v/>
      </c>
      <c r="I921" s="15">
        <f>IFERROR(IF(D921="","",D921/INDEX($D:$D,MATCH(EDATE($A921,-1),$A:$A,0))-1),"")</f>
        <v/>
      </c>
      <c r="J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53.2</v>
      </c>
      <c r="E922" s="18" t="n">
        <v>58</v>
      </c>
      <c r="F922" s="18" t="n">
        <v>60.1</v>
      </c>
      <c r="G922" s="18" t="n">
        <v>34.4</v>
      </c>
      <c r="H922" s="18">
        <f>IF(D922="","",D922*'参数与说明'!$B$6/45.3592)</f>
        <v/>
      </c>
      <c r="I922" s="19">
        <f>IFERROR(IF(D922="","",D922/INDEX($D:$D,MATCH(EDATE($A922,-1),$A:$A,0))-1),"")</f>
        <v/>
      </c>
      <c r="J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53</v>
      </c>
      <c r="E923" s="14" t="n">
        <v>56.4</v>
      </c>
      <c r="F923" s="14" t="n">
        <v>62.7</v>
      </c>
      <c r="G923" s="14" t="n">
        <v>36.7</v>
      </c>
      <c r="H923" s="14">
        <f>IF(D923="","",D923*'参数与说明'!$B$6/45.3592)</f>
        <v/>
      </c>
      <c r="I923" s="15">
        <f>IFERROR(IF(D923="","",D923/INDEX($D:$D,MATCH(EDATE($A923,-1),$A:$A,0))-1),"")</f>
        <v/>
      </c>
      <c r="J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52.4</v>
      </c>
      <c r="E924" s="18" t="n">
        <v>55.6</v>
      </c>
      <c r="F924" s="18" t="n">
        <v>61.9</v>
      </c>
      <c r="G924" s="18" t="n">
        <v>36.5</v>
      </c>
      <c r="H924" s="18">
        <f>IF(D924="","",D924*'参数与说明'!$B$6/45.3592)</f>
        <v/>
      </c>
      <c r="I924" s="19">
        <f>IFERROR(IF(D924="","",D924/INDEX($D:$D,MATCH(EDATE($A924,-1),$A:$A,0))-1),"")</f>
        <v/>
      </c>
      <c r="J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50.3</v>
      </c>
      <c r="E925" s="14" t="n">
        <v>53.6</v>
      </c>
      <c r="F925" s="14" t="n">
        <v>58.9</v>
      </c>
      <c r="G925" s="14" t="n">
        <v>33.6</v>
      </c>
      <c r="H925" s="14">
        <f>IF(D925="","",D925*'参数与说明'!$B$6/45.3592)</f>
        <v/>
      </c>
      <c r="I925" s="15">
        <f>IFERROR(IF(D925="","",D925/INDEX($D:$D,MATCH(EDATE($A925,-1),$A:$A,0))-1),"")</f>
        <v/>
      </c>
      <c r="J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51</v>
      </c>
      <c r="E926" s="18" t="n">
        <v>54.2</v>
      </c>
      <c r="F926" s="18" t="n">
        <v>58</v>
      </c>
      <c r="G926" s="18" t="n">
        <v>35.3</v>
      </c>
      <c r="H926" s="18">
        <f>IF(D926="","",D926*'参数与说明'!$B$6/45.3592)</f>
        <v/>
      </c>
      <c r="I926" s="19">
        <f>IFERROR(IF(D926="","",D926/INDEX($D:$D,MATCH(EDATE($A926,-1),$A:$A,0))-1),"")</f>
        <v/>
      </c>
      <c r="J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50.1</v>
      </c>
      <c r="E927" s="14" t="n">
        <v>53.1</v>
      </c>
      <c r="F927" s="14" t="n">
        <v>58.1</v>
      </c>
      <c r="G927" s="14" t="n">
        <v>36.3</v>
      </c>
      <c r="H927" s="14">
        <f>IF(D927="","",D927*'参数与说明'!$B$6/45.3592)</f>
        <v/>
      </c>
      <c r="I927" s="15">
        <f>IFERROR(IF(D927="","",D927/INDEX($D:$D,MATCH(EDATE($A927,-1),$A:$A,0))-1),"")</f>
        <v/>
      </c>
      <c r="J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52.9</v>
      </c>
      <c r="E928" s="18" t="n">
        <v>56.6</v>
      </c>
      <c r="F928" s="18" t="n">
        <v>59.4</v>
      </c>
      <c r="G928" s="18" t="n">
        <v>35.5</v>
      </c>
      <c r="H928" s="18">
        <f>IF(D928="","",D928*'参数与说明'!$B$6/45.3592)</f>
        <v/>
      </c>
      <c r="I928" s="19">
        <f>IFERROR(IF(D928="","",D928/INDEX($D:$D,MATCH(EDATE($A928,-1),$A:$A,0))-1),"")</f>
        <v/>
      </c>
      <c r="J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54.4</v>
      </c>
      <c r="E929" s="14" t="n">
        <v>58</v>
      </c>
      <c r="F929" s="14" t="n">
        <v>61.1</v>
      </c>
      <c r="G929" s="14" t="n">
        <v>35.5</v>
      </c>
      <c r="H929" s="14">
        <f>IF(D929="","",D929*'参数与说明'!$B$6/45.3592)</f>
        <v/>
      </c>
      <c r="I929" s="15">
        <f>IFERROR(IF(D929="","",D929/INDEX($D:$D,MATCH(EDATE($A929,-1),$A:$A,0))-1),"")</f>
        <v/>
      </c>
      <c r="J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54.6</v>
      </c>
      <c r="E930" s="18" t="n">
        <v>58.6</v>
      </c>
      <c r="F930" s="18" t="n">
        <v>63.4</v>
      </c>
      <c r="G930" s="18" t="n">
        <v>36.4</v>
      </c>
      <c r="H930" s="18">
        <f>IF(D930="","",D930*'参数与说明'!$B$6/45.3592)</f>
        <v/>
      </c>
      <c r="I930" s="19">
        <f>IFERROR(IF(D930="","",D930/INDEX($D:$D,MATCH(EDATE($A930,-1),$A:$A,0))-1),"")</f>
        <v/>
      </c>
      <c r="J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54.4</v>
      </c>
      <c r="E931" s="14" t="n">
        <v>58.8</v>
      </c>
      <c r="F931" s="14" t="n">
        <v>62.7</v>
      </c>
      <c r="G931" s="14" t="n">
        <v>35.8</v>
      </c>
      <c r="H931" s="14">
        <f>IF(D931="","",D931*'参数与说明'!$B$6/45.3592)</f>
        <v/>
      </c>
      <c r="I931" s="15">
        <f>IFERROR(IF(D931="","",D931/INDEX($D:$D,MATCH(EDATE($A931,-1),$A:$A,0))-1),"")</f>
        <v/>
      </c>
      <c r="J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54.6</v>
      </c>
      <c r="E932" s="18" t="n">
        <v>59.8</v>
      </c>
      <c r="F932" s="18" t="n">
        <v>62.2</v>
      </c>
      <c r="G932" s="18" t="n">
        <v>34.9</v>
      </c>
      <c r="H932" s="18">
        <f>IF(D932="","",D932*'参数与说明'!$B$6/45.3592)</f>
        <v/>
      </c>
      <c r="I932" s="19">
        <f>IFERROR(IF(D932="","",D932/INDEX($D:$D,MATCH(EDATE($A932,-1),$A:$A,0))-1),"")</f>
        <v/>
      </c>
      <c r="J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53.2</v>
      </c>
      <c r="E933" s="14" t="n">
        <v>59.2</v>
      </c>
      <c r="F933" s="14" t="n">
        <v>62.2</v>
      </c>
      <c r="G933" s="14" t="n">
        <v>35.2</v>
      </c>
      <c r="H933" s="14">
        <f>IF(D933="","",D933*'参数与说明'!$B$6/45.3592)</f>
        <v/>
      </c>
      <c r="I933" s="15">
        <f>IFERROR(IF(D933="","",D933/INDEX($D:$D,MATCH(EDATE($A933,-1),$A:$A,0))-1),"")</f>
        <v/>
      </c>
      <c r="J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56.4</v>
      </c>
      <c r="E934" s="18" t="n">
        <v>59.7</v>
      </c>
      <c r="F934" s="18" t="n">
        <v>66.40000000000001</v>
      </c>
      <c r="G934" s="18" t="n">
        <v>39</v>
      </c>
      <c r="H934" s="18">
        <f>IF(D934="","",D934*'参数与说明'!$B$6/45.3592)</f>
        <v/>
      </c>
      <c r="I934" s="19">
        <f>IFERROR(IF(D934="","",D934/INDEX($D:$D,MATCH(EDATE($A934,-1),$A:$A,0))-1),"")</f>
        <v/>
      </c>
      <c r="J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58.8</v>
      </c>
      <c r="E935" s="14" t="n">
        <v>62.4</v>
      </c>
      <c r="F935" s="14" t="n">
        <v>70.59999999999999</v>
      </c>
      <c r="G935" s="14" t="n">
        <v>41.7</v>
      </c>
      <c r="H935" s="14">
        <f>IF(D935="","",D935*'参数与说明'!$B$6/45.3592)</f>
        <v/>
      </c>
      <c r="I935" s="15">
        <f>IFERROR(IF(D935="","",D935/INDEX($D:$D,MATCH(EDATE($A935,-1),$A:$A,0))-1),"")</f>
        <v/>
      </c>
      <c r="J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59.3</v>
      </c>
      <c r="E936" s="18" t="n">
        <v>62.7</v>
      </c>
      <c r="F936" s="18" t="n">
        <v>72.5</v>
      </c>
      <c r="G936" s="18" t="n">
        <v>43.3</v>
      </c>
      <c r="H936" s="18">
        <f>IF(D936="","",D936*'参数与说明'!$B$6/45.3592)</f>
        <v/>
      </c>
      <c r="I936" s="19">
        <f>IFERROR(IF(D936="","",D936/INDEX($D:$D,MATCH(EDATE($A936,-1),$A:$A,0))-1),"")</f>
        <v/>
      </c>
      <c r="J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62.6</v>
      </c>
      <c r="E937" s="14" t="n">
        <v>66.59999999999999</v>
      </c>
      <c r="F937" s="14" t="n">
        <v>75.09999999999999</v>
      </c>
      <c r="G937" s="14" t="n">
        <v>43.3</v>
      </c>
      <c r="H937" s="14">
        <f>IF(D937="","",D937*'参数与说明'!$B$6/45.3592)</f>
        <v/>
      </c>
      <c r="I937" s="15">
        <f>IFERROR(IF(D937="","",D937/INDEX($D:$D,MATCH(EDATE($A937,-1),$A:$A,0))-1),"")</f>
        <v/>
      </c>
      <c r="J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63</v>
      </c>
      <c r="E938" s="18" t="n">
        <v>67.40000000000001</v>
      </c>
      <c r="F938" s="18" t="n">
        <v>77.40000000000001</v>
      </c>
      <c r="G938" s="18" t="n">
        <v>43.1</v>
      </c>
      <c r="H938" s="18">
        <f>IF(D938="","",D938*'参数与说明'!$B$6/45.3592)</f>
        <v/>
      </c>
      <c r="I938" s="19">
        <f>IFERROR(IF(D938="","",D938/INDEX($D:$D,MATCH(EDATE($A938,-1),$A:$A,0))-1),"")</f>
        <v/>
      </c>
      <c r="J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62.5</v>
      </c>
      <c r="E939" s="14" t="n">
        <v>67.2</v>
      </c>
      <c r="F939" s="14" t="n">
        <v>78.8</v>
      </c>
      <c r="G939" s="14" t="n">
        <v>43.6</v>
      </c>
      <c r="H939" s="14">
        <f>IF(D939="","",D939*'参数与说明'!$B$6/45.3592)</f>
        <v/>
      </c>
      <c r="I939" s="15">
        <f>IFERROR(IF(D939="","",D939/INDEX($D:$D,MATCH(EDATE($A939,-1),$A:$A,0))-1),"")</f>
        <v/>
      </c>
      <c r="J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61.1</v>
      </c>
      <c r="E940" s="18" t="n">
        <v>65.40000000000001</v>
      </c>
      <c r="F940" s="18" t="n">
        <v>80.3</v>
      </c>
      <c r="G940" s="18" t="n">
        <v>43.4</v>
      </c>
      <c r="H940" s="18">
        <f>IF(D940="","",D940*'参数与说明'!$B$6/45.3592)</f>
        <v/>
      </c>
      <c r="I940" s="19">
        <f>IFERROR(IF(D940="","",D940/INDEX($D:$D,MATCH(EDATE($A940,-1),$A:$A,0))-1),"")</f>
        <v/>
      </c>
      <c r="J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61.9</v>
      </c>
      <c r="E941" s="14" t="n">
        <v>65.90000000000001</v>
      </c>
      <c r="F941" s="14" t="n">
        <v>82.3</v>
      </c>
      <c r="G941" s="14" t="n">
        <v>43.8</v>
      </c>
      <c r="H941" s="14">
        <f>IF(D941="","",D941*'参数与说明'!$B$6/45.3592)</f>
        <v/>
      </c>
      <c r="I941" s="15">
        <f>IFERROR(IF(D941="","",D941/INDEX($D:$D,MATCH(EDATE($A941,-1),$A:$A,0))-1),"")</f>
        <v/>
      </c>
      <c r="J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63.7</v>
      </c>
      <c r="E942" s="18" t="n">
        <v>67.90000000000001</v>
      </c>
      <c r="F942" s="18" t="n">
        <v>85.90000000000001</v>
      </c>
      <c r="G942" s="18" t="n">
        <v>45.4</v>
      </c>
      <c r="H942" s="18">
        <f>IF(D942="","",D942*'参数与说明'!$B$6/45.3592)</f>
        <v/>
      </c>
      <c r="I942" s="19">
        <f>IFERROR(IF(D942="","",D942/INDEX($D:$D,MATCH(EDATE($A942,-1),$A:$A,0))-1),"")</f>
        <v/>
      </c>
      <c r="J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62.9</v>
      </c>
      <c r="E943" s="14" t="n">
        <v>67.40000000000001</v>
      </c>
      <c r="F943" s="14" t="n">
        <v>81.40000000000001</v>
      </c>
      <c r="G943" s="14" t="n">
        <v>43.7</v>
      </c>
      <c r="H943" s="14">
        <f>IF(D943="","",D943*'参数与说明'!$B$6/45.3592)</f>
        <v/>
      </c>
      <c r="I943" s="15">
        <f>IFERROR(IF(D943="","",D943/INDEX($D:$D,MATCH(EDATE($A943,-1),$A:$A,0))-1),"")</f>
        <v/>
      </c>
      <c r="J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62</v>
      </c>
      <c r="E944" s="18" t="n">
        <v>66.90000000000001</v>
      </c>
      <c r="F944" s="18" t="n">
        <v>82.90000000000001</v>
      </c>
      <c r="G944" s="18" t="n">
        <v>43</v>
      </c>
      <c r="H944" s="18">
        <f>IF(D944="","",D944*'参数与说明'!$B$6/45.3592)</f>
        <v/>
      </c>
      <c r="I944" s="19">
        <f>IFERROR(IF(D944="","",D944/INDEX($D:$D,MATCH(EDATE($A944,-1),$A:$A,0))-1),"")</f>
        <v/>
      </c>
      <c r="J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62.2</v>
      </c>
      <c r="E945" s="14" t="n">
        <v>66.59999999999999</v>
      </c>
      <c r="F945" s="14" t="n">
        <v>83</v>
      </c>
      <c r="G945" s="14" t="n">
        <v>45.1</v>
      </c>
      <c r="H945" s="14">
        <f>IF(D945="","",D945*'参数与说明'!$B$6/45.3592)</f>
        <v/>
      </c>
      <c r="I945" s="15">
        <f>IFERROR(IF(D945="","",D945/INDEX($D:$D,MATCH(EDATE($A945,-1),$A:$A,0))-1),"")</f>
        <v/>
      </c>
      <c r="J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65.40000000000001</v>
      </c>
      <c r="E946" s="18" t="n">
        <v>69.09999999999999</v>
      </c>
      <c r="F946" s="18" t="n">
        <v>88.2</v>
      </c>
      <c r="G946" s="18" t="n">
        <v>46.4</v>
      </c>
      <c r="H946" s="18">
        <f>IF(D946="","",D946*'参数与说明'!$B$6/45.3592)</f>
        <v/>
      </c>
      <c r="I946" s="19">
        <f>IFERROR(IF(D946="","",D946/INDEX($D:$D,MATCH(EDATE($A946,-1),$A:$A,0))-1),"")</f>
        <v/>
      </c>
      <c r="J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67.40000000000001</v>
      </c>
      <c r="E947" s="14" t="n">
        <v>71.40000000000001</v>
      </c>
      <c r="F947" s="14" t="n">
        <v>92.59999999999999</v>
      </c>
      <c r="G947" s="14" t="n">
        <v>48.7</v>
      </c>
      <c r="H947" s="14">
        <f>IF(D947="","",D947*'参数与说明'!$B$6/45.3592)</f>
        <v/>
      </c>
      <c r="I947" s="15">
        <f>IFERROR(IF(D947="","",D947/INDEX($D:$D,MATCH(EDATE($A947,-1),$A:$A,0))-1),"")</f>
        <v/>
      </c>
      <c r="J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68.3</v>
      </c>
      <c r="E948" s="18" t="n">
        <v>72.5</v>
      </c>
      <c r="F948" s="18" t="n">
        <v>93.5</v>
      </c>
      <c r="G948" s="18" t="n">
        <v>48.9</v>
      </c>
      <c r="H948" s="18">
        <f>IF(D948="","",D948*'参数与说明'!$B$6/45.3592)</f>
        <v/>
      </c>
      <c r="I948" s="19">
        <f>IFERROR(IF(D948="","",D948/INDEX($D:$D,MATCH(EDATE($A948,-1),$A:$A,0))-1),"")</f>
        <v/>
      </c>
      <c r="J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69</v>
      </c>
      <c r="E949" s="14" t="n">
        <v>73.40000000000001</v>
      </c>
      <c r="F949" s="14" t="n">
        <v>93.2</v>
      </c>
      <c r="G949" s="14" t="n">
        <v>49.4</v>
      </c>
      <c r="H949" s="14">
        <f>IF(D949="","",D949*'参数与说明'!$B$6/45.3592)</f>
        <v/>
      </c>
      <c r="I949" s="15">
        <f>IFERROR(IF(D949="","",D949/INDEX($D:$D,MATCH(EDATE($A949,-1),$A:$A,0))-1),"")</f>
        <v/>
      </c>
      <c r="J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69.3</v>
      </c>
      <c r="E950" s="18" t="n">
        <v>73.8</v>
      </c>
      <c r="F950" s="18" t="n">
        <v>93.40000000000001</v>
      </c>
      <c r="G950" s="18" t="n">
        <v>47.9</v>
      </c>
      <c r="H950" s="18">
        <f>IF(D950="","",D950*'参数与说明'!$B$6/45.3592)</f>
        <v/>
      </c>
      <c r="I950" s="19">
        <f>IFERROR(IF(D950="","",D950/INDEX($D:$D,MATCH(EDATE($A950,-1),$A:$A,0))-1),"")</f>
        <v/>
      </c>
      <c r="J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65</v>
      </c>
      <c r="E951" s="14" t="n">
        <v>70.40000000000001</v>
      </c>
      <c r="F951" s="14" t="n">
        <v>84.90000000000001</v>
      </c>
      <c r="G951" s="14" t="n">
        <v>42.8</v>
      </c>
      <c r="H951" s="14">
        <f>IF(D951="","",D951*'参数与说明'!$B$6/45.3592)</f>
        <v/>
      </c>
      <c r="I951" s="15">
        <f>IFERROR(IF(D951="","",D951/INDEX($D:$D,MATCH(EDATE($A951,-1),$A:$A,0))-1),"")</f>
        <v/>
      </c>
      <c r="J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63.2</v>
      </c>
      <c r="E952" s="18" t="n">
        <v>67.3</v>
      </c>
      <c r="F952" s="18" t="n">
        <v>87.7</v>
      </c>
      <c r="G952" s="18" t="n">
        <v>44.8</v>
      </c>
      <c r="H952" s="18">
        <f>IF(D952="","",D952*'参数与说明'!$B$6/45.3592)</f>
        <v/>
      </c>
      <c r="I952" s="19">
        <f>IFERROR(IF(D952="","",D952/INDEX($D:$D,MATCH(EDATE($A952,-1),$A:$A,0))-1),"")</f>
        <v/>
      </c>
      <c r="J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65.90000000000001</v>
      </c>
      <c r="E953" s="14" t="n">
        <v>69.90000000000001</v>
      </c>
      <c r="F953" s="14" t="n">
        <v>91</v>
      </c>
      <c r="G953" s="14" t="n">
        <v>46.3</v>
      </c>
      <c r="H953" s="14">
        <f>IF(D953="","",D953*'参数与说明'!$B$6/45.3592)</f>
        <v/>
      </c>
      <c r="I953" s="15">
        <f>IFERROR(IF(D953="","",D953/INDEX($D:$D,MATCH(EDATE($A953,-1),$A:$A,0))-1),"")</f>
        <v/>
      </c>
      <c r="J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67.2</v>
      </c>
      <c r="E954" s="18" t="n">
        <v>71.7</v>
      </c>
      <c r="F954" s="18" t="n">
        <v>89.5</v>
      </c>
      <c r="G954" s="18" t="n">
        <v>46.1</v>
      </c>
      <c r="H954" s="18">
        <f>IF(D954="","",D954*'参数与说明'!$B$6/45.3592)</f>
        <v/>
      </c>
      <c r="I954" s="19">
        <f>IFERROR(IF(D954="","",D954/INDEX($D:$D,MATCH(EDATE($A954,-1),$A:$A,0))-1),"")</f>
        <v/>
      </c>
      <c r="J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67</v>
      </c>
      <c r="E955" s="14" t="n">
        <v>72.59999999999999</v>
      </c>
      <c r="F955" s="14" t="n">
        <v>87.8</v>
      </c>
      <c r="G955" s="14" t="n">
        <v>44.6</v>
      </c>
      <c r="H955" s="14">
        <f>IF(D955="","",D955*'参数与说明'!$B$6/45.3592)</f>
        <v/>
      </c>
      <c r="I955" s="15">
        <f>IFERROR(IF(D955="","",D955/INDEX($D:$D,MATCH(EDATE($A955,-1),$A:$A,0))-1),"")</f>
        <v/>
      </c>
      <c r="J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66.7</v>
      </c>
      <c r="E956" s="18" t="n">
        <v>73.09999999999999</v>
      </c>
      <c r="F956" s="18" t="n">
        <v>87.8</v>
      </c>
      <c r="G956" s="18" t="n">
        <v>44.6</v>
      </c>
      <c r="H956" s="18">
        <f>IF(D956="","",D956*'参数与说明'!$B$6/45.3592)</f>
        <v/>
      </c>
      <c r="I956" s="19">
        <f>IFERROR(IF(D956="","",D956/INDEX($D:$D,MATCH(EDATE($A956,-1),$A:$A,0))-1),"")</f>
        <v/>
      </c>
      <c r="J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67.2</v>
      </c>
      <c r="E957" s="14" t="n">
        <v>73.09999999999999</v>
      </c>
      <c r="F957" s="14" t="n">
        <v>88.59999999999999</v>
      </c>
      <c r="G957" s="14" t="n">
        <v>45.7</v>
      </c>
      <c r="H957" s="14">
        <f>IF(D957="","",D957*'参数与说明'!$B$6/45.3592)</f>
        <v/>
      </c>
      <c r="I957" s="15">
        <f>IFERROR(IF(D957="","",D957/INDEX($D:$D,MATCH(EDATE($A957,-1),$A:$A,0))-1),"")</f>
        <v/>
      </c>
      <c r="J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70.59999999999999</v>
      </c>
      <c r="E958" s="18" t="n">
        <v>76</v>
      </c>
      <c r="F958" s="18" t="n">
        <v>92.8</v>
      </c>
      <c r="G958" s="18" t="n">
        <v>47.5</v>
      </c>
      <c r="H958" s="18">
        <f>IF(D958="","",D958*'参数与说明'!$B$6/45.3592)</f>
        <v/>
      </c>
      <c r="I958" s="19">
        <f>IFERROR(IF(D958="","",D958/INDEX($D:$D,MATCH(EDATE($A958,-1),$A:$A,0))-1),"")</f>
        <v/>
      </c>
      <c r="J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71.59999999999999</v>
      </c>
      <c r="E959" s="14" t="n">
        <v>75.5</v>
      </c>
      <c r="F959" s="14" t="n">
        <v>95.90000000000001</v>
      </c>
      <c r="G959" s="14" t="n">
        <v>49.8</v>
      </c>
      <c r="H959" s="14">
        <f>IF(D959="","",D959*'参数与说明'!$B$6/45.3592)</f>
        <v/>
      </c>
      <c r="I959" s="15">
        <f>IFERROR(IF(D959="","",D959/INDEX($D:$D,MATCH(EDATE($A959,-1),$A:$A,0))-1),"")</f>
        <v/>
      </c>
      <c r="J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72</v>
      </c>
      <c r="E960" s="18" t="n">
        <v>77.09999999999999</v>
      </c>
      <c r="F960" s="18" t="n">
        <v>94</v>
      </c>
      <c r="G960" s="18" t="n">
        <v>47.9</v>
      </c>
      <c r="H960" s="18">
        <f>IF(D960="","",D960*'参数与说明'!$B$6/45.3592)</f>
        <v/>
      </c>
      <c r="I960" s="19">
        <f>IFERROR(IF(D960="","",D960/INDEX($D:$D,MATCH(EDATE($A960,-1),$A:$A,0))-1),"")</f>
        <v/>
      </c>
      <c r="J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70.09999999999999</v>
      </c>
      <c r="E961" s="14" t="n">
        <v>75.3</v>
      </c>
      <c r="F961" s="14" t="n">
        <v>90.40000000000001</v>
      </c>
      <c r="G961" s="14" t="n">
        <v>47.1</v>
      </c>
      <c r="H961" s="14">
        <f>IF(D961="","",D961*'参数与说明'!$B$6/45.3592)</f>
        <v/>
      </c>
      <c r="I961" s="15">
        <f>IFERROR(IF(D961="","",D961/INDEX($D:$D,MATCH(EDATE($A961,-1),$A:$A,0))-1),"")</f>
        <v/>
      </c>
      <c r="J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68.8</v>
      </c>
      <c r="E962" s="18" t="n">
        <v>74</v>
      </c>
      <c r="F962" s="18" t="n">
        <v>91.09999999999999</v>
      </c>
      <c r="G962" s="18" t="n">
        <v>47.1</v>
      </c>
      <c r="H962" s="18">
        <f>IF(D962="","",D962*'参数与说明'!$B$6/45.3592)</f>
        <v/>
      </c>
      <c r="I962" s="19">
        <f>IFERROR(IF(D962="","",D962/INDEX($D:$D,MATCH(EDATE($A962,-1),$A:$A,0))-1),"")</f>
        <v/>
      </c>
      <c r="J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67.59999999999999</v>
      </c>
      <c r="E963" s="14" t="n">
        <v>71.90000000000001</v>
      </c>
      <c r="F963" s="14" t="n">
        <v>94.09999999999999</v>
      </c>
      <c r="G963" s="14" t="n">
        <v>47.7</v>
      </c>
      <c r="H963" s="14">
        <f>IF(D963="","",D963*'参数与说明'!$B$6/45.3592)</f>
        <v/>
      </c>
      <c r="I963" s="15">
        <f>IFERROR(IF(D963="","",D963/INDEX($D:$D,MATCH(EDATE($A963,-1),$A:$A,0))-1),"")</f>
        <v/>
      </c>
      <c r="J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68</v>
      </c>
      <c r="E964" s="18" t="n">
        <v>71.7</v>
      </c>
      <c r="F964" s="18" t="n">
        <v>94.59999999999999</v>
      </c>
      <c r="G964" s="18" t="n">
        <v>48.3</v>
      </c>
      <c r="H964" s="18">
        <f>IF(D964="","",D964*'参数与说明'!$B$6/45.3592)</f>
        <v/>
      </c>
      <c r="I964" s="19">
        <f>IFERROR(IF(D964="","",D964/INDEX($D:$D,MATCH(EDATE($A964,-1),$A:$A,0))-1),"")</f>
        <v/>
      </c>
      <c r="J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69.7</v>
      </c>
      <c r="E965" s="14" t="n">
        <v>73.90000000000001</v>
      </c>
      <c r="F965" s="14" t="n">
        <v>94.2</v>
      </c>
      <c r="G965" s="14" t="n">
        <v>49</v>
      </c>
      <c r="H965" s="14">
        <f>IF(D965="","",D965*'参数与说明'!$B$6/45.3592)</f>
        <v/>
      </c>
      <c r="I965" s="15">
        <f>IFERROR(IF(D965="","",D965/INDEX($D:$D,MATCH(EDATE($A965,-1),$A:$A,0))-1),"")</f>
        <v/>
      </c>
      <c r="J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68.2</v>
      </c>
      <c r="E966" s="18" t="n">
        <v>71.90000000000001</v>
      </c>
      <c r="F966" s="18" t="n">
        <v>91.09999999999999</v>
      </c>
      <c r="G966" s="18" t="n">
        <v>49.6</v>
      </c>
      <c r="H966" s="18">
        <f>IF(D966="","",D966*'参数与说明'!$B$6/45.3592)</f>
        <v/>
      </c>
      <c r="I966" s="19">
        <f>IFERROR(IF(D966="","",D966/INDEX($D:$D,MATCH(EDATE($A966,-1),$A:$A,0))-1),"")</f>
        <v/>
      </c>
      <c r="J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68.7</v>
      </c>
      <c r="E967" s="14" t="n">
        <v>73.5</v>
      </c>
      <c r="F967" s="14" t="n">
        <v>88.09999999999999</v>
      </c>
      <c r="G967" s="14" t="n">
        <v>47.2</v>
      </c>
      <c r="H967" s="14">
        <f>IF(D967="","",D967*'参数与说明'!$B$6/45.3592)</f>
        <v/>
      </c>
      <c r="I967" s="15">
        <f>IFERROR(IF(D967="","",D967/INDEX($D:$D,MATCH(EDATE($A967,-1),$A:$A,0))-1),"")</f>
        <v/>
      </c>
      <c r="J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69.8</v>
      </c>
      <c r="E968" s="18" t="n">
        <v>75.8</v>
      </c>
      <c r="F968" s="18" t="n">
        <v>86.7</v>
      </c>
      <c r="G968" s="18" t="n">
        <v>46.8</v>
      </c>
      <c r="H968" s="18">
        <f>IF(D968="","",D968*'参数与说明'!$B$6/45.3592)</f>
        <v/>
      </c>
      <c r="I968" s="19">
        <f>IFERROR(IF(D968="","",D968/INDEX($D:$D,MATCH(EDATE($A968,-1),$A:$A,0))-1),"")</f>
        <v/>
      </c>
      <c r="J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71</v>
      </c>
      <c r="E969" s="14" t="n">
        <v>75.90000000000001</v>
      </c>
      <c r="F969" s="14" t="n">
        <v>89.09999999999999</v>
      </c>
      <c r="G969" s="14" t="n">
        <v>49.3</v>
      </c>
      <c r="H969" s="14">
        <f>IF(D969="","",D969*'参数与说明'!$B$6/45.3592)</f>
        <v/>
      </c>
      <c r="I969" s="15">
        <f>IFERROR(IF(D969="","",D969/INDEX($D:$D,MATCH(EDATE($A969,-1),$A:$A,0))-1),"")</f>
        <v/>
      </c>
      <c r="J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73.59999999999999</v>
      </c>
      <c r="E970" s="18" t="n">
        <v>78.7</v>
      </c>
      <c r="F970" s="18" t="n">
        <v>90.8</v>
      </c>
      <c r="G970" s="18" t="n">
        <v>50</v>
      </c>
      <c r="H970" s="18">
        <f>IF(D970="","",D970*'参数与说明'!$B$6/45.3592)</f>
        <v/>
      </c>
      <c r="I970" s="19">
        <f>IFERROR(IF(D970="","",D970/INDEX($D:$D,MATCH(EDATE($A970,-1),$A:$A,0))-1),"")</f>
        <v/>
      </c>
      <c r="J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74.59999999999999</v>
      </c>
      <c r="E971" s="14" t="n">
        <v>78.5</v>
      </c>
      <c r="F971" s="14" t="n">
        <v>95.8</v>
      </c>
      <c r="G971" s="14" t="n">
        <v>52.4</v>
      </c>
      <c r="H971" s="14">
        <f>IF(D971="","",D971*'参数与说明'!$B$6/45.3592)</f>
        <v/>
      </c>
      <c r="I971" s="15">
        <f>IFERROR(IF(D971="","",D971/INDEX($D:$D,MATCH(EDATE($A971,-1),$A:$A,0))-1),"")</f>
        <v/>
      </c>
      <c r="J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74.3</v>
      </c>
      <c r="E972" s="18" t="n">
        <v>78</v>
      </c>
      <c r="F972" s="18" t="n">
        <v>98.8</v>
      </c>
      <c r="G972" s="18" t="n">
        <v>52.9</v>
      </c>
      <c r="H972" s="18">
        <f>IF(D972="","",D972*'参数与说明'!$B$6/45.3592)</f>
        <v/>
      </c>
      <c r="I972" s="19">
        <f>IFERROR(IF(D972="","",D972/INDEX($D:$D,MATCH(EDATE($A972,-1),$A:$A,0))-1),"")</f>
        <v/>
      </c>
      <c r="J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74.7</v>
      </c>
      <c r="E973" s="14" t="n">
        <v>79</v>
      </c>
      <c r="F973" s="14" t="n">
        <v>100</v>
      </c>
      <c r="G973" s="14" t="n">
        <v>52.7</v>
      </c>
      <c r="H973" s="14">
        <f>IF(D973="","",D973*'参数与说明'!$B$6/45.3592)</f>
        <v/>
      </c>
      <c r="I973" s="15">
        <f>IFERROR(IF(D973="","",D973/INDEX($D:$D,MATCH(EDATE($A973,-1),$A:$A,0))-1),"")</f>
        <v/>
      </c>
      <c r="J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74.59999999999999</v>
      </c>
      <c r="E974" s="18" t="n">
        <v>78.3</v>
      </c>
      <c r="F974" s="18" t="n">
        <v>101</v>
      </c>
      <c r="G974" s="18" t="n">
        <v>53.5</v>
      </c>
      <c r="H974" s="18">
        <f>IF(D974="","",D974*'参数与说明'!$B$6/45.3592)</f>
        <v/>
      </c>
      <c r="I974" s="19">
        <f>IFERROR(IF(D974="","",D974/INDEX($D:$D,MATCH(EDATE($A974,-1),$A:$A,0))-1),"")</f>
        <v/>
      </c>
      <c r="J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74.2</v>
      </c>
      <c r="E975" s="14" t="n">
        <v>77.40000000000001</v>
      </c>
      <c r="F975" s="14" t="n">
        <v>98.09999999999999</v>
      </c>
      <c r="G975" s="14" t="n">
        <v>53.8</v>
      </c>
      <c r="H975" s="14">
        <f>IF(D975="","",D975*'参数与说明'!$B$6/45.3592)</f>
        <v/>
      </c>
      <c r="I975" s="15">
        <f>IFERROR(IF(D975="","",D975/INDEX($D:$D,MATCH(EDATE($A975,-1),$A:$A,0))-1),"")</f>
        <v/>
      </c>
      <c r="J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73.59999999999999</v>
      </c>
      <c r="E976" s="18" t="n">
        <v>76.59999999999999</v>
      </c>
      <c r="F976" s="18" t="n">
        <v>95.90000000000001</v>
      </c>
      <c r="G976" s="18" t="n">
        <v>52.8</v>
      </c>
      <c r="H976" s="18">
        <f>IF(D976="","",D976*'参数与说明'!$B$6/45.3592)</f>
        <v/>
      </c>
      <c r="I976" s="19">
        <f>IFERROR(IF(D976="","",D976/INDEX($D:$D,MATCH(EDATE($A976,-1),$A:$A,0))-1),"")</f>
        <v/>
      </c>
      <c r="J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76</v>
      </c>
      <c r="E977" s="14" t="n">
        <v>79.09999999999999</v>
      </c>
      <c r="F977" s="14" t="n">
        <v>98.90000000000001</v>
      </c>
      <c r="G977" s="14" t="n">
        <v>53.5</v>
      </c>
      <c r="H977" s="14">
        <f>IF(D977="","",D977*'参数与说明'!$B$6/45.3592)</f>
        <v/>
      </c>
      <c r="I977" s="15">
        <f>IFERROR(IF(D977="","",D977/INDEX($D:$D,MATCH(EDATE($A977,-1),$A:$A,0))-1),"")</f>
        <v/>
      </c>
      <c r="J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75</v>
      </c>
      <c r="E978" s="18" t="n">
        <v>78.8</v>
      </c>
      <c r="F978" s="18" t="n">
        <v>95.40000000000001</v>
      </c>
      <c r="G978" s="18" t="n">
        <v>52.2</v>
      </c>
      <c r="H978" s="18">
        <f>IF(D978="","",D978*'参数与说明'!$B$6/45.3592)</f>
        <v/>
      </c>
      <c r="I978" s="19">
        <f>IFERROR(IF(D978="","",D978/INDEX($D:$D,MATCH(EDATE($A978,-1),$A:$A,0))-1),"")</f>
        <v/>
      </c>
      <c r="J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75.5</v>
      </c>
      <c r="E979" s="14" t="n">
        <v>80.2</v>
      </c>
      <c r="F979" s="14" t="n">
        <v>92.8</v>
      </c>
      <c r="G979" s="14" t="n">
        <v>49.8</v>
      </c>
      <c r="H979" s="14">
        <f>IF(D979="","",D979*'参数与说明'!$B$6/45.3592)</f>
        <v/>
      </c>
      <c r="I979" s="15">
        <f>IFERROR(IF(D979="","",D979/INDEX($D:$D,MATCH(EDATE($A979,-1),$A:$A,0))-1),"")</f>
        <v/>
      </c>
      <c r="J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75.3</v>
      </c>
      <c r="E980" s="18" t="n">
        <v>81.2</v>
      </c>
      <c r="F980" s="18" t="n">
        <v>93.8</v>
      </c>
      <c r="G980" s="18" t="n">
        <v>47.9</v>
      </c>
      <c r="H980" s="18">
        <f>IF(D980="","",D980*'参数与说明'!$B$6/45.3592)</f>
        <v/>
      </c>
      <c r="I980" s="19">
        <f>IFERROR(IF(D980="","",D980/INDEX($D:$D,MATCH(EDATE($A980,-1),$A:$A,0))-1),"")</f>
        <v/>
      </c>
      <c r="J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76.09999999999999</v>
      </c>
      <c r="E981" s="14" t="n">
        <v>81.3</v>
      </c>
      <c r="F981" s="14" t="n">
        <v>96.8</v>
      </c>
      <c r="G981" s="14" t="n">
        <v>49.7</v>
      </c>
      <c r="H981" s="14">
        <f>IF(D981="","",D981*'参数与说明'!$B$6/45.3592)</f>
        <v/>
      </c>
      <c r="I981" s="15">
        <f>IFERROR(IF(D981="","",D981/INDEX($D:$D,MATCH(EDATE($A981,-1),$A:$A,0))-1),"")</f>
        <v/>
      </c>
      <c r="J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76.59999999999999</v>
      </c>
      <c r="E982" s="18" t="n">
        <v>81.8</v>
      </c>
      <c r="F982" s="18" t="n">
        <v>98</v>
      </c>
      <c r="G982" s="18" t="n">
        <v>49</v>
      </c>
      <c r="H982" s="18">
        <f>IF(D982="","",D982*'参数与说明'!$B$6/45.3592)</f>
        <v/>
      </c>
      <c r="I982" s="19">
        <f>IFERROR(IF(D982="","",D982/INDEX($D:$D,MATCH(EDATE($A982,-1),$A:$A,0))-1),"")</f>
        <v/>
      </c>
      <c r="J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77</v>
      </c>
      <c r="E983" s="14" t="n">
        <v>81.09999999999999</v>
      </c>
      <c r="F983" s="14" t="n">
        <v>104</v>
      </c>
      <c r="G983" s="14" t="n">
        <v>51.3</v>
      </c>
      <c r="H983" s="14">
        <f>IF(D983="","",D983*'参数与说明'!$B$6/45.3592)</f>
        <v/>
      </c>
      <c r="I983" s="15">
        <f>IFERROR(IF(D983="","",D983/INDEX($D:$D,MATCH(EDATE($A983,-1),$A:$A,0))-1),"")</f>
        <v/>
      </c>
      <c r="J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78.5</v>
      </c>
      <c r="E984" s="18" t="n">
        <v>82.5</v>
      </c>
      <c r="F984" s="18" t="n">
        <v>106</v>
      </c>
      <c r="G984" s="18" t="n">
        <v>52.5</v>
      </c>
      <c r="H984" s="18">
        <f>IF(D984="","",D984*'参数与说明'!$B$6/45.3592)</f>
        <v/>
      </c>
      <c r="I984" s="19">
        <f>IFERROR(IF(D984="","",D984/INDEX($D:$D,MATCH(EDATE($A984,-1),$A:$A,0))-1),"")</f>
        <v/>
      </c>
      <c r="J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78</v>
      </c>
      <c r="E985" s="14" t="n">
        <v>82</v>
      </c>
      <c r="F985" s="14" t="n">
        <v>109</v>
      </c>
      <c r="G985" s="14" t="n">
        <v>52.8</v>
      </c>
      <c r="H985" s="14">
        <f>IF(D985="","",D985*'参数与说明'!$B$6/45.3592)</f>
        <v/>
      </c>
      <c r="I985" s="15">
        <f>IFERROR(IF(D985="","",D985/INDEX($D:$D,MATCH(EDATE($A985,-1),$A:$A,0))-1),"")</f>
        <v/>
      </c>
      <c r="J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75.90000000000001</v>
      </c>
      <c r="E986" s="18" t="n">
        <v>79.5</v>
      </c>
      <c r="F986" s="18" t="n">
        <v>107</v>
      </c>
      <c r="G986" s="18" t="n">
        <v>53.5</v>
      </c>
      <c r="H986" s="18">
        <f>IF(D986="","",D986*'参数与说明'!$B$6/45.3592)</f>
        <v/>
      </c>
      <c r="I986" s="19">
        <f>IFERROR(IF(D986="","",D986/INDEX($D:$D,MATCH(EDATE($A986,-1),$A:$A,0))-1),"")</f>
        <v/>
      </c>
      <c r="J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73.59999999999999</v>
      </c>
      <c r="E987" s="14" t="n">
        <v>76.8</v>
      </c>
      <c r="F987" s="14" t="n">
        <v>106</v>
      </c>
      <c r="G987" s="14" t="n">
        <v>52.8</v>
      </c>
      <c r="H987" s="14">
        <f>IF(D987="","",D987*'参数与说明'!$B$6/45.3592)</f>
        <v/>
      </c>
      <c r="I987" s="15">
        <f>IFERROR(IF(D987="","",D987/INDEX($D:$D,MATCH(EDATE($A987,-1),$A:$A,0))-1),"")</f>
        <v/>
      </c>
      <c r="J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71.59999999999999</v>
      </c>
      <c r="E988" s="18" t="n">
        <v>74.7</v>
      </c>
      <c r="F988" s="18" t="n">
        <v>103</v>
      </c>
      <c r="G988" s="18" t="n">
        <v>50.5</v>
      </c>
      <c r="H988" s="18">
        <f>IF(D988="","",D988*'参数与说明'!$B$6/45.3592)</f>
        <v/>
      </c>
      <c r="I988" s="19">
        <f>IFERROR(IF(D988="","",D988/INDEX($D:$D,MATCH(EDATE($A988,-1),$A:$A,0))-1),"")</f>
        <v/>
      </c>
      <c r="J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68.8</v>
      </c>
      <c r="E989" s="14" t="n">
        <v>71.3</v>
      </c>
      <c r="F989" s="14" t="n">
        <v>98.3</v>
      </c>
      <c r="G989" s="14" t="n">
        <v>49.6</v>
      </c>
      <c r="H989" s="14">
        <f>IF(D989="","",D989*'参数与说明'!$B$6/45.3592)</f>
        <v/>
      </c>
      <c r="I989" s="15">
        <f>IFERROR(IF(D989="","",D989/INDEX($D:$D,MATCH(EDATE($A989,-1),$A:$A,0))-1),"")</f>
        <v/>
      </c>
      <c r="J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68.7</v>
      </c>
      <c r="E990" s="18" t="n">
        <v>71.59999999999999</v>
      </c>
      <c r="F990" s="18" t="n">
        <v>96.2</v>
      </c>
      <c r="G990" s="18" t="n">
        <v>48.9</v>
      </c>
      <c r="H990" s="18">
        <f>IF(D990="","",D990*'参数与说明'!$B$6/45.3592)</f>
        <v/>
      </c>
      <c r="I990" s="19">
        <f>IFERROR(IF(D990="","",D990/INDEX($D:$D,MATCH(EDATE($A990,-1),$A:$A,0))-1),"")</f>
        <v/>
      </c>
      <c r="J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70.40000000000001</v>
      </c>
      <c r="E991" s="14" t="n">
        <v>74.3</v>
      </c>
      <c r="F991" s="14" t="n">
        <v>93.90000000000001</v>
      </c>
      <c r="G991" s="14" t="n">
        <v>47.3</v>
      </c>
      <c r="H991" s="14">
        <f>IF(D991="","",D991*'参数与说明'!$B$6/45.3592)</f>
        <v/>
      </c>
      <c r="I991" s="15">
        <f>IFERROR(IF(D991="","",D991/INDEX($D:$D,MATCH(EDATE($A991,-1),$A:$A,0))-1),"")</f>
        <v/>
      </c>
      <c r="J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67.90000000000001</v>
      </c>
      <c r="E992" s="18" t="n">
        <v>72.40000000000001</v>
      </c>
      <c r="F992" s="18" t="n">
        <v>90.2</v>
      </c>
      <c r="G992" s="18" t="n">
        <v>45</v>
      </c>
      <c r="H992" s="18">
        <f>IF(D992="","",D992*'参数与说明'!$B$6/45.3592)</f>
        <v/>
      </c>
      <c r="I992" s="19">
        <f>IFERROR(IF(D992="","",D992/INDEX($D:$D,MATCH(EDATE($A992,-1),$A:$A,0))-1),"")</f>
        <v/>
      </c>
      <c r="J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67.40000000000001</v>
      </c>
      <c r="E993" s="14" t="n">
        <v>71.5</v>
      </c>
      <c r="F993" s="14" t="n">
        <v>87.59999999999999</v>
      </c>
      <c r="G993" s="14" t="n">
        <v>45.8</v>
      </c>
      <c r="H993" s="14">
        <f>IF(D993="","",D993*'参数与说明'!$B$6/45.3592)</f>
        <v/>
      </c>
      <c r="I993" s="15">
        <f>IFERROR(IF(D993="","",D993/INDEX($D:$D,MATCH(EDATE($A993,-1),$A:$A,0))-1),"")</f>
        <v/>
      </c>
      <c r="J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68.90000000000001</v>
      </c>
      <c r="E994" s="18" t="n">
        <v>72.59999999999999</v>
      </c>
      <c r="F994" s="18" t="n">
        <v>88.3</v>
      </c>
      <c r="G994" s="18" t="n">
        <v>46.6</v>
      </c>
      <c r="H994" s="18">
        <f>IF(D994="","",D994*'参数与说明'!$B$6/45.3592)</f>
        <v/>
      </c>
      <c r="I994" s="19">
        <f>IFERROR(IF(D994="","",D994/INDEX($D:$D,MATCH(EDATE($A994,-1),$A:$A,0))-1),"")</f>
        <v/>
      </c>
      <c r="J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72.5</v>
      </c>
      <c r="E995" s="14" t="n">
        <v>76.2</v>
      </c>
      <c r="F995" s="14" t="n">
        <v>92.8</v>
      </c>
      <c r="G995" s="14" t="n">
        <v>49.3</v>
      </c>
      <c r="H995" s="14">
        <f>IF(D995="","",D995*'参数与说明'!$B$6/45.3592)</f>
        <v/>
      </c>
      <c r="I995" s="15">
        <f>IFERROR(IF(D995="","",D995/INDEX($D:$D,MATCH(EDATE($A995,-1),$A:$A,0))-1),"")</f>
        <v/>
      </c>
      <c r="J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72.8</v>
      </c>
      <c r="E996" s="18" t="n">
        <v>76.40000000000001</v>
      </c>
      <c r="F996" s="18" t="n">
        <v>94.09999999999999</v>
      </c>
      <c r="G996" s="18" t="n">
        <v>49.4</v>
      </c>
      <c r="H996" s="18">
        <f>IF(D996="","",D996*'参数与说明'!$B$6/45.3592)</f>
        <v/>
      </c>
      <c r="I996" s="19">
        <f>IFERROR(IF(D996="","",D996/INDEX($D:$D,MATCH(EDATE($A996,-1),$A:$A,0))-1),"")</f>
        <v/>
      </c>
      <c r="J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72.59999999999999</v>
      </c>
      <c r="E997" s="14" t="n">
        <v>76.5</v>
      </c>
      <c r="F997" s="14" t="n">
        <v>91.90000000000001</v>
      </c>
      <c r="G997" s="14" t="n">
        <v>48.8</v>
      </c>
      <c r="H997" s="14">
        <f>IF(D997="","",D997*'参数与说明'!$B$6/45.3592)</f>
        <v/>
      </c>
      <c r="I997" s="15">
        <f>IFERROR(IF(D997="","",D997/INDEX($D:$D,MATCH(EDATE($A997,-1),$A:$A,0))-1),"")</f>
        <v/>
      </c>
      <c r="J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71.90000000000001</v>
      </c>
      <c r="E998" s="18" t="n">
        <v>75.3</v>
      </c>
      <c r="F998" s="18" t="n">
        <v>89.59999999999999</v>
      </c>
      <c r="G998" s="18" t="n">
        <v>49</v>
      </c>
      <c r="H998" s="18">
        <f>IF(D998="","",D998*'参数与说明'!$B$6/45.3592)</f>
        <v/>
      </c>
      <c r="I998" s="19">
        <f>IFERROR(IF(D998="","",D998/INDEX($D:$D,MATCH(EDATE($A998,-1),$A:$A,0))-1),"")</f>
        <v/>
      </c>
      <c r="J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70.2</v>
      </c>
      <c r="E999" s="14" t="n">
        <v>73.59999999999999</v>
      </c>
      <c r="F999" s="14" t="n">
        <v>88.5</v>
      </c>
      <c r="G999" s="14" t="n">
        <v>48.2</v>
      </c>
      <c r="H999" s="14">
        <f>IF(D999="","",D999*'参数与说明'!$B$6/45.3592)</f>
        <v/>
      </c>
      <c r="I999" s="15">
        <f>IFERROR(IF(D999="","",D999/INDEX($D:$D,MATCH(EDATE($A999,-1),$A:$A,0))-1),"")</f>
        <v/>
      </c>
      <c r="J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70.59999999999999</v>
      </c>
      <c r="E1000" s="18" t="n">
        <v>73.90000000000001</v>
      </c>
      <c r="F1000" s="18" t="n">
        <v>90.09999999999999</v>
      </c>
      <c r="G1000" s="18" t="n">
        <v>48.4</v>
      </c>
      <c r="H1000" s="18">
        <f>IF(D1000="","",D1000*'参数与说明'!$B$6/45.3592)</f>
        <v/>
      </c>
      <c r="I1000" s="19">
        <f>IFERROR(IF(D1000="","",D1000/INDEX($D:$D,MATCH(EDATE($A1000,-1),$A:$A,0))-1),"")</f>
        <v/>
      </c>
      <c r="J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71.8</v>
      </c>
      <c r="E1001" s="14" t="n">
        <v>74.7</v>
      </c>
      <c r="F1001" s="14" t="n">
        <v>90.40000000000001</v>
      </c>
      <c r="G1001" s="14" t="n">
        <v>48.3</v>
      </c>
      <c r="H1001" s="14">
        <f>IF(D1001="","",D1001*'参数与说明'!$B$6/45.3592)</f>
        <v/>
      </c>
      <c r="I1001" s="15">
        <f>IFERROR(IF(D1001="","",D1001/INDEX($D:$D,MATCH(EDATE($A1001,-1),$A:$A,0))-1),"")</f>
        <v/>
      </c>
      <c r="J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71.8</v>
      </c>
      <c r="E1002" s="18" t="n">
        <v>75.5</v>
      </c>
      <c r="F1002" s="18" t="n">
        <v>87.40000000000001</v>
      </c>
      <c r="G1002" s="18" t="n">
        <v>47</v>
      </c>
      <c r="H1002" s="18">
        <f>IF(D1002="","",D1002*'参数与说明'!$B$6/45.3592)</f>
        <v/>
      </c>
      <c r="I1002" s="19">
        <f>IFERROR(IF(D1002="","",D1002/INDEX($D:$D,MATCH(EDATE($A1002,-1),$A:$A,0))-1),"")</f>
        <v/>
      </c>
      <c r="J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71.8</v>
      </c>
      <c r="E1003" s="14" t="n">
        <v>76.40000000000001</v>
      </c>
      <c r="F1003" s="14" t="n">
        <v>86</v>
      </c>
      <c r="G1003" s="14" t="n">
        <v>45.5</v>
      </c>
      <c r="H1003" s="14">
        <f>IF(D1003="","",D1003*'参数与说明'!$B$6/45.3592)</f>
        <v/>
      </c>
      <c r="I1003" s="15">
        <f>IFERROR(IF(D1003="","",D1003/INDEX($D:$D,MATCH(EDATE($A1003,-1),$A:$A,0))-1),"")</f>
        <v/>
      </c>
      <c r="J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70.2</v>
      </c>
      <c r="E1004" s="18" t="n">
        <v>75.59999999999999</v>
      </c>
      <c r="F1004" s="18" t="n">
        <v>86.5</v>
      </c>
      <c r="G1004" s="18" t="n">
        <v>44.6</v>
      </c>
      <c r="H1004" s="18">
        <f>IF(D1004="","",D1004*'参数与说明'!$B$6/45.3592)</f>
        <v/>
      </c>
      <c r="I1004" s="19">
        <f>IFERROR(IF(D1004="","",D1004/INDEX($D:$D,MATCH(EDATE($A1004,-1),$A:$A,0))-1),"")</f>
        <v/>
      </c>
      <c r="J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70.8</v>
      </c>
      <c r="E1005" s="14" t="n">
        <v>76.3</v>
      </c>
      <c r="F1005" s="14" t="n">
        <v>87</v>
      </c>
      <c r="G1005" s="14" t="n">
        <v>45.8</v>
      </c>
      <c r="H1005" s="14">
        <f>IF(D1005="","",D1005*'参数与说明'!$B$6/45.3592)</f>
        <v/>
      </c>
      <c r="I1005" s="15">
        <f>IFERROR(IF(D1005="","",D1005/INDEX($D:$D,MATCH(EDATE($A1005,-1),$A:$A,0))-1),"")</f>
        <v/>
      </c>
      <c r="J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75.09999999999999</v>
      </c>
      <c r="E1006" s="18" t="n">
        <v>78.7</v>
      </c>
      <c r="F1006" s="18" t="n">
        <v>94.7</v>
      </c>
      <c r="G1006" s="18" t="n">
        <v>47.8</v>
      </c>
      <c r="H1006" s="18">
        <f>IF(D1006="","",D1006*'参数与说明'!$B$6/45.3592)</f>
        <v/>
      </c>
      <c r="I1006" s="19">
        <f>IFERROR(IF(D1006="","",D1006/INDEX($D:$D,MATCH(EDATE($A1006,-1),$A:$A,0))-1),"")</f>
        <v/>
      </c>
      <c r="J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75.8</v>
      </c>
      <c r="E1007" s="14" t="n">
        <v>79.5</v>
      </c>
      <c r="F1007" s="14" t="n">
        <v>96</v>
      </c>
      <c r="G1007" s="14" t="n">
        <v>49.2</v>
      </c>
      <c r="H1007" s="14">
        <f>IF(D1007="","",D1007*'参数与说明'!$B$6/45.3592)</f>
        <v/>
      </c>
      <c r="I1007" s="15">
        <f>IFERROR(IF(D1007="","",D1007/INDEX($D:$D,MATCH(EDATE($A1007,-1),$A:$A,0))-1),"")</f>
        <v/>
      </c>
      <c r="J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77.2</v>
      </c>
      <c r="E1008" s="18" t="n">
        <v>81.40000000000001</v>
      </c>
      <c r="F1008" s="18" t="n">
        <v>98.59999999999999</v>
      </c>
      <c r="G1008" s="18" t="n">
        <v>48.3</v>
      </c>
      <c r="H1008" s="18">
        <f>IF(D1008="","",D1008*'参数与说明'!$B$6/45.3592)</f>
        <v/>
      </c>
      <c r="I1008" s="19">
        <f>IFERROR(IF(D1008="","",D1008/INDEX($D:$D,MATCH(EDATE($A1008,-1),$A:$A,0))-1),"")</f>
        <v/>
      </c>
      <c r="J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77.3</v>
      </c>
      <c r="E1009" s="14" t="n">
        <v>81.7</v>
      </c>
      <c r="F1009" s="14" t="n">
        <v>99.59999999999999</v>
      </c>
      <c r="G1009" s="14" t="n">
        <v>48.5</v>
      </c>
      <c r="H1009" s="14">
        <f>IF(D1009="","",D1009*'参数与说明'!$B$6/45.3592)</f>
        <v/>
      </c>
      <c r="I1009" s="15">
        <f>IFERROR(IF(D1009="","",D1009/INDEX($D:$D,MATCH(EDATE($A1009,-1),$A:$A,0))-1),"")</f>
        <v/>
      </c>
      <c r="J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77.09999999999999</v>
      </c>
      <c r="E1010" s="18" t="n">
        <v>80.8</v>
      </c>
      <c r="F1010" s="18" t="n">
        <v>99.2</v>
      </c>
      <c r="G1010" s="18" t="n">
        <v>49.8</v>
      </c>
      <c r="H1010" s="18">
        <f>IF(D1010="","",D1010*'参数与说明'!$B$6/45.3592)</f>
        <v/>
      </c>
      <c r="I1010" s="19">
        <f>IFERROR(IF(D1010="","",D1010/INDEX($D:$D,MATCH(EDATE($A1010,-1),$A:$A,0))-1),"")</f>
        <v/>
      </c>
      <c r="J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74.5</v>
      </c>
      <c r="E1011" s="14" t="n">
        <v>77.59999999999999</v>
      </c>
      <c r="F1011" s="14" t="n">
        <v>99.09999999999999</v>
      </c>
      <c r="G1011" s="14" t="n">
        <v>50.2</v>
      </c>
      <c r="H1011" s="14">
        <f>IF(D1011="","",D1011*'参数与说明'!$B$6/45.3592)</f>
        <v/>
      </c>
      <c r="I1011" s="15">
        <f>IFERROR(IF(D1011="","",D1011/INDEX($D:$D,MATCH(EDATE($A1011,-1),$A:$A,0))-1),"")</f>
        <v/>
      </c>
      <c r="J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72.5</v>
      </c>
      <c r="E1012" s="18" t="n">
        <v>75.09999999999999</v>
      </c>
      <c r="F1012" s="18" t="n">
        <v>96.90000000000001</v>
      </c>
      <c r="G1012" s="18" t="n">
        <v>49.9</v>
      </c>
      <c r="H1012" s="18">
        <f>IF(D1012="","",D1012*'参数与说明'!$B$6/45.3592)</f>
        <v/>
      </c>
      <c r="I1012" s="19">
        <f>IFERROR(IF(D1012="","",D1012/INDEX($D:$D,MATCH(EDATE($A1012,-1),$A:$A,0))-1),"")</f>
        <v/>
      </c>
      <c r="J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72.7</v>
      </c>
      <c r="E1013" s="14" t="n">
        <v>75.2</v>
      </c>
      <c r="F1013" s="14" t="n">
        <v>95.09999999999999</v>
      </c>
      <c r="G1013" s="14" t="n">
        <v>48.9</v>
      </c>
      <c r="H1013" s="14">
        <f>IF(D1013="","",D1013*'参数与说明'!$B$6/45.3592)</f>
        <v/>
      </c>
      <c r="I1013" s="15">
        <f>IFERROR(IF(D1013="","",D1013/INDEX($D:$D,MATCH(EDATE($A1013,-1),$A:$A,0))-1),"")</f>
        <v/>
      </c>
      <c r="J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71.40000000000001</v>
      </c>
      <c r="E1014" s="18" t="n">
        <v>74.5</v>
      </c>
      <c r="F1014" s="18" t="n">
        <v>93.5</v>
      </c>
      <c r="G1014" s="18" t="n">
        <v>47.1</v>
      </c>
      <c r="H1014" s="18">
        <f>IF(D1014="","",D1014*'参数与说明'!$B$6/45.3592)</f>
        <v/>
      </c>
      <c r="I1014" s="19">
        <f>IFERROR(IF(D1014="","",D1014/INDEX($D:$D,MATCH(EDATE($A1014,-1),$A:$A,0))-1),"")</f>
        <v/>
      </c>
      <c r="J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69.09999999999999</v>
      </c>
      <c r="E1015" s="14" t="n">
        <v>72.40000000000001</v>
      </c>
      <c r="F1015" s="14" t="n">
        <v>93.90000000000001</v>
      </c>
      <c r="G1015" s="14" t="n">
        <v>45.1</v>
      </c>
      <c r="H1015" s="14">
        <f>IF(D1015="","",D1015*'参数与说明'!$B$6/45.3592)</f>
        <v/>
      </c>
      <c r="I1015" s="15">
        <f>IFERROR(IF(D1015="","",D1015/INDEX($D:$D,MATCH(EDATE($A1015,-1),$A:$A,0))-1),"")</f>
        <v/>
      </c>
      <c r="J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69.3</v>
      </c>
      <c r="E1016" s="18" t="n">
        <v>72.90000000000001</v>
      </c>
      <c r="F1016" s="18" t="n">
        <v>91.59999999999999</v>
      </c>
      <c r="G1016" s="18" t="n">
        <v>44.1</v>
      </c>
      <c r="H1016" s="18">
        <f>IF(D1016="","",D1016*'参数与说明'!$B$6/45.3592)</f>
        <v/>
      </c>
      <c r="I1016" s="19">
        <f>IFERROR(IF(D1016="","",D1016/INDEX($D:$D,MATCH(EDATE($A1016,-1),$A:$A,0))-1),"")</f>
        <v/>
      </c>
      <c r="J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68.5</v>
      </c>
      <c r="E1017" s="14" t="n">
        <v>72</v>
      </c>
      <c r="F1017" s="14" t="n">
        <v>92.8</v>
      </c>
      <c r="G1017" s="14" t="n">
        <v>44</v>
      </c>
      <c r="H1017" s="14">
        <f>IF(D1017="","",D1017*'参数与说明'!$B$6/45.3592)</f>
        <v/>
      </c>
      <c r="I1017" s="15">
        <f>IFERROR(IF(D1017="","",D1017/INDEX($D:$D,MATCH(EDATE($A1017,-1),$A:$A,0))-1),"")</f>
        <v/>
      </c>
      <c r="J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69.90000000000001</v>
      </c>
      <c r="E1018" s="18" t="n">
        <v>73</v>
      </c>
      <c r="F1018" s="18" t="n">
        <v>93.90000000000001</v>
      </c>
      <c r="G1018" s="18" t="n">
        <v>45.5</v>
      </c>
      <c r="H1018" s="18">
        <f>IF(D1018="","",D1018*'参数与说明'!$B$6/45.3592)</f>
        <v/>
      </c>
      <c r="I1018" s="19">
        <f>IFERROR(IF(D1018="","",D1018/INDEX($D:$D,MATCH(EDATE($A1018,-1),$A:$A,0))-1),"")</f>
        <v/>
      </c>
      <c r="J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70.09999999999999</v>
      </c>
      <c r="E1019" s="14" t="n">
        <v>73.09999999999999</v>
      </c>
      <c r="F1019" s="14" t="n">
        <v>94.90000000000001</v>
      </c>
      <c r="G1019" s="14" t="n">
        <v>47</v>
      </c>
      <c r="H1019" s="14">
        <f>IF(D1019="","",D1019*'参数与说明'!$B$6/45.3592)</f>
        <v/>
      </c>
      <c r="I1019" s="15">
        <f>IFERROR(IF(D1019="","",D1019/INDEX($D:$D,MATCH(EDATE($A1019,-1),$A:$A,0))-1),"")</f>
        <v/>
      </c>
      <c r="J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72.3</v>
      </c>
      <c r="E1020" s="18" t="n">
        <v>75.40000000000001</v>
      </c>
      <c r="F1020" s="18" t="n">
        <v>97.59999999999999</v>
      </c>
      <c r="G1020" s="18" t="n">
        <v>47.4</v>
      </c>
      <c r="H1020" s="18">
        <f>IF(D1020="","",D1020*'参数与说明'!$B$6/45.3592)</f>
        <v/>
      </c>
      <c r="I1020" s="19">
        <f>IFERROR(IF(D1020="","",D1020/INDEX($D:$D,MATCH(EDATE($A1020,-1),$A:$A,0))-1),"")</f>
        <v/>
      </c>
      <c r="J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72</v>
      </c>
      <c r="E1021" s="14" t="n">
        <v>75.40000000000001</v>
      </c>
      <c r="F1021" s="14" t="n">
        <v>95.8</v>
      </c>
      <c r="G1021" s="14" t="n">
        <v>47.2</v>
      </c>
      <c r="H1021" s="14">
        <f>IF(D1021="","",D1021*'参数与说明'!$B$6/45.3592)</f>
        <v/>
      </c>
      <c r="I1021" s="15">
        <f>IFERROR(IF(D1021="","",D1021/INDEX($D:$D,MATCH(EDATE($A1021,-1),$A:$A,0))-1),"")</f>
        <v/>
      </c>
      <c r="J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67.2</v>
      </c>
      <c r="E1022" s="18" t="n">
        <v>69.7</v>
      </c>
      <c r="F1022" s="18" t="n">
        <v>89.40000000000001</v>
      </c>
      <c r="G1022" s="18" t="n">
        <v>45.9</v>
      </c>
      <c r="H1022" s="18">
        <f>IF(D1022="","",D1022*'参数与说明'!$B$6/45.3592)</f>
        <v/>
      </c>
      <c r="I1022" s="19">
        <f>IFERROR(IF(D1022="","",D1022/INDEX($D:$D,MATCH(EDATE($A1022,-1),$A:$A,0))-1),"")</f>
        <v/>
      </c>
      <c r="J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62.7</v>
      </c>
      <c r="E1023" s="14" t="n">
        <v>64.7</v>
      </c>
      <c r="F1023" s="14" t="n">
        <v>84.8</v>
      </c>
      <c r="G1023" s="14" t="n">
        <v>43.6</v>
      </c>
      <c r="H1023" s="14">
        <f>IF(D1023="","",D1023*'参数与说明'!$B$6/45.3592)</f>
        <v/>
      </c>
      <c r="I1023" s="15">
        <f>IFERROR(IF(D1023="","",D1023/INDEX($D:$D,MATCH(EDATE($A1023,-1),$A:$A,0))-1),"")</f>
        <v/>
      </c>
      <c r="J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62.9</v>
      </c>
      <c r="E1024" s="18" t="n">
        <v>65</v>
      </c>
      <c r="F1024" s="18" t="n">
        <v>83.8</v>
      </c>
      <c r="G1024" s="18" t="n">
        <v>43.8</v>
      </c>
      <c r="H1024" s="18">
        <f>IF(D1024="","",D1024*'参数与说明'!$B$6/45.3592)</f>
        <v/>
      </c>
      <c r="I1024" s="19">
        <f>IFERROR(IF(D1024="","",D1024/INDEX($D:$D,MATCH(EDATE($A1024,-1),$A:$A,0))-1),"")</f>
        <v/>
      </c>
      <c r="J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65.90000000000001</v>
      </c>
      <c r="E1025" s="14" t="n">
        <v>68.3</v>
      </c>
      <c r="F1025" s="14" t="n">
        <v>84.40000000000001</v>
      </c>
      <c r="G1025" s="14" t="n">
        <v>43.1</v>
      </c>
      <c r="H1025" s="14">
        <f>IF(D1025="","",D1025*'参数与说明'!$B$6/45.3592)</f>
        <v/>
      </c>
      <c r="I1025" s="15">
        <f>IFERROR(IF(D1025="","",D1025/INDEX($D:$D,MATCH(EDATE($A1025,-1),$A:$A,0))-1),"")</f>
        <v/>
      </c>
      <c r="J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63.5</v>
      </c>
      <c r="E1026" s="18" t="n">
        <v>66.09999999999999</v>
      </c>
      <c r="F1026" s="18" t="n">
        <v>80</v>
      </c>
      <c r="G1026" s="18" t="n">
        <v>41.5</v>
      </c>
      <c r="H1026" s="18">
        <f>IF(D1026="","",D1026*'参数与说明'!$B$6/45.3592)</f>
        <v/>
      </c>
      <c r="I1026" s="19">
        <f>IFERROR(IF(D1026="","",D1026/INDEX($D:$D,MATCH(EDATE($A1026,-1),$A:$A,0))-1),"")</f>
        <v/>
      </c>
      <c r="J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62.9</v>
      </c>
      <c r="E1027" s="14" t="n">
        <v>66.09999999999999</v>
      </c>
      <c r="F1027" s="14" t="n">
        <v>78.2</v>
      </c>
      <c r="G1027" s="14" t="n">
        <v>38.4</v>
      </c>
      <c r="H1027" s="14">
        <f>IF(D1027="","",D1027*'参数与说明'!$B$6/45.3592)</f>
        <v/>
      </c>
      <c r="I1027" s="15">
        <f>IFERROR(IF(D1027="","",D1027/INDEX($D:$D,MATCH(EDATE($A1027,-1),$A:$A,0))-1),"")</f>
        <v/>
      </c>
      <c r="J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64.40000000000001</v>
      </c>
      <c r="E1028" s="18" t="n">
        <v>68.40000000000001</v>
      </c>
      <c r="F1028" s="18" t="n">
        <v>81</v>
      </c>
      <c r="G1028" s="18" t="n">
        <v>37</v>
      </c>
      <c r="H1028" s="18">
        <f>IF(D1028="","",D1028*'参数与说明'!$B$6/45.3592)</f>
        <v/>
      </c>
      <c r="I1028" s="19">
        <f>IFERROR(IF(D1028="","",D1028/INDEX($D:$D,MATCH(EDATE($A1028,-1),$A:$A,0))-1),"")</f>
        <v/>
      </c>
      <c r="J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64.40000000000001</v>
      </c>
      <c r="E1029" s="14" t="n">
        <v>68</v>
      </c>
      <c r="F1029" s="14" t="n">
        <v>81.90000000000001</v>
      </c>
      <c r="G1029" s="14" t="n">
        <v>37.4</v>
      </c>
      <c r="H1029" s="14">
        <f>IF(D1029="","",D1029*'参数与说明'!$B$6/45.3592)</f>
        <v/>
      </c>
      <c r="I1029" s="15">
        <f>IFERROR(IF(D1029="","",D1029/INDEX($D:$D,MATCH(EDATE($A1029,-1),$A:$A,0))-1),"")</f>
        <v/>
      </c>
      <c r="J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67.59999999999999</v>
      </c>
      <c r="E1030" s="18" t="n">
        <v>71.40000000000001</v>
      </c>
      <c r="F1030" s="18" t="n">
        <v>85</v>
      </c>
      <c r="G1030" s="18" t="n">
        <v>38.7</v>
      </c>
      <c r="H1030" s="18">
        <f>IF(D1030="","",D1030*'参数与说明'!$B$6/45.3592)</f>
        <v/>
      </c>
      <c r="I1030" s="19">
        <f>IFERROR(IF(D1030="","",D1030/INDEX($D:$D,MATCH(EDATE($A1030,-1),$A:$A,0))-1),"")</f>
        <v/>
      </c>
      <c r="J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68.8</v>
      </c>
      <c r="E1031" s="14" t="n">
        <v>72.09999999999999</v>
      </c>
      <c r="F1031" s="14" t="n">
        <v>86.90000000000001</v>
      </c>
      <c r="G1031" s="14" t="n">
        <v>41.5</v>
      </c>
      <c r="H1031" s="14">
        <f>IF(D1031="","",D1031*'参数与说明'!$B$6/45.3592)</f>
        <v/>
      </c>
      <c r="I1031" s="15">
        <f>IFERROR(IF(D1031="","",D1031/INDEX($D:$D,MATCH(EDATE($A1031,-1),$A:$A,0))-1),"")</f>
        <v/>
      </c>
      <c r="J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66.90000000000001</v>
      </c>
      <c r="E1032" s="18" t="n">
        <v>70.3</v>
      </c>
      <c r="F1032" s="18" t="n">
        <v>84.40000000000001</v>
      </c>
      <c r="G1032" s="18" t="n">
        <v>39.9</v>
      </c>
      <c r="H1032" s="18">
        <f>IF(D1032="","",D1032*'参数与说明'!$B$6/45.3592)</f>
        <v/>
      </c>
      <c r="I1032" s="19">
        <f>IFERROR(IF(D1032="","",D1032/INDEX($D:$D,MATCH(EDATE($A1032,-1),$A:$A,0))-1),"")</f>
        <v/>
      </c>
      <c r="J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63.3</v>
      </c>
      <c r="E1033" s="14" t="n">
        <v>66.59999999999999</v>
      </c>
      <c r="F1033" s="14" t="n">
        <v>81.8</v>
      </c>
      <c r="G1033" s="14" t="n">
        <v>38</v>
      </c>
      <c r="H1033" s="14">
        <f>IF(D1033="","",D1033*'参数与说明'!$B$6/45.3592)</f>
        <v/>
      </c>
      <c r="I1033" s="15">
        <f>IFERROR(IF(D1033="","",D1033/INDEX($D:$D,MATCH(EDATE($A1033,-1),$A:$A,0))-1),"")</f>
        <v/>
      </c>
      <c r="J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60.8</v>
      </c>
      <c r="E1034" s="18" t="n">
        <v>63.6</v>
      </c>
      <c r="F1034" s="18" t="n">
        <v>77</v>
      </c>
      <c r="G1034" s="18" t="n">
        <v>36.8</v>
      </c>
      <c r="H1034" s="18">
        <f>IF(D1034="","",D1034*'参数与说明'!$B$6/45.3592)</f>
        <v/>
      </c>
      <c r="I1034" s="19">
        <f>IFERROR(IF(D1034="","",D1034/INDEX($D:$D,MATCH(EDATE($A1034,-1),$A:$A,0))-1),"")</f>
        <v/>
      </c>
      <c r="J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60.9</v>
      </c>
      <c r="E1035" s="14" t="n">
        <v>63.3</v>
      </c>
      <c r="F1035" s="14" t="n">
        <v>76.90000000000001</v>
      </c>
      <c r="G1035" s="14" t="n">
        <v>38.2</v>
      </c>
      <c r="H1035" s="14">
        <f>IF(D1035="","",D1035*'参数与说明'!$B$6/45.3592)</f>
        <v/>
      </c>
      <c r="I1035" s="15">
        <f>IFERROR(IF(D1035="","",D1035/INDEX($D:$D,MATCH(EDATE($A1035,-1),$A:$A,0))-1),"")</f>
        <v/>
      </c>
      <c r="J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59.5</v>
      </c>
      <c r="E1036" s="18" t="n">
        <v>61.9</v>
      </c>
      <c r="F1036" s="18" t="n">
        <v>72</v>
      </c>
      <c r="G1036" s="18" t="n">
        <v>35.9</v>
      </c>
      <c r="H1036" s="18">
        <f>IF(D1036="","",D1036*'参数与说明'!$B$6/45.3592)</f>
        <v/>
      </c>
      <c r="I1036" s="19">
        <f>IFERROR(IF(D1036="","",D1036/INDEX($D:$D,MATCH(EDATE($A1036,-1),$A:$A,0))-1),"")</f>
        <v/>
      </c>
      <c r="J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59.4</v>
      </c>
      <c r="E1037" s="14" t="n">
        <v>61.7</v>
      </c>
      <c r="F1037" s="14" t="n">
        <v>70.90000000000001</v>
      </c>
      <c r="G1037" s="14" t="n">
        <v>35.8</v>
      </c>
      <c r="H1037" s="14">
        <f>IF(D1037="","",D1037*'参数与说明'!$B$6/45.3592)</f>
        <v/>
      </c>
      <c r="I1037" s="15">
        <f>IFERROR(IF(D1037="","",D1037/INDEX($D:$D,MATCH(EDATE($A1037,-1),$A:$A,0))-1),"")</f>
        <v/>
      </c>
      <c r="J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59.1</v>
      </c>
      <c r="E1038" s="18" t="n">
        <v>62</v>
      </c>
      <c r="F1038" s="18" t="n">
        <v>68.5</v>
      </c>
      <c r="G1038" s="18" t="n">
        <v>33.9</v>
      </c>
      <c r="H1038" s="18">
        <f>IF(D1038="","",D1038*'参数与说明'!$B$6/45.3592)</f>
        <v/>
      </c>
      <c r="I1038" s="19">
        <f>IFERROR(IF(D1038="","",D1038/INDEX($D:$D,MATCH(EDATE($A1038,-1),$A:$A,0))-1),"")</f>
        <v/>
      </c>
      <c r="J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58.8</v>
      </c>
      <c r="E1039" s="14" t="n">
        <v>62.3</v>
      </c>
      <c r="F1039" s="14" t="n">
        <v>66.2</v>
      </c>
      <c r="G1039" s="14" t="n">
        <v>32.2</v>
      </c>
      <c r="H1039" s="14">
        <f>IF(D1039="","",D1039*'参数与说明'!$B$6/45.3592)</f>
        <v/>
      </c>
      <c r="I1039" s="15">
        <f>IFERROR(IF(D1039="","",D1039/INDEX($D:$D,MATCH(EDATE($A1039,-1),$A:$A,0))-1),"")</f>
        <v/>
      </c>
      <c r="J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60.7</v>
      </c>
      <c r="E1040" s="18" t="n">
        <v>65.2</v>
      </c>
      <c r="F1040" s="18" t="n">
        <v>64.09999999999999</v>
      </c>
      <c r="G1040" s="18" t="n">
        <v>29.6</v>
      </c>
      <c r="H1040" s="18">
        <f>IF(D1040="","",D1040*'参数与说明'!$B$6/45.3592)</f>
        <v/>
      </c>
      <c r="I1040" s="19">
        <f>IFERROR(IF(D1040="","",D1040/INDEX($D:$D,MATCH(EDATE($A1040,-1),$A:$A,0))-1),"")</f>
        <v/>
      </c>
      <c r="J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60.6</v>
      </c>
      <c r="E1041" s="14" t="n">
        <v>64.7</v>
      </c>
      <c r="F1041" s="14" t="n">
        <v>63.3</v>
      </c>
      <c r="G1041" s="14" t="n">
        <v>30.4</v>
      </c>
      <c r="H1041" s="14">
        <f>IF(D1041="","",D1041*'参数与说明'!$B$6/45.3592)</f>
        <v/>
      </c>
      <c r="I1041" s="15">
        <f>IFERROR(IF(D1041="","",D1041/INDEX($D:$D,MATCH(EDATE($A1041,-1),$A:$A,0))-1),"")</f>
        <v/>
      </c>
      <c r="J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59</v>
      </c>
      <c r="E1042" s="18" t="n">
        <v>62.6</v>
      </c>
      <c r="F1042" s="18" t="n">
        <v>60.5</v>
      </c>
      <c r="G1042" s="18" t="n">
        <v>32</v>
      </c>
      <c r="H1042" s="18">
        <f>IF(D1042="","",D1042*'参数与说明'!$B$6/45.3592)</f>
        <v/>
      </c>
      <c r="I1042" s="19">
        <f>IFERROR(IF(D1042="","",D1042/INDEX($D:$D,MATCH(EDATE($A1042,-1),$A:$A,0))-1),"")</f>
        <v/>
      </c>
      <c r="J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57.9</v>
      </c>
      <c r="E1043" s="14" t="n">
        <v>61.1</v>
      </c>
      <c r="F1043" s="14" t="n">
        <v>60.2</v>
      </c>
      <c r="G1043" s="14" t="n">
        <v>32.1</v>
      </c>
      <c r="H1043" s="14">
        <f>IF(D1043="","",D1043*'参数与说明'!$B$6/45.3592)</f>
        <v/>
      </c>
      <c r="I1043" s="15">
        <f>IFERROR(IF(D1043="","",D1043/INDEX($D:$D,MATCH(EDATE($A1043,-1),$A:$A,0))-1),"")</f>
        <v/>
      </c>
      <c r="J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56.8</v>
      </c>
      <c r="E1044" s="18" t="n">
        <v>60.2</v>
      </c>
      <c r="F1044" s="18" t="n">
        <v>59.4</v>
      </c>
      <c r="G1044" s="18" t="n">
        <v>31.4</v>
      </c>
      <c r="H1044" s="18">
        <f>IF(D1044="","",D1044*'参数与说明'!$B$6/45.3592)</f>
        <v/>
      </c>
      <c r="I1044" s="19">
        <f>IFERROR(IF(D1044="","",D1044/INDEX($D:$D,MATCH(EDATE($A1044,-1),$A:$A,0))-1),"")</f>
        <v/>
      </c>
      <c r="J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54.9</v>
      </c>
      <c r="E1045" s="14" t="n">
        <v>58.1</v>
      </c>
      <c r="F1045" s="14" t="n">
        <v>55.1</v>
      </c>
      <c r="G1045" s="14" t="n">
        <v>29.4</v>
      </c>
      <c r="H1045" s="14">
        <f>IF(D1045="","",D1045*'参数与说明'!$B$6/45.3592)</f>
        <v/>
      </c>
      <c r="I1045" s="15">
        <f>IFERROR(IF(D1045="","",D1045/INDEX($D:$D,MATCH(EDATE($A1045,-1),$A:$A,0))-1),"")</f>
        <v/>
      </c>
      <c r="J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54.7</v>
      </c>
      <c r="E1046" s="18" t="n">
        <v>57.6</v>
      </c>
      <c r="F1046" s="18" t="n">
        <v>54.4</v>
      </c>
      <c r="G1046" s="18" t="n">
        <v>30.4</v>
      </c>
      <c r="H1046" s="18">
        <f>IF(D1046="","",D1046*'参数与说明'!$B$6/45.3592)</f>
        <v/>
      </c>
      <c r="I1046" s="19">
        <f>IFERROR(IF(D1046="","",D1046/INDEX($D:$D,MATCH(EDATE($A1046,-1),$A:$A,0))-1),"")</f>
        <v/>
      </c>
      <c r="J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59.6</v>
      </c>
      <c r="F1047" s="14" t="n">
        <v>55.1</v>
      </c>
      <c r="G1047" s="14" t="n">
        <v>30.6</v>
      </c>
      <c r="H1047" s="14">
        <f>IF(D1047="","",D1047*'参数与说明'!$B$6/45.3592)</f>
        <v/>
      </c>
      <c r="I1047" s="15">
        <f>IFERROR(IF(D1047="","",D1047/INDEX($D:$D,MATCH(EDATE($A1047,-1),$A:$A,0))-1),"")</f>
        <v/>
      </c>
      <c r="J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59.1</v>
      </c>
      <c r="E1048" s="18" t="n">
        <v>62.1</v>
      </c>
      <c r="F1048" s="18" t="n">
        <v>56.8</v>
      </c>
      <c r="G1048" s="18" t="n">
        <v>31</v>
      </c>
      <c r="H1048" s="18">
        <f>IF(D1048="","",D1048*'参数与说明'!$B$6/45.3592)</f>
        <v/>
      </c>
      <c r="I1048" s="19">
        <f>IFERROR(IF(D1048="","",D1048/INDEX($D:$D,MATCH(EDATE($A1048,-1),$A:$A,0))-1),"")</f>
        <v/>
      </c>
      <c r="J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61.3</v>
      </c>
      <c r="E1049" s="14" t="n">
        <v>64.3</v>
      </c>
      <c r="F1049" s="14" t="n">
        <v>59.3</v>
      </c>
      <c r="G1049" s="14" t="n">
        <v>31.8</v>
      </c>
      <c r="H1049" s="14">
        <f>IF(D1049="","",D1049*'参数与说明'!$B$6/45.3592)</f>
        <v/>
      </c>
      <c r="I1049" s="15">
        <f>IFERROR(IF(D1049="","",D1049/INDEX($D:$D,MATCH(EDATE($A1049,-1),$A:$A,0))-1),"")</f>
        <v/>
      </c>
      <c r="J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63.8</v>
      </c>
      <c r="E1050" s="18" t="n">
        <v>67.90000000000001</v>
      </c>
      <c r="F1050" s="18" t="n">
        <v>61</v>
      </c>
      <c r="G1050" s="18" t="n">
        <v>30.8</v>
      </c>
      <c r="H1050" s="18">
        <f>IF(D1050="","",D1050*'参数与说明'!$B$6/45.3592)</f>
        <v/>
      </c>
      <c r="I1050" s="19">
        <f>IFERROR(IF(D1050="","",D1050/INDEX($D:$D,MATCH(EDATE($A1050,-1),$A:$A,0))-1),"")</f>
        <v/>
      </c>
      <c r="J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63.3</v>
      </c>
      <c r="E1051" s="14" t="n">
        <v>68.09999999999999</v>
      </c>
      <c r="F1051" s="14" t="n">
        <v>60.1</v>
      </c>
      <c r="G1051" s="14" t="n">
        <v>30.3</v>
      </c>
      <c r="H1051" s="14">
        <f>IF(D1051="","",D1051*'参数与说明'!$B$6/45.3592)</f>
        <v/>
      </c>
      <c r="I1051" s="15">
        <f>IFERROR(IF(D1051="","",D1051/INDEX($D:$D,MATCH(EDATE($A1051,-1),$A:$A,0))-1),"")</f>
        <v/>
      </c>
      <c r="J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63.4</v>
      </c>
      <c r="E1052" s="18" t="n">
        <v>68.7</v>
      </c>
      <c r="F1052" s="18" t="n">
        <v>61.2</v>
      </c>
      <c r="G1052" s="18" t="n">
        <v>28</v>
      </c>
      <c r="H1052" s="18">
        <f>IF(D1052="","",D1052*'参数与说明'!$B$6/45.3592)</f>
        <v/>
      </c>
      <c r="I1052" s="19">
        <f>IFERROR(IF(D1052="","",D1052/INDEX($D:$D,MATCH(EDATE($A1052,-1),$A:$A,0))-1),"")</f>
        <v/>
      </c>
      <c r="J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61</v>
      </c>
      <c r="E1053" s="14" t="n">
        <v>65.5</v>
      </c>
      <c r="F1053" s="14" t="n">
        <v>61.8</v>
      </c>
      <c r="G1053" s="14" t="n">
        <v>28.3</v>
      </c>
      <c r="H1053" s="14">
        <f>IF(D1053="","",D1053*'参数与说明'!$B$6/45.3592)</f>
        <v/>
      </c>
      <c r="I1053" s="15">
        <f>IFERROR(IF(D1053="","",D1053/INDEX($D:$D,MATCH(EDATE($A1053,-1),$A:$A,0))-1),"")</f>
        <v/>
      </c>
      <c r="J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61.4</v>
      </c>
      <c r="E1054" s="18" t="n">
        <v>65.2</v>
      </c>
      <c r="F1054" s="18" t="n">
        <v>68.09999999999999</v>
      </c>
      <c r="G1054" s="18" t="n">
        <v>30</v>
      </c>
      <c r="H1054" s="18">
        <f>IF(D1054="","",D1054*'参数与说明'!$B$6/45.3592)</f>
        <v/>
      </c>
      <c r="I1054" s="19">
        <f>IFERROR(IF(D1054="","",D1054/INDEX($D:$D,MATCH(EDATE($A1054,-1),$A:$A,0))-1),"")</f>
        <v/>
      </c>
      <c r="J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61.9</v>
      </c>
      <c r="E1055" s="14" t="n">
        <v>65.2</v>
      </c>
      <c r="F1055" s="14" t="n">
        <v>74.90000000000001</v>
      </c>
      <c r="G1055" s="14" t="n">
        <v>33.3</v>
      </c>
      <c r="H1055" s="14">
        <f>IF(D1055="","",D1055*'参数与说明'!$B$6/45.3592)</f>
        <v/>
      </c>
      <c r="I1055" s="15">
        <f>IFERROR(IF(D1055="","",D1055/INDEX($D:$D,MATCH(EDATE($A1055,-1),$A:$A,0))-1),"")</f>
        <v/>
      </c>
      <c r="J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64.8</v>
      </c>
      <c r="E1056" s="18" t="n">
        <v>67.90000000000001</v>
      </c>
      <c r="F1056" s="18" t="n">
        <v>80</v>
      </c>
      <c r="G1056" s="18" t="n">
        <v>36.9</v>
      </c>
      <c r="H1056" s="18">
        <f>IF(D1056="","",D1056*'参数与说明'!$B$6/45.3592)</f>
        <v/>
      </c>
      <c r="I1056" s="19">
        <f>IFERROR(IF(D1056="","",D1056/INDEX($D:$D,MATCH(EDATE($A1056,-1),$A:$A,0))-1),"")</f>
        <v/>
      </c>
      <c r="J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64.8</v>
      </c>
      <c r="E1057" s="14" t="n">
        <v>67.90000000000001</v>
      </c>
      <c r="F1057" s="14" t="n">
        <v>82.2</v>
      </c>
      <c r="G1057" s="14" t="n">
        <v>38.2</v>
      </c>
      <c r="H1057" s="14">
        <f>IF(D1057="","",D1057*'参数与说明'!$B$6/45.3592)</f>
        <v/>
      </c>
      <c r="I1057" s="15">
        <f>IFERROR(IF(D1057="","",D1057/INDEX($D:$D,MATCH(EDATE($A1057,-1),$A:$A,0))-1),"")</f>
        <v/>
      </c>
      <c r="J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65.09999999999999</v>
      </c>
      <c r="E1058" s="18" t="n">
        <v>68.3</v>
      </c>
      <c r="F1058" s="18" t="n">
        <v>84.3</v>
      </c>
      <c r="G1058" s="18" t="n">
        <v>38.2</v>
      </c>
      <c r="H1058" s="18">
        <f>IF(D1058="","",D1058*'参数与说明'!$B$6/45.3592)</f>
        <v/>
      </c>
      <c r="I1058" s="19">
        <f>IFERROR(IF(D1058="","",D1058/INDEX($D:$D,MATCH(EDATE($A1058,-1),$A:$A,0))-1),"")</f>
        <v/>
      </c>
      <c r="J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62.3</v>
      </c>
      <c r="E1059" s="14" t="n">
        <v>64.90000000000001</v>
      </c>
      <c r="F1059" s="14" t="n">
        <v>85.40000000000001</v>
      </c>
      <c r="G1059" s="14" t="n">
        <v>37.5</v>
      </c>
      <c r="H1059" s="14">
        <f>IF(D1059="","",D1059*'参数与说明'!$B$6/45.3592)</f>
        <v/>
      </c>
      <c r="I1059" s="15">
        <f>IFERROR(IF(D1059="","",D1059/INDEX($D:$D,MATCH(EDATE($A1059,-1),$A:$A,0))-1),"")</f>
        <v/>
      </c>
      <c r="J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62.8</v>
      </c>
      <c r="E1060" s="18" t="n">
        <v>65.40000000000001</v>
      </c>
      <c r="F1060" s="18" t="n">
        <v>86.90000000000001</v>
      </c>
      <c r="G1060" s="18" t="n">
        <v>38.2</v>
      </c>
      <c r="H1060" s="18">
        <f>IF(D1060="","",D1060*'参数与说明'!$B$6/45.3592)</f>
        <v/>
      </c>
      <c r="I1060" s="19">
        <f>IFERROR(IF(D1060="","",D1060/INDEX($D:$D,MATCH(EDATE($A1060,-1),$A:$A,0))-1),"")</f>
        <v/>
      </c>
      <c r="J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63.9</v>
      </c>
      <c r="E1061" s="14" t="n">
        <v>66.59999999999999</v>
      </c>
      <c r="F1061" s="14" t="n">
        <v>88</v>
      </c>
      <c r="G1061" s="14" t="n">
        <v>36.4</v>
      </c>
      <c r="H1061" s="14">
        <f>IF(D1061="","",D1061*'参数与说明'!$B$6/45.3592)</f>
        <v/>
      </c>
      <c r="I1061" s="15">
        <f>IFERROR(IF(D1061="","",D1061/INDEX($D:$D,MATCH(EDATE($A1061,-1),$A:$A,0))-1),"")</f>
        <v/>
      </c>
      <c r="J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63.6</v>
      </c>
      <c r="E1062" s="18" t="n">
        <v>67</v>
      </c>
      <c r="F1062" s="18" t="n">
        <v>86.90000000000001</v>
      </c>
      <c r="G1062" s="18" t="n">
        <v>34.4</v>
      </c>
      <c r="H1062" s="18">
        <f>IF(D1062="","",D1062*'参数与说明'!$B$6/45.3592)</f>
        <v/>
      </c>
      <c r="I1062" s="19">
        <f>IFERROR(IF(D1062="","",D1062/INDEX($D:$D,MATCH(EDATE($A1062,-1),$A:$A,0))-1),"")</f>
        <v/>
      </c>
      <c r="J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63.3</v>
      </c>
      <c r="E1063" s="14" t="n">
        <v>67.3</v>
      </c>
      <c r="F1063" s="14" t="n">
        <v>84.3</v>
      </c>
      <c r="G1063" s="14" t="n">
        <v>33.1</v>
      </c>
      <c r="H1063" s="14">
        <f>IF(D1063="","",D1063*'参数与说明'!$B$6/45.3592)</f>
        <v/>
      </c>
      <c r="I1063" s="15">
        <f>IFERROR(IF(D1063="","",D1063/INDEX($D:$D,MATCH(EDATE($A1063,-1),$A:$A,0))-1),"")</f>
        <v/>
      </c>
      <c r="J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63.3</v>
      </c>
      <c r="E1064" s="18" t="n">
        <v>68</v>
      </c>
      <c r="F1064" s="18" t="n">
        <v>82.90000000000001</v>
      </c>
      <c r="G1064" s="18" t="n">
        <v>31.9</v>
      </c>
      <c r="H1064" s="18">
        <f>IF(D1064="","",D1064*'参数与说明'!$B$6/45.3592)</f>
        <v/>
      </c>
      <c r="I1064" s="19">
        <f>IFERROR(IF(D1064="","",D1064/INDEX($D:$D,MATCH(EDATE($A1064,-1),$A:$A,0))-1),"")</f>
        <v/>
      </c>
      <c r="J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62.9</v>
      </c>
      <c r="E1065" s="14" t="n">
        <v>66.8</v>
      </c>
      <c r="F1065" s="14" t="n">
        <v>83.3</v>
      </c>
      <c r="G1065" s="14" t="n">
        <v>33</v>
      </c>
      <c r="H1065" s="14">
        <f>IF(D1065="","",D1065*'参数与说明'!$B$6/45.3592)</f>
        <v/>
      </c>
      <c r="I1065" s="15">
        <f>IFERROR(IF(D1065="","",D1065/INDEX($D:$D,MATCH(EDATE($A1065,-1),$A:$A,0))-1),"")</f>
        <v/>
      </c>
      <c r="J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62.5</v>
      </c>
      <c r="E1066" s="18" t="n">
        <v>66.09999999999999</v>
      </c>
      <c r="F1066" s="18" t="n">
        <v>86.59999999999999</v>
      </c>
      <c r="G1066" s="18" t="n">
        <v>34.5</v>
      </c>
      <c r="H1066" s="18">
        <f>IF(D1066="","",D1066*'参数与说明'!$B$6/45.3592)</f>
        <v/>
      </c>
      <c r="I1066" s="19">
        <f>IFERROR(IF(D1066="","",D1066/INDEX($D:$D,MATCH(EDATE($A1066,-1),$A:$A,0))-1),"")</f>
        <v/>
      </c>
      <c r="J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60.4</v>
      </c>
      <c r="E1067" s="14" t="n">
        <v>63.3</v>
      </c>
      <c r="F1067" s="14" t="n">
        <v>88.7</v>
      </c>
      <c r="G1067" s="14" t="n">
        <v>36</v>
      </c>
      <c r="H1067" s="14">
        <f>IF(D1067="","",D1067*'参数与说明'!$B$6/45.3592)</f>
        <v/>
      </c>
      <c r="I1067" s="15">
        <f>IFERROR(IF(D1067="","",D1067/INDEX($D:$D,MATCH(EDATE($A1067,-1),$A:$A,0))-1),"")</f>
        <v/>
      </c>
      <c r="J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61.3</v>
      </c>
      <c r="E1068" s="18" t="n">
        <v>64.3</v>
      </c>
      <c r="F1068" s="18" t="n">
        <v>89.8</v>
      </c>
      <c r="G1068" s="18" t="n">
        <v>36</v>
      </c>
      <c r="H1068" s="18">
        <f>IF(D1068="","",D1068*'参数与说明'!$B$6/45.3592)</f>
        <v/>
      </c>
      <c r="I1068" s="19">
        <f>IFERROR(IF(D1068="","",D1068/INDEX($D:$D,MATCH(EDATE($A1068,-1),$A:$A,0))-1),"")</f>
        <v/>
      </c>
      <c r="J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63</v>
      </c>
      <c r="E1069" s="14" t="n">
        <v>66.3</v>
      </c>
      <c r="F1069" s="14" t="n">
        <v>90.8</v>
      </c>
      <c r="G1069" s="14" t="n">
        <v>36.2</v>
      </c>
      <c r="H1069" s="14">
        <f>IF(D1069="","",D1069*'参数与说明'!$B$6/45.3592)</f>
        <v/>
      </c>
      <c r="I1069" s="15">
        <f>IFERROR(IF(D1069="","",D1069/INDEX($D:$D,MATCH(EDATE($A1069,-1),$A:$A,0))-1),"")</f>
        <v/>
      </c>
      <c r="J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63</v>
      </c>
      <c r="E1070" s="18" t="n">
        <v>66.3</v>
      </c>
      <c r="F1070" s="18" t="n">
        <v>88.90000000000001</v>
      </c>
      <c r="G1070" s="18" t="n">
        <v>36.4</v>
      </c>
      <c r="H1070" s="18">
        <f>IF(D1070="","",D1070*'参数与说明'!$B$6/45.3592)</f>
        <v/>
      </c>
      <c r="I1070" s="19">
        <f>IFERROR(IF(D1070="","",D1070/INDEX($D:$D,MATCH(EDATE($A1070,-1),$A:$A,0))-1),"")</f>
        <v/>
      </c>
      <c r="J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61.8</v>
      </c>
      <c r="E1071" s="14" t="n">
        <v>64.5</v>
      </c>
      <c r="F1071" s="14" t="n">
        <v>81.7</v>
      </c>
      <c r="G1071" s="14" t="n">
        <v>36.1</v>
      </c>
      <c r="H1071" s="14">
        <f>IF(D1071="","",D1071*'参数与说明'!$B$6/45.3592)</f>
        <v/>
      </c>
      <c r="I1071" s="15">
        <f>IFERROR(IF(D1071="","",D1071/INDEX($D:$D,MATCH(EDATE($A1071,-1),$A:$A,0))-1),"")</f>
        <v/>
      </c>
      <c r="J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58.4</v>
      </c>
      <c r="E1072" s="18" t="n">
        <v>61</v>
      </c>
      <c r="F1072" s="18" t="n">
        <v>76.59999999999999</v>
      </c>
      <c r="G1072" s="18" t="n">
        <v>34.7</v>
      </c>
      <c r="H1072" s="18">
        <f>IF(D1072="","",D1072*'参数与说明'!$B$6/45.3592)</f>
        <v/>
      </c>
      <c r="I1072" s="19">
        <f>IFERROR(IF(D1072="","",D1072/INDEX($D:$D,MATCH(EDATE($A1072,-1),$A:$A,0))-1),"")</f>
        <v/>
      </c>
      <c r="J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57.4</v>
      </c>
      <c r="E1073" s="14" t="n">
        <v>59.7</v>
      </c>
      <c r="F1073" s="14" t="n">
        <v>76.90000000000001</v>
      </c>
      <c r="G1073" s="14" t="n">
        <v>34.2</v>
      </c>
      <c r="H1073" s="14">
        <f>IF(D1073="","",D1073*'参数与说明'!$B$6/45.3592)</f>
        <v/>
      </c>
      <c r="I1073" s="15">
        <f>IFERROR(IF(D1073="","",D1073/INDEX($D:$D,MATCH(EDATE($A1073,-1),$A:$A,0))-1),"")</f>
        <v/>
      </c>
      <c r="J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56.1</v>
      </c>
      <c r="E1074" s="18" t="n">
        <v>58.9</v>
      </c>
      <c r="F1074" s="18" t="n">
        <v>74.09999999999999</v>
      </c>
      <c r="G1074" s="18" t="n">
        <v>32.6</v>
      </c>
      <c r="H1074" s="18">
        <f>IF(D1074="","",D1074*'参数与说明'!$B$6/45.3592)</f>
        <v/>
      </c>
      <c r="I1074" s="19">
        <f>IFERROR(IF(D1074="","",D1074/INDEX($D:$D,MATCH(EDATE($A1074,-1),$A:$A,0))-1),"")</f>
        <v/>
      </c>
      <c r="J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58</v>
      </c>
      <c r="E1075" s="14" t="n">
        <v>61.4</v>
      </c>
      <c r="F1075" s="14" t="n">
        <v>75.7</v>
      </c>
      <c r="G1075" s="14" t="n">
        <v>30.5</v>
      </c>
      <c r="H1075" s="14">
        <f>IF(D1075="","",D1075*'参数与说明'!$B$6/45.3592)</f>
        <v/>
      </c>
      <c r="I1075" s="15">
        <f>IFERROR(IF(D1075="","",D1075/INDEX($D:$D,MATCH(EDATE($A1075,-1),$A:$A,0))-1),"")</f>
        <v/>
      </c>
      <c r="J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58.1</v>
      </c>
      <c r="E1076" s="18" t="n">
        <v>62.3</v>
      </c>
      <c r="F1076" s="18" t="n">
        <v>77.5</v>
      </c>
      <c r="G1076" s="18" t="n">
        <v>29.7</v>
      </c>
      <c r="H1076" s="18">
        <f>IF(D1076="","",D1076*'参数与说明'!$B$6/45.3592)</f>
        <v/>
      </c>
      <c r="I1076" s="19">
        <f>IFERROR(IF(D1076="","",D1076/INDEX($D:$D,MATCH(EDATE($A1076,-1),$A:$A,0))-1),"")</f>
        <v/>
      </c>
      <c r="J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56.8</v>
      </c>
      <c r="E1077" s="14" t="n">
        <v>60.3</v>
      </c>
      <c r="F1077" s="14" t="n">
        <v>80.2</v>
      </c>
      <c r="G1077" s="14" t="n">
        <v>30.8</v>
      </c>
      <c r="H1077" s="14">
        <f>IF(D1077="","",D1077*'参数与说明'!$B$6/45.3592)</f>
        <v/>
      </c>
      <c r="I1077" s="15">
        <f>IFERROR(IF(D1077="","",D1077/INDEX($D:$D,MATCH(EDATE($A1077,-1),$A:$A,0))-1),"")</f>
        <v/>
      </c>
      <c r="J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59</v>
      </c>
      <c r="E1078" s="18" t="n">
        <v>62.2</v>
      </c>
      <c r="F1078" s="18" t="n">
        <v>83.2</v>
      </c>
      <c r="G1078" s="18" t="n">
        <v>33.4</v>
      </c>
      <c r="H1078" s="18">
        <f>IF(D1078="","",D1078*'参数与说明'!$B$6/45.3592)</f>
        <v/>
      </c>
      <c r="I1078" s="19">
        <f>IFERROR(IF(D1078="","",D1078/INDEX($D:$D,MATCH(EDATE($A1078,-1),$A:$A,0))-1),"")</f>
        <v/>
      </c>
      <c r="J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60.6</v>
      </c>
      <c r="E1079" s="14" t="n">
        <v>63.6</v>
      </c>
      <c r="F1079" s="14" t="n">
        <v>86.90000000000001</v>
      </c>
      <c r="G1079" s="14" t="n">
        <v>34.7</v>
      </c>
      <c r="H1079" s="14">
        <f>IF(D1079="","",D1079*'参数与说明'!$B$6/45.3592)</f>
        <v/>
      </c>
      <c r="I1079" s="15">
        <f>IFERROR(IF(D1079="","",D1079/INDEX($D:$D,MATCH(EDATE($A1079,-1),$A:$A,0))-1),"")</f>
        <v/>
      </c>
      <c r="J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62.4</v>
      </c>
      <c r="E1080" s="18" t="n">
        <v>65.5</v>
      </c>
      <c r="F1080" s="18" t="n">
        <v>87.3</v>
      </c>
      <c r="G1080" s="18" t="n">
        <v>35.2</v>
      </c>
      <c r="H1080" s="18">
        <f>IF(D1080="","",D1080*'参数与说明'!$B$6/45.3592)</f>
        <v/>
      </c>
      <c r="I1080" s="19">
        <f>IFERROR(IF(D1080="","",D1080/INDEX($D:$D,MATCH(EDATE($A1080,-1),$A:$A,0))-1),"")</f>
        <v/>
      </c>
      <c r="J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62.7</v>
      </c>
      <c r="E1081" s="14" t="n">
        <v>66</v>
      </c>
      <c r="F1081" s="14" t="n">
        <v>88.2</v>
      </c>
      <c r="G1081" s="14" t="n">
        <v>35.1</v>
      </c>
      <c r="H1081" s="14">
        <f>IF(D1081="","",D1081*'参数与说明'!$B$6/45.3592)</f>
        <v/>
      </c>
      <c r="I1081" s="15">
        <f>IFERROR(IF(D1081="","",D1081/INDEX($D:$D,MATCH(EDATE($A1081,-1),$A:$A,0))-1),"")</f>
        <v/>
      </c>
      <c r="J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62.1</v>
      </c>
      <c r="E1082" s="18" t="n">
        <v>65.2</v>
      </c>
      <c r="F1082" s="18" t="n">
        <v>87.59999999999999</v>
      </c>
      <c r="G1082" s="18" t="n">
        <v>36.4</v>
      </c>
      <c r="H1082" s="18">
        <f>IF(D1082="","",D1082*'参数与说明'!$B$6/45.3592)</f>
        <v/>
      </c>
      <c r="I1082" s="19">
        <f>IFERROR(IF(D1082="","",D1082/INDEX($D:$D,MATCH(EDATE($A1082,-1),$A:$A,0))-1),"")</f>
        <v/>
      </c>
      <c r="J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63.7</v>
      </c>
      <c r="E1083" s="14" t="n">
        <v>66.7</v>
      </c>
      <c r="F1083" s="14" t="n">
        <v>89</v>
      </c>
      <c r="G1083" s="14" t="n">
        <v>36.7</v>
      </c>
      <c r="H1083" s="14">
        <f>IF(D1083="","",D1083*'参数与说明'!$B$6/45.3592)</f>
        <v/>
      </c>
      <c r="I1083" s="15">
        <f>IFERROR(IF(D1083="","",D1083/INDEX($D:$D,MATCH(EDATE($A1083,-1),$A:$A,0))-1),"")</f>
        <v/>
      </c>
      <c r="J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62.6</v>
      </c>
      <c r="E1084" s="18" t="n">
        <v>65.2</v>
      </c>
      <c r="F1084" s="18" t="n">
        <v>89.2</v>
      </c>
      <c r="G1084" s="18" t="n">
        <v>37.7</v>
      </c>
      <c r="H1084" s="18">
        <f>IF(D1084="","",D1084*'参数与说明'!$B$6/45.3592)</f>
        <v/>
      </c>
      <c r="I1084" s="19">
        <f>IFERROR(IF(D1084="","",D1084/INDEX($D:$D,MATCH(EDATE($A1084,-1),$A:$A,0))-1),"")</f>
        <v/>
      </c>
      <c r="J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63.5</v>
      </c>
      <c r="E1085" s="14" t="n">
        <v>66.2</v>
      </c>
      <c r="F1085" s="14" t="n">
        <v>89.59999999999999</v>
      </c>
      <c r="G1085" s="14" t="n">
        <v>36.3</v>
      </c>
      <c r="H1085" s="14">
        <f>IF(D1085="","",D1085*'参数与说明'!$B$6/45.3592)</f>
        <v/>
      </c>
      <c r="I1085" s="15">
        <f>IFERROR(IF(D1085="","",D1085/INDEX($D:$D,MATCH(EDATE($A1085,-1),$A:$A,0))-1),"")</f>
        <v/>
      </c>
      <c r="J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63.8</v>
      </c>
      <c r="E1086" s="18" t="n">
        <v>67.09999999999999</v>
      </c>
      <c r="F1086" s="18" t="n">
        <v>90.90000000000001</v>
      </c>
      <c r="G1086" s="18" t="n">
        <v>34.6</v>
      </c>
      <c r="H1086" s="18">
        <f>IF(D1086="","",D1086*'参数与说明'!$B$6/45.3592)</f>
        <v/>
      </c>
      <c r="I1086" s="19">
        <f>IFERROR(IF(D1086="","",D1086/INDEX($D:$D,MATCH(EDATE($A1086,-1),$A:$A,0))-1),"")</f>
        <v/>
      </c>
      <c r="J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66.2</v>
      </c>
      <c r="E1087" s="14" t="n">
        <v>70.09999999999999</v>
      </c>
      <c r="F1087" s="14" t="n">
        <v>91.90000000000001</v>
      </c>
      <c r="G1087" s="14" t="n">
        <v>33.8</v>
      </c>
      <c r="H1087" s="14">
        <f>IF(D1087="","",D1087*'参数与说明'!$B$6/45.3592)</f>
        <v/>
      </c>
      <c r="I1087" s="15">
        <f>IFERROR(IF(D1087="","",D1087/INDEX($D:$D,MATCH(EDATE($A1087,-1),$A:$A,0))-1),"")</f>
        <v/>
      </c>
      <c r="J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66.2</v>
      </c>
      <c r="E1088" s="18" t="n">
        <v>70.90000000000001</v>
      </c>
      <c r="F1088" s="18" t="n">
        <v>93</v>
      </c>
      <c r="G1088" s="18" t="n">
        <v>33.6</v>
      </c>
      <c r="H1088" s="18">
        <f>IF(D1088="","",D1088*'参数与说明'!$B$6/45.3592)</f>
        <v/>
      </c>
      <c r="I1088" s="19">
        <f>IFERROR(IF(D1088="","",D1088/INDEX($D:$D,MATCH(EDATE($A1088,-1),$A:$A,0))-1),"")</f>
        <v/>
      </c>
      <c r="J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66.59999999999999</v>
      </c>
      <c r="E1089" s="14" t="n">
        <v>70.8</v>
      </c>
      <c r="F1089" s="14" t="n">
        <v>98.59999999999999</v>
      </c>
      <c r="G1089" s="14" t="n">
        <v>35.1</v>
      </c>
      <c r="H1089" s="14">
        <f>IF(D1089="","",D1089*'参数与说明'!$B$6/45.3592)</f>
        <v/>
      </c>
      <c r="I1089" s="15">
        <f>IFERROR(IF(D1089="","",D1089/INDEX($D:$D,MATCH(EDATE($A1089,-1),$A:$A,0))-1),"")</f>
        <v/>
      </c>
      <c r="J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67.59999999999999</v>
      </c>
      <c r="E1090" s="18" t="n">
        <v>71.59999999999999</v>
      </c>
      <c r="F1090" s="18" t="n">
        <v>103</v>
      </c>
      <c r="G1090" s="18" t="n">
        <v>35.8</v>
      </c>
      <c r="H1090" s="18">
        <f>IF(D1090="","",D1090*'参数与说明'!$B$6/45.3592)</f>
        <v/>
      </c>
      <c r="I1090" s="19">
        <f>IFERROR(IF(D1090="","",D1090/INDEX($D:$D,MATCH(EDATE($A1090,-1),$A:$A,0))-1),"")</f>
        <v/>
      </c>
      <c r="J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67.90000000000001</v>
      </c>
      <c r="E1091" s="14" t="n">
        <v>71</v>
      </c>
      <c r="F1091" s="14" t="n">
        <v>105</v>
      </c>
      <c r="G1091" s="14" t="n">
        <v>37.1</v>
      </c>
      <c r="H1091" s="14">
        <f>IF(D1091="","",D1091*'参数与说明'!$B$6/45.3592)</f>
        <v/>
      </c>
      <c r="I1091" s="15">
        <f>IFERROR(IF(D1091="","",D1091/INDEX($D:$D,MATCH(EDATE($A1091,-1),$A:$A,0))-1),"")</f>
        <v/>
      </c>
      <c r="J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69.8</v>
      </c>
      <c r="E1092" s="18" t="n">
        <v>73.40000000000001</v>
      </c>
      <c r="F1092" s="18" t="n">
        <v>109</v>
      </c>
      <c r="G1092" s="18" t="n">
        <v>39</v>
      </c>
      <c r="H1092" s="18">
        <f>IF(D1092="","",D1092*'参数与说明'!$B$6/45.3592)</f>
        <v/>
      </c>
      <c r="I1092" s="19">
        <f>IFERROR(IF(D1092="","",D1092/INDEX($D:$D,MATCH(EDATE($A1092,-1),$A:$A,0))-1),"")</f>
        <v/>
      </c>
      <c r="J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71.3</v>
      </c>
      <c r="E1093" s="14" t="n">
        <v>75.2</v>
      </c>
      <c r="F1093" s="14" t="n">
        <v>111</v>
      </c>
      <c r="G1093" s="14" t="n">
        <v>39.7</v>
      </c>
      <c r="H1093" s="14">
        <f>IF(D1093="","",D1093*'参数与说明'!$B$6/45.3592)</f>
        <v/>
      </c>
      <c r="I1093" s="15">
        <f>IFERROR(IF(D1093="","",D1093/INDEX($D:$D,MATCH(EDATE($A1093,-1),$A:$A,0))-1),"")</f>
        <v/>
      </c>
      <c r="J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69.40000000000001</v>
      </c>
      <c r="E1094" s="18" t="n">
        <v>73.2</v>
      </c>
      <c r="F1094" s="18" t="n">
        <v>107</v>
      </c>
      <c r="G1094" s="18" t="n">
        <v>38.9</v>
      </c>
      <c r="H1094" s="18">
        <f>IF(D1094="","",D1094*'参数与说明'!$B$6/45.3592)</f>
        <v/>
      </c>
      <c r="I1094" s="19">
        <f>IFERROR(IF(D1094="","",D1094/INDEX($D:$D,MATCH(EDATE($A1094,-1),$A:$A,0))-1),"")</f>
        <v/>
      </c>
      <c r="J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68.40000000000001</v>
      </c>
      <c r="E1095" s="14" t="n">
        <v>71.5</v>
      </c>
      <c r="F1095" s="14" t="n">
        <v>104</v>
      </c>
      <c r="G1095" s="14" t="n">
        <v>40</v>
      </c>
      <c r="H1095" s="14">
        <f>IF(D1095="","",D1095*'参数与说明'!$B$6/45.3592)</f>
        <v/>
      </c>
      <c r="I1095" s="15">
        <f>IFERROR(IF(D1095="","",D1095/INDEX($D:$D,MATCH(EDATE($A1095,-1),$A:$A,0))-1),"")</f>
        <v/>
      </c>
      <c r="J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67.8</v>
      </c>
      <c r="E1096" s="18" t="n">
        <v>70.40000000000001</v>
      </c>
      <c r="F1096" s="18" t="n">
        <v>106</v>
      </c>
      <c r="G1096" s="18" t="n">
        <v>39.2</v>
      </c>
      <c r="H1096" s="18">
        <f>IF(D1096="","",D1096*'参数与说明'!$B$6/45.3592)</f>
        <v/>
      </c>
      <c r="I1096" s="19">
        <f>IFERROR(IF(D1096="","",D1096/INDEX($D:$D,MATCH(EDATE($A1096,-1),$A:$A,0))-1),"")</f>
        <v/>
      </c>
      <c r="J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66.09999999999999</v>
      </c>
      <c r="E1097" s="14" t="n">
        <v>68</v>
      </c>
      <c r="F1097" s="14" t="n">
        <v>106</v>
      </c>
      <c r="G1097" s="14" t="n">
        <v>39</v>
      </c>
      <c r="H1097" s="14">
        <f>IF(D1097="","",D1097*'参数与说明'!$B$6/45.3592)</f>
        <v/>
      </c>
      <c r="I1097" s="15">
        <f>IFERROR(IF(D1097="","",D1097/INDEX($D:$D,MATCH(EDATE($A1097,-1),$A:$A,0))-1),"")</f>
        <v/>
      </c>
      <c r="J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65</v>
      </c>
      <c r="E1098" s="18" t="n">
        <v>68.59999999999999</v>
      </c>
      <c r="F1098" s="18" t="n">
        <v>103</v>
      </c>
      <c r="G1098" s="18" t="n">
        <v>37.1</v>
      </c>
      <c r="H1098" s="18">
        <f>IF(D1098="","",D1098*'参数与说明'!$B$6/45.3592)</f>
        <v/>
      </c>
      <c r="I1098" s="19">
        <f>IFERROR(IF(D1098="","",D1098/INDEX($D:$D,MATCH(EDATE($A1098,-1),$A:$A,0))-1),"")</f>
        <v/>
      </c>
      <c r="J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66.5</v>
      </c>
      <c r="E1099" s="14" t="n">
        <v>70.5</v>
      </c>
      <c r="F1099" s="14" t="n">
        <v>103</v>
      </c>
      <c r="G1099" s="14" t="n">
        <v>36.1</v>
      </c>
      <c r="H1099" s="14">
        <f>IF(D1099="","",D1099*'参数与说明'!$B$6/45.3592)</f>
        <v/>
      </c>
      <c r="I1099" s="15">
        <f>IFERROR(IF(D1099="","",D1099/INDEX($D:$D,MATCH(EDATE($A1099,-1),$A:$A,0))-1),"")</f>
        <v/>
      </c>
      <c r="J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69.09999999999999</v>
      </c>
      <c r="E1100" s="18" t="n">
        <v>73.8</v>
      </c>
      <c r="F1100" s="18" t="n">
        <v>106</v>
      </c>
      <c r="G1100" s="18" t="n">
        <v>36.6</v>
      </c>
      <c r="H1100" s="18">
        <f>IF(D1100="","",D1100*'参数与说明'!$B$6/45.3592)</f>
        <v/>
      </c>
      <c r="I1100" s="19">
        <f>IFERROR(IF(D1100="","",D1100/INDEX($D:$D,MATCH(EDATE($A1100,-1),$A:$A,0))-1),"")</f>
        <v/>
      </c>
      <c r="J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71.8</v>
      </c>
      <c r="E1101" s="14" t="n">
        <v>76.8</v>
      </c>
      <c r="F1101" s="14" t="n">
        <v>106</v>
      </c>
      <c r="G1101" s="14" t="n">
        <v>36.5</v>
      </c>
      <c r="H1101" s="14">
        <f>IF(D1101="","",D1101*'参数与说明'!$B$6/45.3592)</f>
        <v/>
      </c>
      <c r="I1101" s="15">
        <f>IFERROR(IF(D1101="","",D1101/INDEX($D:$D,MATCH(EDATE($A1101,-1),$A:$A,0))-1),"")</f>
        <v/>
      </c>
      <c r="J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74.59999999999999</v>
      </c>
      <c r="E1102" s="18" t="n">
        <v>79.40000000000001</v>
      </c>
      <c r="F1102" s="18" t="n">
        <v>108</v>
      </c>
      <c r="G1102" s="18" t="n">
        <v>39</v>
      </c>
      <c r="H1102" s="18">
        <f>IF(D1102="","",D1102*'参数与说明'!$B$6/45.3592)</f>
        <v/>
      </c>
      <c r="I1102" s="19">
        <f>IFERROR(IF(D1102="","",D1102/INDEX($D:$D,MATCH(EDATE($A1102,-1),$A:$A,0))-1),"")</f>
        <v/>
      </c>
      <c r="J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74.7</v>
      </c>
      <c r="E1103" s="14" t="n">
        <v>78.7</v>
      </c>
      <c r="F1103" s="14" t="n">
        <v>109</v>
      </c>
      <c r="G1103" s="14" t="n">
        <v>42.8</v>
      </c>
      <c r="H1103" s="14">
        <f>IF(D1103="","",D1103*'参数与说明'!$B$6/45.3592)</f>
        <v/>
      </c>
      <c r="I1103" s="15">
        <f>IFERROR(IF(D1103="","",D1103/INDEX($D:$D,MATCH(EDATE($A1103,-1),$A:$A,0))-1),"")</f>
        <v/>
      </c>
      <c r="J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76</v>
      </c>
      <c r="E1104" s="18" t="n">
        <v>80.5</v>
      </c>
      <c r="F1104" s="18" t="n">
        <v>112</v>
      </c>
      <c r="G1104" s="18" t="n">
        <v>42.3</v>
      </c>
      <c r="H1104" s="18">
        <f>IF(D1104="","",D1104*'参数与说明'!$B$6/45.3592)</f>
        <v/>
      </c>
      <c r="I1104" s="19">
        <f>IFERROR(IF(D1104="","",D1104/INDEX($D:$D,MATCH(EDATE($A1104,-1),$A:$A,0))-1),"")</f>
        <v/>
      </c>
      <c r="J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75.40000000000001</v>
      </c>
      <c r="E1105" s="14" t="n">
        <v>79.59999999999999</v>
      </c>
      <c r="F1105" s="14" t="n">
        <v>111</v>
      </c>
      <c r="G1105" s="14" t="n">
        <v>43.3</v>
      </c>
      <c r="H1105" s="14">
        <f>IF(D1105="","",D1105*'参数与说明'!$B$6/45.3592)</f>
        <v/>
      </c>
      <c r="I1105" s="15">
        <f>IFERROR(IF(D1105="","",D1105/INDEX($D:$D,MATCH(EDATE($A1105,-1),$A:$A,0))-1),"")</f>
        <v/>
      </c>
      <c r="J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73.59999999999999</v>
      </c>
      <c r="E1106" s="18" t="n">
        <v>77.40000000000001</v>
      </c>
      <c r="F1106" s="18" t="n">
        <v>111</v>
      </c>
      <c r="G1106" s="18" t="n">
        <v>43.7</v>
      </c>
      <c r="H1106" s="18">
        <f>IF(D1106="","",D1106*'参数与说明'!$B$6/45.3592)</f>
        <v/>
      </c>
      <c r="I1106" s="19">
        <f>IFERROR(IF(D1106="","",D1106/INDEX($D:$D,MATCH(EDATE($A1106,-1),$A:$A,0))-1),"")</f>
        <v/>
      </c>
      <c r="J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73.59999999999999</v>
      </c>
      <c r="E1107" s="14" t="n">
        <v>77</v>
      </c>
      <c r="F1107" s="14" t="n">
        <v>110</v>
      </c>
      <c r="G1107" s="14" t="n">
        <v>44.7</v>
      </c>
      <c r="H1107" s="14">
        <f>IF(D1107="","",D1107*'参数与说明'!$B$6/45.3592)</f>
        <v/>
      </c>
      <c r="I1107" s="15">
        <f>IFERROR(IF(D1107="","",D1107/INDEX($D:$D,MATCH(EDATE($A1107,-1),$A:$A,0))-1),"")</f>
        <v/>
      </c>
      <c r="J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71.8</v>
      </c>
      <c r="E1108" s="18" t="n">
        <v>75</v>
      </c>
      <c r="F1108" s="18" t="n">
        <v>108</v>
      </c>
      <c r="G1108" s="18" t="n">
        <v>42.9</v>
      </c>
      <c r="H1108" s="18">
        <f>IF(D1108="","",D1108*'参数与说明'!$B$6/45.3592)</f>
        <v/>
      </c>
      <c r="I1108" s="19">
        <f>IFERROR(IF(D1108="","",D1108/INDEX($D:$D,MATCH(EDATE($A1108,-1),$A:$A,0))-1),"")</f>
        <v/>
      </c>
      <c r="J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70.59999999999999</v>
      </c>
      <c r="E1109" s="14" t="n">
        <v>73.5</v>
      </c>
      <c r="F1109" s="14" t="n">
        <v>106</v>
      </c>
      <c r="G1109" s="14" t="n">
        <v>43.1</v>
      </c>
      <c r="H1109" s="14">
        <f>IF(D1109="","",D1109*'参数与说明'!$B$6/45.3592)</f>
        <v/>
      </c>
      <c r="I1109" s="15">
        <f>IFERROR(IF(D1109="","",D1109/INDEX($D:$D,MATCH(EDATE($A1109,-1),$A:$A,0))-1),"")</f>
        <v/>
      </c>
      <c r="J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69</v>
      </c>
      <c r="E1110" s="18" t="n">
        <v>72.09999999999999</v>
      </c>
      <c r="F1110" s="18" t="n">
        <v>107</v>
      </c>
      <c r="G1110" s="18" t="n">
        <v>40.8</v>
      </c>
      <c r="H1110" s="18">
        <f>IF(D1110="","",D1110*'参数与说明'!$B$6/45.3592)</f>
        <v/>
      </c>
      <c r="I1110" s="19">
        <f>IFERROR(IF(D1110="","",D1110/INDEX($D:$D,MATCH(EDATE($A1110,-1),$A:$A,0))-1),"")</f>
        <v/>
      </c>
      <c r="J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66.5</v>
      </c>
      <c r="E1111" s="14" t="n">
        <v>70.09999999999999</v>
      </c>
      <c r="F1111" s="14" t="n">
        <v>99.90000000000001</v>
      </c>
      <c r="G1111" s="14" t="n">
        <v>37.6</v>
      </c>
      <c r="H1111" s="14">
        <f>IF(D1111="","",D1111*'参数与说明'!$B$6/45.3592)</f>
        <v/>
      </c>
      <c r="I1111" s="15">
        <f>IFERROR(IF(D1111="","",D1111/INDEX($D:$D,MATCH(EDATE($A1111,-1),$A:$A,0))-1),"")</f>
        <v/>
      </c>
      <c r="J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64</v>
      </c>
      <c r="E1112" s="18" t="n">
        <v>67.8</v>
      </c>
      <c r="F1112" s="18" t="n">
        <v>96.90000000000001</v>
      </c>
      <c r="G1112" s="18" t="n">
        <v>35.8</v>
      </c>
      <c r="H1112" s="18">
        <f>IF(D1112="","",D1112*'参数与说明'!$B$6/45.3592)</f>
        <v/>
      </c>
      <c r="I1112" s="19">
        <f>IFERROR(IF(D1112="","",D1112/INDEX($D:$D,MATCH(EDATE($A1112,-1),$A:$A,0))-1),"")</f>
        <v/>
      </c>
      <c r="J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64.7</v>
      </c>
      <c r="E1113" s="14" t="n">
        <v>68.5</v>
      </c>
      <c r="F1113" s="14" t="n">
        <v>101</v>
      </c>
      <c r="G1113" s="14" t="n">
        <v>36</v>
      </c>
      <c r="H1113" s="14">
        <f>IF(D1113="","",D1113*'参数与说明'!$B$6/45.3592)</f>
        <v/>
      </c>
      <c r="I1113" s="15">
        <f>IFERROR(IF(D1113="","",D1113/INDEX($D:$D,MATCH(EDATE($A1113,-1),$A:$A,0))-1),"")</f>
        <v/>
      </c>
      <c r="J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67.40000000000001</v>
      </c>
      <c r="E1114" s="18" t="n">
        <v>71.2</v>
      </c>
      <c r="F1114" s="18" t="n">
        <v>102</v>
      </c>
      <c r="G1114" s="18" t="n">
        <v>37.9</v>
      </c>
      <c r="H1114" s="18">
        <f>IF(D1114="","",D1114*'参数与说明'!$B$6/45.3592)</f>
        <v/>
      </c>
      <c r="I1114" s="19">
        <f>IFERROR(IF(D1114="","",D1114/INDEX($D:$D,MATCH(EDATE($A1114,-1),$A:$A,0))-1),"")</f>
        <v/>
      </c>
      <c r="J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70</v>
      </c>
      <c r="E1115" s="14" t="n">
        <v>73.5</v>
      </c>
      <c r="F1115" s="14" t="n">
        <v>105</v>
      </c>
      <c r="G1115" s="14" t="n">
        <v>40.6</v>
      </c>
      <c r="H1115" s="14">
        <f>IF(D1115="","",D1115*'参数与说明'!$B$6/45.3592)</f>
        <v/>
      </c>
      <c r="I1115" s="15">
        <f>IFERROR(IF(D1115="","",D1115/INDEX($D:$D,MATCH(EDATE($A1115,-1),$A:$A,0))-1),"")</f>
        <v/>
      </c>
      <c r="J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70.59999999999999</v>
      </c>
      <c r="E1116" s="18" t="n">
        <v>74.09999999999999</v>
      </c>
      <c r="F1116" s="18" t="n">
        <v>105</v>
      </c>
      <c r="G1116" s="18" t="n">
        <v>41.5</v>
      </c>
      <c r="H1116" s="18">
        <f>IF(D1116="","",D1116*'参数与说明'!$B$6/45.3592)</f>
        <v/>
      </c>
      <c r="I1116" s="19">
        <f>IFERROR(IF(D1116="","",D1116/INDEX($D:$D,MATCH(EDATE($A1116,-1),$A:$A,0))-1),"")</f>
        <v/>
      </c>
      <c r="J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67.3</v>
      </c>
      <c r="E1117" s="14" t="n">
        <v>70.59999999999999</v>
      </c>
      <c r="F1117" s="14" t="n">
        <v>101</v>
      </c>
      <c r="G1117" s="14" t="n">
        <v>40.1</v>
      </c>
      <c r="H1117" s="14">
        <f>IF(D1117="","",D1117*'参数与说明'!$B$6/45.3592)</f>
        <v/>
      </c>
      <c r="I1117" s="15">
        <f>IFERROR(IF(D1117="","",D1117/INDEX($D:$D,MATCH(EDATE($A1117,-1),$A:$A,0))-1),"")</f>
        <v/>
      </c>
      <c r="J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65.09999999999999</v>
      </c>
      <c r="E1118" s="18" t="n">
        <v>68.09999999999999</v>
      </c>
      <c r="F1118" s="18" t="n">
        <v>99.5</v>
      </c>
      <c r="G1118" s="18" t="n">
        <v>39.8</v>
      </c>
      <c r="H1118" s="18">
        <f>IF(D1118="","",D1118*'参数与说明'!$B$6/45.3592)</f>
        <v/>
      </c>
      <c r="I1118" s="19">
        <f>IFERROR(IF(D1118="","",D1118/INDEX($D:$D,MATCH(EDATE($A1118,-1),$A:$A,0))-1),"")</f>
        <v/>
      </c>
      <c r="J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64</v>
      </c>
      <c r="E1119" s="14" t="n">
        <v>66.90000000000001</v>
      </c>
      <c r="F1119" s="14" t="n">
        <v>96.5</v>
      </c>
      <c r="G1119" s="14" t="n">
        <v>39.2</v>
      </c>
      <c r="H1119" s="14">
        <f>IF(D1119="","",D1119*'参数与说明'!$B$6/45.3592)</f>
        <v/>
      </c>
      <c r="I1119" s="15">
        <f>IFERROR(IF(D1119="","",D1119/INDEX($D:$D,MATCH(EDATE($A1119,-1),$A:$A,0))-1),"")</f>
        <v/>
      </c>
      <c r="J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63.7</v>
      </c>
      <c r="E1120" s="18" t="n">
        <v>66.5</v>
      </c>
      <c r="F1120" s="18" t="n">
        <v>95.2</v>
      </c>
      <c r="G1120" s="18" t="n">
        <v>37.4</v>
      </c>
      <c r="H1120" s="18">
        <f>IF(D1120="","",D1120*'参数与说明'!$B$6/45.3592)</f>
        <v/>
      </c>
      <c r="I1120" s="19">
        <f>IFERROR(IF(D1120="","",D1120/INDEX($D:$D,MATCH(EDATE($A1120,-1),$A:$A,0))-1),"")</f>
        <v/>
      </c>
      <c r="J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64.40000000000001</v>
      </c>
      <c r="E1121" s="14" t="n">
        <v>67.3</v>
      </c>
      <c r="F1121" s="14" t="n">
        <v>94.90000000000001</v>
      </c>
      <c r="G1121" s="14" t="n">
        <v>36.4</v>
      </c>
      <c r="H1121" s="14">
        <f>IF(D1121="","",D1121*'参数与说明'!$B$6/45.3592)</f>
        <v/>
      </c>
      <c r="I1121" s="15">
        <f>IFERROR(IF(D1121="","",D1121/INDEX($D:$D,MATCH(EDATE($A1121,-1),$A:$A,0))-1),"")</f>
        <v/>
      </c>
      <c r="J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64.5</v>
      </c>
      <c r="E1122" s="18" t="n">
        <v>67.8</v>
      </c>
      <c r="F1122" s="18" t="n">
        <v>92.40000000000001</v>
      </c>
      <c r="G1122" s="18" t="n">
        <v>34.9</v>
      </c>
      <c r="H1122" s="18">
        <f>IF(D1122="","",D1122*'参数与说明'!$B$6/45.3592)</f>
        <v/>
      </c>
      <c r="I1122" s="19">
        <f>IFERROR(IF(D1122="","",D1122/INDEX($D:$D,MATCH(EDATE($A1122,-1),$A:$A,0))-1),"")</f>
        <v/>
      </c>
      <c r="J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64.59999999999999</v>
      </c>
      <c r="E1123" s="14" t="n">
        <v>68.59999999999999</v>
      </c>
      <c r="F1123" s="14" t="n">
        <v>92</v>
      </c>
      <c r="G1123" s="14" t="n">
        <v>33.6</v>
      </c>
      <c r="H1123" s="14">
        <f>IF(D1123="","",D1123*'参数与说明'!$B$6/45.3592)</f>
        <v/>
      </c>
      <c r="I1123" s="15">
        <f>IFERROR(IF(D1123="","",D1123/INDEX($D:$D,MATCH(EDATE($A1123,-1),$A:$A,0))-1),"")</f>
        <v/>
      </c>
      <c r="J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67.3</v>
      </c>
      <c r="E1124" s="18" t="n">
        <v>71.90000000000001</v>
      </c>
      <c r="F1124" s="18" t="n">
        <v>91.90000000000001</v>
      </c>
      <c r="G1124" s="18" t="n">
        <v>33</v>
      </c>
      <c r="H1124" s="18">
        <f>IF(D1124="","",D1124*'参数与说明'!$B$6/45.3592)</f>
        <v/>
      </c>
      <c r="I1124" s="19">
        <f>IFERROR(IF(D1124="","",D1124/INDEX($D:$D,MATCH(EDATE($A1124,-1),$A:$A,0))-1),"")</f>
        <v/>
      </c>
      <c r="J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70.40000000000001</v>
      </c>
      <c r="E1125" s="14" t="n">
        <v>75</v>
      </c>
      <c r="F1125" s="14" t="n">
        <v>95.3</v>
      </c>
      <c r="G1125" s="14" t="n">
        <v>34.6</v>
      </c>
      <c r="H1125" s="14">
        <f>IF(D1125="","",D1125*'参数与说明'!$B$6/45.3592)</f>
        <v/>
      </c>
      <c r="I1125" s="15">
        <f>IFERROR(IF(D1125="","",D1125/INDEX($D:$D,MATCH(EDATE($A1125,-1),$A:$A,0))-1),"")</f>
        <v/>
      </c>
      <c r="J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72.90000000000001</v>
      </c>
      <c r="E1126" s="18" t="n">
        <v>77.7</v>
      </c>
      <c r="F1126" s="18" t="n">
        <v>96.8</v>
      </c>
      <c r="G1126" s="18" t="n">
        <v>36.9</v>
      </c>
      <c r="H1126" s="18">
        <f>IF(D1126="","",D1126*'参数与说明'!$B$6/45.3592)</f>
        <v/>
      </c>
      <c r="I1126" s="19">
        <f>IFERROR(IF(D1126="","",D1126/INDEX($D:$D,MATCH(EDATE($A1126,-1),$A:$A,0))-1),"")</f>
        <v/>
      </c>
      <c r="J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73.90000000000001</v>
      </c>
      <c r="E1127" s="14" t="n">
        <v>78.2</v>
      </c>
      <c r="F1127" s="14" t="n">
        <v>97.2</v>
      </c>
      <c r="G1127" s="14" t="n">
        <v>38.9</v>
      </c>
      <c r="H1127" s="14">
        <f>IF(D1127="","",D1127*'参数与说明'!$B$6/45.3592)</f>
        <v/>
      </c>
      <c r="I1127" s="15">
        <f>IFERROR(IF(D1127="","",D1127/INDEX($D:$D,MATCH(EDATE($A1127,-1),$A:$A,0))-1),"")</f>
        <v/>
      </c>
      <c r="J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72.59999999999999</v>
      </c>
      <c r="E1128" s="18" t="n">
        <v>76.7</v>
      </c>
      <c r="F1128" s="18" t="n">
        <v>96.7</v>
      </c>
      <c r="G1128" s="18" t="n">
        <v>39.5</v>
      </c>
      <c r="H1128" s="18">
        <f>IF(D1128="","",D1128*'参数与说明'!$B$6/45.3592)</f>
        <v/>
      </c>
      <c r="I1128" s="19">
        <f>IFERROR(IF(D1128="","",D1128/INDEX($D:$D,MATCH(EDATE($A1128,-1),$A:$A,0))-1),"")</f>
        <v/>
      </c>
      <c r="J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74.5</v>
      </c>
      <c r="E1129" s="14" t="n">
        <v>78.8</v>
      </c>
      <c r="F1129" s="14" t="n">
        <v>98.90000000000001</v>
      </c>
      <c r="G1129" s="14" t="n">
        <v>40.2</v>
      </c>
      <c r="H1129" s="14">
        <f>IF(D1129="","",D1129*'参数与说明'!$B$6/45.3592)</f>
        <v/>
      </c>
      <c r="I1129" s="15">
        <f>IFERROR(IF(D1129="","",D1129/INDEX($D:$D,MATCH(EDATE($A1129,-1),$A:$A,0))-1),"")</f>
        <v/>
      </c>
      <c r="J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75.5</v>
      </c>
      <c r="E1130" s="18" t="n">
        <v>79.59999999999999</v>
      </c>
      <c r="F1130" s="18" t="n">
        <v>100</v>
      </c>
      <c r="G1130" s="18" t="n">
        <v>42.4</v>
      </c>
      <c r="H1130" s="18">
        <f>IF(D1130="","",D1130*'参数与说明'!$B$6/45.3592)</f>
        <v/>
      </c>
      <c r="I1130" s="19">
        <f>IFERROR(IF(D1130="","",D1130/INDEX($D:$D,MATCH(EDATE($A1130,-1),$A:$A,0))-1),"")</f>
        <v/>
      </c>
      <c r="J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74.90000000000001</v>
      </c>
      <c r="E1131" s="14" t="n">
        <v>78.59999999999999</v>
      </c>
      <c r="F1131" s="14" t="n">
        <v>101</v>
      </c>
      <c r="G1131" s="14" t="n">
        <v>41.9</v>
      </c>
      <c r="H1131" s="14">
        <f>IF(D1131="","",D1131*'参数与说明'!$B$6/45.3592)</f>
        <v/>
      </c>
      <c r="I1131" s="15">
        <f>IFERROR(IF(D1131="","",D1131/INDEX($D:$D,MATCH(EDATE($A1131,-1),$A:$A,0))-1),"")</f>
        <v/>
      </c>
      <c r="J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75.8</v>
      </c>
      <c r="E1132" s="18" t="n">
        <v>78.90000000000001</v>
      </c>
      <c r="F1132" s="18" t="n">
        <v>102</v>
      </c>
      <c r="G1132" s="18" t="n">
        <v>44.9</v>
      </c>
      <c r="H1132" s="18">
        <f>IF(D1132="","",D1132*'参数与说明'!$B$6/45.3592)</f>
        <v/>
      </c>
      <c r="I1132" s="19">
        <f>IFERROR(IF(D1132="","",D1132/INDEX($D:$D,MATCH(EDATE($A1132,-1),$A:$A,0))-1),"")</f>
        <v/>
      </c>
      <c r="J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79.3</v>
      </c>
      <c r="E1133" s="14" t="n">
        <v>82.90000000000001</v>
      </c>
      <c r="F1133" s="14" t="n">
        <v>106</v>
      </c>
      <c r="G1133" s="14" t="n">
        <v>44.5</v>
      </c>
      <c r="H1133" s="14">
        <f>IF(D1133="","",D1133*'参数与说明'!$B$6/45.3592)</f>
        <v/>
      </c>
      <c r="I1133" s="15">
        <f>IFERROR(IF(D1133="","",D1133/INDEX($D:$D,MATCH(EDATE($A1133,-1),$A:$A,0))-1),"")</f>
        <v/>
      </c>
      <c r="J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84.90000000000001</v>
      </c>
      <c r="E1134" s="18" t="n">
        <v>89.3</v>
      </c>
      <c r="F1134" s="18" t="n">
        <v>109</v>
      </c>
      <c r="G1134" s="18" t="n">
        <v>44.8</v>
      </c>
      <c r="H1134" s="18">
        <f>IF(D1134="","",D1134*'参数与说明'!$B$6/45.3592)</f>
        <v/>
      </c>
      <c r="I1134" s="19">
        <f>IFERROR(IF(D1134="","",D1134/INDEX($D:$D,MATCH(EDATE($A1134,-1),$A:$A,0))-1),"")</f>
        <v/>
      </c>
      <c r="J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91.5</v>
      </c>
      <c r="E1135" s="14" t="n">
        <v>97.8</v>
      </c>
      <c r="F1135" s="14" t="n">
        <v>112</v>
      </c>
      <c r="G1135" s="14" t="n">
        <v>44.6</v>
      </c>
      <c r="H1135" s="14">
        <f>IF(D1135="","",D1135*'参数与说明'!$B$6/45.3592)</f>
        <v/>
      </c>
      <c r="I1135" s="15">
        <f>IFERROR(IF(D1135="","",D1135/INDEX($D:$D,MATCH(EDATE($A1135,-1),$A:$A,0))-1),"")</f>
        <v/>
      </c>
      <c r="J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93.40000000000001</v>
      </c>
      <c r="E1136" s="18" t="n">
        <v>99.90000000000001</v>
      </c>
      <c r="F1136" s="18" t="n">
        <v>111</v>
      </c>
      <c r="G1136" s="18" t="n">
        <v>47.7</v>
      </c>
      <c r="H1136" s="18">
        <f>IF(D1136="","",D1136*'参数与说明'!$B$6/45.3592)</f>
        <v/>
      </c>
      <c r="I1136" s="19">
        <f>IFERROR(IF(D1136="","",D1136/INDEX($D:$D,MATCH(EDATE($A1136,-1),$A:$A,0))-1),"")</f>
        <v/>
      </c>
      <c r="J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90.40000000000001</v>
      </c>
      <c r="E1137" s="14" t="n">
        <v>95.59999999999999</v>
      </c>
      <c r="F1137" s="14" t="n">
        <v>112</v>
      </c>
      <c r="G1137" s="14" t="n">
        <v>49.2</v>
      </c>
      <c r="H1137" s="14">
        <f>IF(D1137="","",D1137*'参数与说明'!$B$6/45.3592)</f>
        <v/>
      </c>
      <c r="I1137" s="15">
        <f>IFERROR(IF(D1137="","",D1137/INDEX($D:$D,MATCH(EDATE($A1137,-1),$A:$A,0))-1),"")</f>
        <v/>
      </c>
      <c r="J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81.09999999999999</v>
      </c>
      <c r="E1138" s="18" t="n">
        <v>85.5</v>
      </c>
      <c r="F1138" s="18" t="n">
        <v>110</v>
      </c>
      <c r="G1138" s="18" t="n">
        <v>46.1</v>
      </c>
      <c r="H1138" s="18">
        <f>IF(D1138="","",D1138*'参数与说明'!$B$6/45.3592)</f>
        <v/>
      </c>
      <c r="I1138" s="19">
        <f>IFERROR(IF(D1138="","",D1138/INDEX($D:$D,MATCH(EDATE($A1138,-1),$A:$A,0))-1),"")</f>
        <v/>
      </c>
      <c r="J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78.5</v>
      </c>
      <c r="E1139" s="14" t="n">
        <v>82.3</v>
      </c>
      <c r="F1139" s="14" t="n">
        <v>111</v>
      </c>
      <c r="G1139" s="14" t="n">
        <v>46</v>
      </c>
      <c r="H1139" s="14">
        <f>IF(D1139="","",D1139*'参数与说明'!$B$6/45.3592)</f>
        <v/>
      </c>
      <c r="I1139" s="15">
        <f>IFERROR(IF(D1139="","",D1139/INDEX($D:$D,MATCH(EDATE($A1139,-1),$A:$A,0))-1),"")</f>
        <v/>
      </c>
      <c r="J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83.7</v>
      </c>
      <c r="E1140" s="18" t="n">
        <v>88</v>
      </c>
      <c r="F1140" s="18" t="n">
        <v>115</v>
      </c>
      <c r="G1140" s="18" t="n">
        <v>46.5</v>
      </c>
      <c r="H1140" s="18">
        <f>IF(D1140="","",D1140*'参数与说明'!$B$6/45.3592)</f>
        <v/>
      </c>
      <c r="I1140" s="19">
        <f>IFERROR(IF(D1140="","",D1140/INDEX($D:$D,MATCH(EDATE($A1140,-1),$A:$A,0))-1),"")</f>
        <v/>
      </c>
      <c r="J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84.90000000000001</v>
      </c>
      <c r="E1141" s="14" t="n">
        <v>88.90000000000001</v>
      </c>
      <c r="F1141" s="14" t="n">
        <v>117</v>
      </c>
      <c r="G1141" s="14" t="n">
        <v>50.6</v>
      </c>
      <c r="H1141" s="14">
        <f>IF(D1141="","",D1141*'参数与说明'!$B$6/45.3592)</f>
        <v/>
      </c>
      <c r="I1141" s="15">
        <f>IFERROR(IF(D1141="","",D1141/INDEX($D:$D,MATCH(EDATE($A1141,-1),$A:$A,0))-1),"")</f>
        <v/>
      </c>
      <c r="J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88.5</v>
      </c>
      <c r="E1142" s="18" t="n">
        <v>92.59999999999999</v>
      </c>
      <c r="F1142" s="18" t="n">
        <v>121</v>
      </c>
      <c r="G1142" s="18" t="n">
        <v>52.5</v>
      </c>
      <c r="H1142" s="18">
        <f>IF(D1142="","",D1142*'参数与说明'!$B$6/45.3592)</f>
        <v/>
      </c>
      <c r="I1142" s="19">
        <f>IFERROR(IF(D1142="","",D1142/INDEX($D:$D,MATCH(EDATE($A1142,-1),$A:$A,0))-1),"")</f>
        <v/>
      </c>
      <c r="J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89.8</v>
      </c>
      <c r="E1143" s="14" t="n">
        <v>93.8</v>
      </c>
      <c r="F1143" s="14" t="n">
        <v>125</v>
      </c>
      <c r="G1143" s="14" t="n">
        <v>53.7</v>
      </c>
      <c r="H1143" s="14">
        <f>IF(D1143="","",D1143*'参数与说明'!$B$6/45.3592)</f>
        <v/>
      </c>
      <c r="I1143" s="15">
        <f>IFERROR(IF(D1143="","",D1143/INDEX($D:$D,MATCH(EDATE($A1143,-1),$A:$A,0))-1),"")</f>
        <v/>
      </c>
      <c r="J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88</v>
      </c>
      <c r="E1144" s="18" t="n">
        <v>91.40000000000001</v>
      </c>
      <c r="F1144" s="18" t="n">
        <v>130</v>
      </c>
      <c r="G1144" s="18" t="n">
        <v>56.3</v>
      </c>
      <c r="H1144" s="18">
        <f>IF(D1144="","",D1144*'参数与说明'!$B$6/45.3592)</f>
        <v/>
      </c>
      <c r="I1144" s="19">
        <f>IFERROR(IF(D1144="","",D1144/INDEX($D:$D,MATCH(EDATE($A1144,-1),$A:$A,0))-1),"")</f>
        <v/>
      </c>
      <c r="J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87.59999999999999</v>
      </c>
      <c r="E1145" s="14" t="n">
        <v>91</v>
      </c>
      <c r="F1145" s="14" t="n">
        <v>131</v>
      </c>
      <c r="G1145" s="14" t="n">
        <v>54.7</v>
      </c>
      <c r="H1145" s="14">
        <f>IF(D1145="","",D1145*'参数与说明'!$B$6/45.3592)</f>
        <v/>
      </c>
      <c r="I1145" s="15">
        <f>IFERROR(IF(D1145="","",D1145/INDEX($D:$D,MATCH(EDATE($A1145,-1),$A:$A,0))-1),"")</f>
        <v/>
      </c>
      <c r="J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85.90000000000001</v>
      </c>
      <c r="E1146" s="18" t="n">
        <v>89.5</v>
      </c>
      <c r="F1146" s="18" t="n">
        <v>128</v>
      </c>
      <c r="G1146" s="18" t="n">
        <v>53.1</v>
      </c>
      <c r="H1146" s="18">
        <f>IF(D1146="","",D1146*'参数与说明'!$B$6/45.3592)</f>
        <v/>
      </c>
      <c r="I1146" s="19">
        <f>IFERROR(IF(D1146="","",D1146/INDEX($D:$D,MATCH(EDATE($A1146,-1),$A:$A,0))-1),"")</f>
        <v/>
      </c>
      <c r="J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86.5</v>
      </c>
      <c r="E1147" s="14" t="n">
        <v>91.09999999999999</v>
      </c>
      <c r="F1147" s="14" t="n">
        <v>126</v>
      </c>
      <c r="G1147" s="14" t="n">
        <v>49.8</v>
      </c>
      <c r="H1147" s="14">
        <f>IF(D1147="","",D1147*'参数与说明'!$B$6/45.3592)</f>
        <v/>
      </c>
      <c r="I1147" s="15">
        <f>IFERROR(IF(D1147="","",D1147/INDEX($D:$D,MATCH(EDATE($A1147,-1),$A:$A,0))-1),"")</f>
        <v/>
      </c>
      <c r="J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85.3</v>
      </c>
      <c r="E1148" s="18" t="n">
        <v>90.2</v>
      </c>
      <c r="F1148" s="18" t="n">
        <v>123</v>
      </c>
      <c r="G1148" s="18" t="n">
        <v>48.7</v>
      </c>
      <c r="H1148" s="18">
        <f>IF(D1148="","",D1148*'参数与说明'!$B$6/45.3592)</f>
        <v/>
      </c>
      <c r="I1148" s="19">
        <f>IFERROR(IF(D1148="","",D1148/INDEX($D:$D,MATCH(EDATE($A1148,-1),$A:$A,0))-1),"")</f>
        <v/>
      </c>
      <c r="J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86.7</v>
      </c>
      <c r="E1149" s="14" t="n">
        <v>91.90000000000001</v>
      </c>
      <c r="F1149" s="14" t="n">
        <v>122</v>
      </c>
      <c r="G1149" s="14" t="n">
        <v>48.6</v>
      </c>
      <c r="H1149" s="14">
        <f>IF(D1149="","",D1149*'参数与说明'!$B$6/45.3592)</f>
        <v/>
      </c>
      <c r="I1149" s="15">
        <f>IFERROR(IF(D1149="","",D1149/INDEX($D:$D,MATCH(EDATE($A1149,-1),$A:$A,0))-1),"")</f>
        <v/>
      </c>
      <c r="J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89.09999999999999</v>
      </c>
      <c r="E1150" s="18" t="n">
        <v>94.2</v>
      </c>
      <c r="F1150" s="18" t="n">
        <v>126</v>
      </c>
      <c r="G1150" s="18" t="n">
        <v>50.5</v>
      </c>
      <c r="H1150" s="18">
        <f>IF(D1150="","",D1150*'参数与说明'!$B$6/45.3592)</f>
        <v/>
      </c>
      <c r="I1150" s="19">
        <f>IFERROR(IF(D1150="","",D1150/INDEX($D:$D,MATCH(EDATE($A1150,-1),$A:$A,0))-1),"")</f>
        <v/>
      </c>
      <c r="J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88.8</v>
      </c>
      <c r="E1151" s="14" t="n">
        <v>93.09999999999999</v>
      </c>
      <c r="F1151" s="14" t="n">
        <v>129</v>
      </c>
      <c r="G1151" s="14" t="n">
        <v>52.5</v>
      </c>
      <c r="H1151" s="14">
        <f>IF(D1151="","",D1151*'参数与说明'!$B$6/45.3592)</f>
        <v/>
      </c>
      <c r="I1151" s="15">
        <f>IFERROR(IF(D1151="","",D1151/INDEX($D:$D,MATCH(EDATE($A1151,-1),$A:$A,0))-1),"")</f>
        <v/>
      </c>
      <c r="J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91</v>
      </c>
      <c r="E1152" s="18" t="n">
        <v>95.2</v>
      </c>
      <c r="F1152" s="18" t="n">
        <v>136</v>
      </c>
      <c r="G1152" s="18" t="n">
        <v>55</v>
      </c>
      <c r="H1152" s="18">
        <f>IF(D1152="","",D1152*'参数与说明'!$B$6/45.3592)</f>
        <v/>
      </c>
      <c r="I1152" s="19">
        <f>IFERROR(IF(D1152="","",D1152/INDEX($D:$D,MATCH(EDATE($A1152,-1),$A:$A,0))-1),"")</f>
        <v/>
      </c>
      <c r="J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93.7</v>
      </c>
      <c r="E1153" s="14" t="n">
        <v>98.09999999999999</v>
      </c>
      <c r="F1153" s="14" t="n">
        <v>141</v>
      </c>
      <c r="G1153" s="14" t="n">
        <v>57</v>
      </c>
      <c r="H1153" s="14">
        <f>IF(D1153="","",D1153*'参数与说明'!$B$6/45.3592)</f>
        <v/>
      </c>
      <c r="I1153" s="15">
        <f>IFERROR(IF(D1153="","",D1153/INDEX($D:$D,MATCH(EDATE($A1153,-1),$A:$A,0))-1),"")</f>
        <v/>
      </c>
      <c r="J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92.09999999999999</v>
      </c>
      <c r="E1154" s="18" t="n">
        <v>96.09999999999999</v>
      </c>
      <c r="F1154" s="18" t="n">
        <v>143</v>
      </c>
      <c r="G1154" s="18" t="n">
        <v>58.3</v>
      </c>
      <c r="H1154" s="18">
        <f>IF(D1154="","",D1154*'参数与说明'!$B$6/45.3592)</f>
        <v/>
      </c>
      <c r="I1154" s="19">
        <f>IFERROR(IF(D1154="","",D1154/INDEX($D:$D,MATCH(EDATE($A1154,-1),$A:$A,0))-1),"")</f>
        <v/>
      </c>
      <c r="J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88</v>
      </c>
      <c r="E1155" s="14" t="n">
        <v>91.5</v>
      </c>
      <c r="F1155" s="14" t="n">
        <v>140</v>
      </c>
      <c r="G1155" s="14" t="n">
        <v>56.8</v>
      </c>
      <c r="H1155" s="14">
        <f>IF(D1155="","",D1155*'参数与说明'!$B$6/45.3592)</f>
        <v/>
      </c>
      <c r="I1155" s="15">
        <f>IFERROR(IF(D1155="","",D1155/INDEX($D:$D,MATCH(EDATE($A1155,-1),$A:$A,0))-1),"")</f>
        <v/>
      </c>
      <c r="J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85</v>
      </c>
      <c r="E1156" s="18" t="n">
        <v>88.2</v>
      </c>
      <c r="F1156" s="18" t="n">
        <v>133</v>
      </c>
      <c r="G1156" s="18" t="n">
        <v>53.8</v>
      </c>
      <c r="H1156" s="18">
        <f>IF(D1156="","",D1156*'参数与说明'!$B$6/45.3592)</f>
        <v/>
      </c>
      <c r="I1156" s="19">
        <f>IFERROR(IF(D1156="","",D1156/INDEX($D:$D,MATCH(EDATE($A1156,-1),$A:$A,0))-1),"")</f>
        <v/>
      </c>
      <c r="J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84.40000000000001</v>
      </c>
      <c r="E1157" s="14" t="n">
        <v>87.7</v>
      </c>
      <c r="F1157" s="14" t="n">
        <v>133</v>
      </c>
      <c r="G1157" s="14" t="n">
        <v>51.4</v>
      </c>
      <c r="H1157" s="14">
        <f>IF(D1157="","",D1157*'参数与说明'!$B$6/45.3592)</f>
        <v/>
      </c>
      <c r="I1157" s="15">
        <f>IFERROR(IF(D1157="","",D1157/INDEX($D:$D,MATCH(EDATE($A1157,-1),$A:$A,0))-1),"")</f>
        <v/>
      </c>
      <c r="J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88</v>
      </c>
      <c r="E1158" s="18" t="n">
        <v>92.09999999999999</v>
      </c>
      <c r="F1158" s="18" t="n">
        <v>135</v>
      </c>
      <c r="G1158" s="18" t="n">
        <v>49.8</v>
      </c>
      <c r="H1158" s="18">
        <f>IF(D1158="","",D1158*'参数与说明'!$B$6/45.3592)</f>
        <v/>
      </c>
      <c r="I1158" s="19">
        <f>IFERROR(IF(D1158="","",D1158/INDEX($D:$D,MATCH(EDATE($A1158,-1),$A:$A,0))-1),"")</f>
        <v/>
      </c>
      <c r="J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90.40000000000001</v>
      </c>
      <c r="E1159" s="14" t="n">
        <v>96.09999999999999</v>
      </c>
      <c r="F1159" s="14" t="n">
        <v>135</v>
      </c>
      <c r="G1159" s="14" t="n">
        <v>46.6</v>
      </c>
      <c r="H1159" s="14">
        <f>IF(D1159="","",D1159*'参数与说明'!$B$6/45.3592)</f>
        <v/>
      </c>
      <c r="I1159" s="15">
        <f>IFERROR(IF(D1159="","",D1159/INDEX($D:$D,MATCH(EDATE($A1159,-1),$A:$A,0))-1),"")</f>
        <v/>
      </c>
      <c r="J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90.8</v>
      </c>
      <c r="E1160" s="18" t="n">
        <v>97.09999999999999</v>
      </c>
      <c r="F1160" s="18" t="n">
        <v>137</v>
      </c>
      <c r="G1160" s="18" t="n">
        <v>45.9</v>
      </c>
      <c r="H1160" s="18">
        <f>IF(D1160="","",D1160*'参数与说明'!$B$6/45.3592)</f>
        <v/>
      </c>
      <c r="I1160" s="19">
        <f>IFERROR(IF(D1160="","",D1160/INDEX($D:$D,MATCH(EDATE($A1160,-1),$A:$A,0))-1),"")</f>
        <v/>
      </c>
      <c r="J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93.3</v>
      </c>
      <c r="E1161" s="14" t="n">
        <v>99.59999999999999</v>
      </c>
      <c r="F1161" s="14" t="n">
        <v>137</v>
      </c>
      <c r="G1161" s="14" t="n">
        <v>47.1</v>
      </c>
      <c r="H1161" s="14">
        <f>IF(D1161="","",D1161*'参数与说明'!$B$6/45.3592)</f>
        <v/>
      </c>
      <c r="I1161" s="15">
        <f>IFERROR(IF(D1161="","",D1161/INDEX($D:$D,MATCH(EDATE($A1161,-1),$A:$A,0))-1),"")</f>
        <v/>
      </c>
      <c r="J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95</v>
      </c>
      <c r="E1162" s="18" t="n">
        <v>101</v>
      </c>
      <c r="F1162" s="18" t="n">
        <v>141</v>
      </c>
      <c r="G1162" s="18" t="n">
        <v>47.2</v>
      </c>
      <c r="H1162" s="18">
        <f>IF(D1162="","",D1162*'参数与说明'!$B$6/45.3592)</f>
        <v/>
      </c>
      <c r="I1162" s="19">
        <f>IFERROR(IF(D1162="","",D1162/INDEX($D:$D,MATCH(EDATE($A1162,-1),$A:$A,0))-1),"")</f>
        <v/>
      </c>
      <c r="J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92.40000000000001</v>
      </c>
      <c r="E1163" s="14" t="n">
        <v>97.59999999999999</v>
      </c>
      <c r="F1163" s="14" t="n">
        <v>143</v>
      </c>
      <c r="G1163" s="14" t="n">
        <v>49.5</v>
      </c>
      <c r="H1163" s="14">
        <f>IF(D1163="","",D1163*'参数与说明'!$B$6/45.3592)</f>
        <v/>
      </c>
      <c r="I1163" s="15">
        <f>IFERROR(IF(D1163="","",D1163/INDEX($D:$D,MATCH(EDATE($A1163,-1),$A:$A,0))-1),"")</f>
        <v/>
      </c>
      <c r="J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87.90000000000001</v>
      </c>
      <c r="E1164" s="18" t="n">
        <v>92.8</v>
      </c>
      <c r="F1164" s="18" t="n">
        <v>139</v>
      </c>
      <c r="G1164" s="18" t="n">
        <v>49.5</v>
      </c>
      <c r="H1164" s="18">
        <f>IF(D1164="","",D1164*'参数与说明'!$B$6/45.3592)</f>
        <v/>
      </c>
      <c r="I1164" s="19">
        <f>IFERROR(IF(D1164="","",D1164/INDEX($D:$D,MATCH(EDATE($A1164,-1),$A:$A,0))-1),"")</f>
        <v/>
      </c>
      <c r="J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84.8</v>
      </c>
      <c r="E1165" s="14" t="n">
        <v>89.2</v>
      </c>
      <c r="F1165" s="14" t="n">
        <v>137</v>
      </c>
      <c r="G1165" s="14" t="n">
        <v>48.4</v>
      </c>
      <c r="H1165" s="14">
        <f>IF(D1165="","",D1165*'参数与说明'!$B$6/45.3592)</f>
        <v/>
      </c>
      <c r="I1165" s="15">
        <f>IFERROR(IF(D1165="","",D1165/INDEX($D:$D,MATCH(EDATE($A1165,-1),$A:$A,0))-1),"")</f>
        <v/>
      </c>
      <c r="J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82.2</v>
      </c>
      <c r="E1166" s="18" t="n">
        <v>86.3</v>
      </c>
      <c r="F1166" s="18" t="n">
        <v>134</v>
      </c>
      <c r="G1166" s="18" t="n">
        <v>47.4</v>
      </c>
      <c r="H1166" s="18">
        <f>IF(D1166="","",D1166*'参数与说明'!$B$6/45.3592)</f>
        <v/>
      </c>
      <c r="I1166" s="19">
        <f>IFERROR(IF(D1166="","",D1166/INDEX($D:$D,MATCH(EDATE($A1166,-1),$A:$A,0))-1),"")</f>
        <v/>
      </c>
      <c r="J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84</v>
      </c>
      <c r="E1167" s="14" t="n">
        <v>88.2</v>
      </c>
      <c r="F1167" s="14" t="n">
        <v>135</v>
      </c>
      <c r="G1167" s="14" t="n">
        <v>46.8</v>
      </c>
      <c r="H1167" s="14">
        <f>IF(D1167="","",D1167*'参数与说明'!$B$6/45.3592)</f>
        <v/>
      </c>
      <c r="I1167" s="15">
        <f>IFERROR(IF(D1167="","",D1167/INDEX($D:$D,MATCH(EDATE($A1167,-1),$A:$A,0))-1),"")</f>
        <v/>
      </c>
      <c r="J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85.8</v>
      </c>
      <c r="E1168" s="18" t="n">
        <v>90</v>
      </c>
      <c r="F1168" s="18" t="n">
        <v>137</v>
      </c>
      <c r="G1168" s="18" t="n">
        <v>46.4</v>
      </c>
      <c r="H1168" s="18">
        <f>IF(D1168="","",D1168*'参数与说明'!$B$6/45.3592)</f>
        <v/>
      </c>
      <c r="I1168" s="19">
        <f>IFERROR(IF(D1168="","",D1168/INDEX($D:$D,MATCH(EDATE($A1168,-1),$A:$A,0))-1),"")</f>
        <v/>
      </c>
      <c r="J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87.2</v>
      </c>
      <c r="E1169" s="14" t="n">
        <v>91.5</v>
      </c>
      <c r="F1169" s="14" t="n">
        <v>136</v>
      </c>
      <c r="G1169" s="14" t="n">
        <v>46.8</v>
      </c>
      <c r="H1169" s="14">
        <f>IF(D1169="","",D1169*'参数与说明'!$B$6/45.3592)</f>
        <v/>
      </c>
      <c r="I1169" s="15">
        <f>IFERROR(IF(D1169="","",D1169/INDEX($D:$D,MATCH(EDATE($A1169,-1),$A:$A,0))-1),"")</f>
        <v/>
      </c>
      <c r="J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90</v>
      </c>
      <c r="E1170" s="18" t="n">
        <v>95.2</v>
      </c>
      <c r="F1170" s="18" t="n">
        <v>136</v>
      </c>
      <c r="G1170" s="18" t="n">
        <v>47.1</v>
      </c>
      <c r="H1170" s="18">
        <f>IF(D1170="","",D1170*'参数与说明'!$B$6/45.3592)</f>
        <v/>
      </c>
      <c r="I1170" s="19">
        <f>IFERROR(IF(D1170="","",D1170/INDEX($D:$D,MATCH(EDATE($A1170,-1),$A:$A,0))-1),"")</f>
        <v/>
      </c>
      <c r="J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88.3</v>
      </c>
      <c r="E1171" s="14" t="n">
        <v>93.7</v>
      </c>
      <c r="F1171" s="14" t="n">
        <v>128</v>
      </c>
      <c r="G1171" s="14" t="n">
        <v>46</v>
      </c>
      <c r="H1171" s="14">
        <f>IF(D1171="","",D1171*'参数与说明'!$B$6/45.3592)</f>
        <v/>
      </c>
      <c r="I1171" s="15">
        <f>IFERROR(IF(D1171="","",D1171/INDEX($D:$D,MATCH(EDATE($A1171,-1),$A:$A,0))-1),"")</f>
        <v/>
      </c>
      <c r="J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84.40000000000001</v>
      </c>
      <c r="E1172" s="18" t="n">
        <v>90</v>
      </c>
      <c r="F1172" s="18" t="n">
        <v>119</v>
      </c>
      <c r="G1172" s="18" t="n">
        <v>43.6</v>
      </c>
      <c r="H1172" s="18">
        <f>IF(D1172="","",D1172*'参数与说明'!$B$6/45.3592)</f>
        <v/>
      </c>
      <c r="I1172" s="19">
        <f>IFERROR(IF(D1172="","",D1172/INDEX($D:$D,MATCH(EDATE($A1172,-1),$A:$A,0))-1),"")</f>
        <v/>
      </c>
      <c r="J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83.09999999999999</v>
      </c>
      <c r="E1173" s="14" t="n">
        <v>89</v>
      </c>
      <c r="F1173" s="14" t="n">
        <v>116</v>
      </c>
      <c r="G1173" s="14" t="n">
        <v>42.2</v>
      </c>
      <c r="H1173" s="14">
        <f>IF(D1173="","",D1173*'参数与说明'!$B$6/45.3592)</f>
        <v/>
      </c>
      <c r="I1173" s="15">
        <f>IFERROR(IF(D1173="","",D1173/INDEX($D:$D,MATCH(EDATE($A1173,-1),$A:$A,0))-1),"")</f>
        <v/>
      </c>
      <c r="J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83.7</v>
      </c>
      <c r="E1174" s="18" t="n">
        <v>89.5</v>
      </c>
      <c r="F1174" s="18" t="n">
        <v>114</v>
      </c>
      <c r="G1174" s="18" t="n">
        <v>44.4</v>
      </c>
      <c r="H1174" s="18">
        <f>IF(D1174="","",D1174*'参数与说明'!$B$6/45.3592)</f>
        <v/>
      </c>
      <c r="I1174" s="19">
        <f>IFERROR(IF(D1174="","",D1174/INDEX($D:$D,MATCH(EDATE($A1174,-1),$A:$A,0))-1),"")</f>
        <v/>
      </c>
      <c r="J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86.09999999999999</v>
      </c>
      <c r="E1175" s="14" t="n">
        <v>91.40000000000001</v>
      </c>
      <c r="F1175" s="14" t="n">
        <v>114</v>
      </c>
      <c r="G1175" s="14" t="n">
        <v>47</v>
      </c>
      <c r="H1175" s="14">
        <f>IF(D1175="","",D1175*'参数与说明'!$B$6/45.3592)</f>
        <v/>
      </c>
      <c r="I1175" s="15">
        <f>IFERROR(IF(D1175="","",D1175/INDEX($D:$D,MATCH(EDATE($A1175,-1),$A:$A,0))-1),"")</f>
        <v/>
      </c>
      <c r="J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91.59999999999999</v>
      </c>
      <c r="E1176" s="18" t="n">
        <v>97.7</v>
      </c>
      <c r="F1176" s="18" t="n">
        <v>122</v>
      </c>
      <c r="G1176" s="18" t="n">
        <v>47.2</v>
      </c>
      <c r="H1176" s="18">
        <f>IF(D1176="","",D1176*'参数与说明'!$B$6/45.3592)</f>
        <v/>
      </c>
      <c r="I1176" s="19">
        <f>IFERROR(IF(D1176="","",D1176/INDEX($D:$D,MATCH(EDATE($A1176,-1),$A:$A,0))-1),"")</f>
        <v/>
      </c>
      <c r="J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93.7</v>
      </c>
      <c r="E1177" s="14" t="n">
        <v>99.8</v>
      </c>
      <c r="F1177" s="14" t="n">
        <v>125</v>
      </c>
      <c r="G1177" s="14" t="n">
        <v>49.2</v>
      </c>
      <c r="H1177" s="14">
        <f>IF(D1177="","",D1177*'参数与说明'!$B$6/45.3592)</f>
        <v/>
      </c>
      <c r="I1177" s="15">
        <f>IFERROR(IF(D1177="","",D1177/INDEX($D:$D,MATCH(EDATE($A1177,-1),$A:$A,0))-1),"")</f>
        <v/>
      </c>
      <c r="J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92.8</v>
      </c>
      <c r="E1178" s="18" t="n">
        <v>98.09999999999999</v>
      </c>
      <c r="F1178" s="18" t="n">
        <v>124</v>
      </c>
      <c r="G1178" s="18" t="n">
        <v>51.7</v>
      </c>
      <c r="H1178" s="18">
        <f>IF(D1178="","",D1178*'参数与说明'!$B$6/45.3592)</f>
        <v/>
      </c>
      <c r="I1178" s="19">
        <f>IFERROR(IF(D1178="","",D1178/INDEX($D:$D,MATCH(EDATE($A1178,-1),$A:$A,0))-1),"")</f>
        <v/>
      </c>
      <c r="J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88.8</v>
      </c>
      <c r="E1179" s="14" t="n">
        <v>93.2</v>
      </c>
      <c r="F1179" s="14" t="n">
        <v>124</v>
      </c>
      <c r="G1179" s="14" t="n">
        <v>50.1</v>
      </c>
      <c r="H1179" s="14">
        <f>IF(D1179="","",D1179*'参数与说明'!$B$6/45.3592)</f>
        <v/>
      </c>
      <c r="I1179" s="15">
        <f>IFERROR(IF(D1179="","",D1179/INDEX($D:$D,MATCH(EDATE($A1179,-1),$A:$A,0))-1),"")</f>
        <v/>
      </c>
      <c r="J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89</v>
      </c>
      <c r="E1180" s="18" t="n">
        <v>93</v>
      </c>
      <c r="F1180" s="18" t="n">
        <v>126</v>
      </c>
      <c r="G1180" s="18" t="n">
        <v>51.5</v>
      </c>
      <c r="H1180" s="18">
        <f>IF(D1180="","",D1180*'参数与说明'!$B$6/45.3592)</f>
        <v/>
      </c>
      <c r="I1180" s="19">
        <f>IFERROR(IF(D1180="","",D1180/INDEX($D:$D,MATCH(EDATE($A1180,-1),$A:$A,0))-1),"")</f>
        <v/>
      </c>
      <c r="J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91.40000000000001</v>
      </c>
      <c r="E1181" s="14" t="n">
        <v>95.7</v>
      </c>
      <c r="F1181" s="14" t="n">
        <v>127</v>
      </c>
      <c r="G1181" s="14" t="n">
        <v>51.5</v>
      </c>
      <c r="H1181" s="14">
        <f>IF(D1181="","",D1181*'参数与说明'!$B$6/45.3592)</f>
        <v/>
      </c>
      <c r="I1181" s="15">
        <f>IFERROR(IF(D1181="","",D1181/INDEX($D:$D,MATCH(EDATE($A1181,-1),$A:$A,0))-1),"")</f>
        <v/>
      </c>
      <c r="J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93.09999999999999</v>
      </c>
      <c r="E1182" s="18" t="n">
        <v>98.3</v>
      </c>
      <c r="F1182" s="18" t="n">
        <v>126</v>
      </c>
      <c r="G1182" s="18" t="n">
        <v>49.3</v>
      </c>
      <c r="H1182" s="18">
        <f>IF(D1182="","",D1182*'参数与说明'!$B$6/45.3592)</f>
        <v/>
      </c>
      <c r="I1182" s="19">
        <f>IFERROR(IF(D1182="","",D1182/INDEX($D:$D,MATCH(EDATE($A1182,-1),$A:$A,0))-1),"")</f>
        <v/>
      </c>
      <c r="J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90.90000000000001</v>
      </c>
      <c r="E1183" s="14" t="n">
        <v>96.59999999999999</v>
      </c>
      <c r="F1183" s="14" t="n">
        <v>123</v>
      </c>
      <c r="G1183" s="14" t="n">
        <v>46.6</v>
      </c>
      <c r="H1183" s="14">
        <f>IF(D1183="","",D1183*'参数与说明'!$B$6/45.3592)</f>
        <v/>
      </c>
      <c r="I1183" s="15">
        <f>IFERROR(IF(D1183="","",D1183/INDEX($D:$D,MATCH(EDATE($A1183,-1),$A:$A,0))-1),"")</f>
        <v/>
      </c>
      <c r="J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89.90000000000001</v>
      </c>
      <c r="E1184" s="18" t="n">
        <v>96</v>
      </c>
      <c r="F1184" s="18" t="n">
        <v>122</v>
      </c>
      <c r="G1184" s="18" t="n">
        <v>43.9</v>
      </c>
      <c r="H1184" s="18">
        <f>IF(D1184="","",D1184*'参数与说明'!$B$6/45.3592)</f>
        <v/>
      </c>
      <c r="I1184" s="19">
        <f>IFERROR(IF(D1184="","",D1184/INDEX($D:$D,MATCH(EDATE($A1184,-1),$A:$A,0))-1),"")</f>
        <v/>
      </c>
      <c r="J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89.2</v>
      </c>
      <c r="E1185" s="14" t="n">
        <v>95.3</v>
      </c>
      <c r="F1185" s="14" t="n">
        <v>120</v>
      </c>
      <c r="G1185" s="14" t="n">
        <v>45</v>
      </c>
      <c r="H1185" s="14">
        <f>IF(D1185="","",D1185*'参数与说明'!$B$6/45.3592)</f>
        <v/>
      </c>
      <c r="I1185" s="15">
        <f>IFERROR(IF(D1185="","",D1185/INDEX($D:$D,MATCH(EDATE($A1185,-1),$A:$A,0))-1),"")</f>
        <v/>
      </c>
      <c r="J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87.5</v>
      </c>
      <c r="E1186" s="18" t="n">
        <v>93.59999999999999</v>
      </c>
      <c r="F1186" s="18" t="n">
        <v>117</v>
      </c>
      <c r="G1186" s="18" t="n">
        <v>46.6</v>
      </c>
      <c r="H1186" s="18">
        <f>IF(D1186="","",D1186*'参数与说明'!$B$6/45.3592)</f>
        <v/>
      </c>
      <c r="I1186" s="19">
        <f>IFERROR(IF(D1186="","",D1186/INDEX($D:$D,MATCH(EDATE($A1186,-1),$A:$A,0))-1),"")</f>
        <v/>
      </c>
      <c r="J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89</v>
      </c>
      <c r="E1187" s="14" t="n">
        <v>94.3</v>
      </c>
      <c r="F1187" s="14" t="n">
        <v>120</v>
      </c>
      <c r="G1187" s="14" t="n">
        <v>51.7</v>
      </c>
      <c r="H1187" s="14">
        <f>IF(D1187="","",D1187*'参数与说明'!$B$6/45.3592)</f>
        <v/>
      </c>
      <c r="I1187" s="15">
        <f>IFERROR(IF(D1187="","",D1187/INDEX($D:$D,MATCH(EDATE($A1187,-1),$A:$A,0))-1),"")</f>
        <v/>
      </c>
      <c r="J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87.90000000000001</v>
      </c>
      <c r="E1188" s="18" t="n">
        <v>92.90000000000001</v>
      </c>
      <c r="F1188" s="18" t="n">
        <v>118</v>
      </c>
      <c r="G1188" s="18" t="n">
        <v>51.5</v>
      </c>
      <c r="H1188" s="18">
        <f>IF(D1188="","",D1188*'参数与说明'!$B$6/45.3592)</f>
        <v/>
      </c>
      <c r="I1188" s="19">
        <f>IFERROR(IF(D1188="","",D1188/INDEX($D:$D,MATCH(EDATE($A1188,-1),$A:$A,0))-1),"")</f>
        <v/>
      </c>
      <c r="J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86.8</v>
      </c>
      <c r="E1189" s="14" t="n">
        <v>91.8</v>
      </c>
      <c r="F1189" s="14" t="n">
        <v>116</v>
      </c>
      <c r="G1189" s="14" t="n">
        <v>50.7</v>
      </c>
      <c r="H1189" s="14">
        <f>IF(D1189="","",D1189*'参数与说明'!$B$6/45.3592)</f>
        <v/>
      </c>
      <c r="I1189" s="15">
        <f>IFERROR(IF(D1189="","",D1189/INDEX($D:$D,MATCH(EDATE($A1189,-1),$A:$A,0))-1),"")</f>
        <v/>
      </c>
      <c r="J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91.3</v>
      </c>
      <c r="E1190" s="18" t="n">
        <v>96.09999999999999</v>
      </c>
      <c r="F1190" s="18" t="n">
        <v>120</v>
      </c>
      <c r="G1190" s="18" t="n">
        <v>54.1</v>
      </c>
      <c r="H1190" s="18">
        <f>IF(D1190="","",D1190*'参数与说明'!$B$6/45.3592)</f>
        <v/>
      </c>
      <c r="I1190" s="19">
        <f>IFERROR(IF(D1190="","",D1190/INDEX($D:$D,MATCH(EDATE($A1190,-1),$A:$A,0))-1),"")</f>
        <v/>
      </c>
      <c r="J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91.90000000000001</v>
      </c>
      <c r="E1191" s="14" t="n">
        <v>96.5</v>
      </c>
      <c r="F1191" s="14" t="n">
        <v>118</v>
      </c>
      <c r="G1191" s="14" t="n">
        <v>54.4</v>
      </c>
      <c r="H1191" s="14">
        <f>IF(D1191="","",D1191*'参数与说明'!$B$6/45.3592)</f>
        <v/>
      </c>
      <c r="I1191" s="15">
        <f>IFERROR(IF(D1191="","",D1191/INDEX($D:$D,MATCH(EDATE($A1191,-1),$A:$A,0))-1),"")</f>
        <v/>
      </c>
      <c r="J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95</v>
      </c>
      <c r="E1192" s="18" t="n">
        <v>99.59999999999999</v>
      </c>
      <c r="F1192" s="18" t="n">
        <v>114</v>
      </c>
      <c r="G1192" s="18" t="n">
        <v>56.5</v>
      </c>
      <c r="H1192" s="18">
        <f>IF(D1192="","",D1192*'参数与说明'!$B$6/45.3592)</f>
        <v/>
      </c>
      <c r="I1192" s="19">
        <f>IFERROR(IF(D1192="","",D1192/INDEX($D:$D,MATCH(EDATE($A1192,-1),$A:$A,0))-1),"")</f>
        <v/>
      </c>
      <c r="J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95.8</v>
      </c>
      <c r="E1193" s="14" t="n">
        <v>100</v>
      </c>
      <c r="F1193" s="14" t="n">
        <v>117</v>
      </c>
      <c r="G1193" s="14" t="n">
        <v>57.6</v>
      </c>
      <c r="H1193" s="14">
        <f>IF(D1193="","",D1193*'参数与说明'!$B$6/45.3592)</f>
        <v/>
      </c>
      <c r="I1193" s="15">
        <f>IFERROR(IF(D1193="","",D1193/INDEX($D:$D,MATCH(EDATE($A1193,-1),$A:$A,0))-1),"")</f>
        <v/>
      </c>
      <c r="J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94.2</v>
      </c>
      <c r="E1194" s="18" t="n">
        <v>99.3</v>
      </c>
      <c r="F1194" s="18" t="n">
        <v>113</v>
      </c>
      <c r="G1194" s="18" t="n">
        <v>54.8</v>
      </c>
      <c r="H1194" s="18">
        <f>IF(D1194="","",D1194*'参数与说明'!$B$6/45.3592)</f>
        <v/>
      </c>
      <c r="I1194" s="19">
        <f>IFERROR(IF(D1194="","",D1194/INDEX($D:$D,MATCH(EDATE($A1194,-1),$A:$A,0))-1),"")</f>
        <v/>
      </c>
      <c r="J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87.40000000000001</v>
      </c>
      <c r="E1195" s="14" t="n">
        <v>92.90000000000001</v>
      </c>
      <c r="F1195" s="14" t="n">
        <v>106</v>
      </c>
      <c r="G1195" s="14" t="n">
        <v>48.4</v>
      </c>
      <c r="H1195" s="14">
        <f>IF(D1195="","",D1195*'参数与说明'!$B$6/45.3592)</f>
        <v/>
      </c>
      <c r="I1195" s="15">
        <f>IFERROR(IF(D1195="","",D1195/INDEX($D:$D,MATCH(EDATE($A1195,-1),$A:$A,0))-1),"")</f>
        <v/>
      </c>
      <c r="J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84.3</v>
      </c>
      <c r="E1196" s="18" t="n">
        <v>90.90000000000001</v>
      </c>
      <c r="F1196" s="18" t="n">
        <v>105</v>
      </c>
      <c r="G1196" s="18" t="n">
        <v>43.1</v>
      </c>
      <c r="H1196" s="18">
        <f>IF(D1196="","",D1196*'参数与说明'!$B$6/45.3592)</f>
        <v/>
      </c>
      <c r="I1196" s="19">
        <f>IFERROR(IF(D1196="","",D1196/INDEX($D:$D,MATCH(EDATE($A1196,-1),$A:$A,0))-1),"")</f>
        <v/>
      </c>
      <c r="J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79.7</v>
      </c>
      <c r="E1197" s="14" t="n">
        <v>85.7</v>
      </c>
      <c r="F1197" s="14" t="n">
        <v>98.90000000000001</v>
      </c>
      <c r="G1197" s="14" t="n">
        <v>40.2</v>
      </c>
      <c r="H1197" s="14">
        <f>IF(D1197="","",D1197*'参数与说明'!$B$6/45.3592)</f>
        <v/>
      </c>
      <c r="I1197" s="15">
        <f>IFERROR(IF(D1197="","",D1197/INDEX($D:$D,MATCH(EDATE($A1197,-1),$A:$A,0))-1),"")</f>
        <v/>
      </c>
      <c r="J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80.09999999999999</v>
      </c>
      <c r="E1198" s="18" t="n">
        <v>85.8</v>
      </c>
      <c r="F1198" s="18" t="n">
        <v>107</v>
      </c>
      <c r="G1198" s="18" t="n">
        <v>42.1</v>
      </c>
      <c r="H1198" s="18">
        <f>IF(D1198="","",D1198*'参数与说明'!$B$6/45.3592)</f>
        <v/>
      </c>
      <c r="I1198" s="19">
        <f>IFERROR(IF(D1198="","",D1198/INDEX($D:$D,MATCH(EDATE($A1198,-1),$A:$A,0))-1),"")</f>
        <v/>
      </c>
      <c r="J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78.90000000000001</v>
      </c>
      <c r="E1199" s="14" t="n">
        <v>83.8</v>
      </c>
      <c r="F1199" s="14" t="n">
        <v>106</v>
      </c>
      <c r="G1199" s="14" t="n">
        <v>43.6</v>
      </c>
      <c r="H1199" s="14">
        <f>IF(D1199="","",D1199*'参数与说明'!$B$6/45.3592)</f>
        <v/>
      </c>
      <c r="I1199" s="15">
        <f>IFERROR(IF(D1199="","",D1199/INDEX($D:$D,MATCH(EDATE($A1199,-1),$A:$A,0))-1),"")</f>
        <v/>
      </c>
      <c r="J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79.09999999999999</v>
      </c>
      <c r="E1200" s="18" t="n">
        <v>84</v>
      </c>
      <c r="F1200" s="18" t="n">
        <v>107</v>
      </c>
      <c r="G1200" s="18" t="n">
        <v>44.4</v>
      </c>
      <c r="H1200" s="18">
        <f>IF(D1200="","",D1200*'参数与说明'!$B$6/45.3592)</f>
        <v/>
      </c>
      <c r="I1200" s="19">
        <f>IFERROR(IF(D1200="","",D1200/INDEX($D:$D,MATCH(EDATE($A1200,-1),$A:$A,0))-1),"")</f>
        <v/>
      </c>
      <c r="J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83.8</v>
      </c>
      <c r="E1201" s="14" t="n">
        <v>88.3</v>
      </c>
      <c r="F1201" s="14" t="n">
        <v>111</v>
      </c>
      <c r="G1201" s="14" t="n">
        <v>48</v>
      </c>
      <c r="H1201" s="14">
        <f>IF(D1201="","",D1201*'参数与说明'!$B$6/45.3592)</f>
        <v/>
      </c>
      <c r="I1201" s="15">
        <f>IFERROR(IF(D1201="","",D1201/INDEX($D:$D,MATCH(EDATE($A1201,-1),$A:$A,0))-1),"")</f>
        <v/>
      </c>
      <c r="J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83.2</v>
      </c>
      <c r="E1202" s="18" t="n">
        <v>87.7</v>
      </c>
      <c r="F1202" s="18" t="n">
        <v>111</v>
      </c>
      <c r="G1202" s="18" t="n">
        <v>48.8</v>
      </c>
      <c r="H1202" s="18">
        <f>IF(D1202="","",D1202*'参数与说明'!$B$6/45.3592)</f>
        <v/>
      </c>
      <c r="I1202" s="19">
        <f>IFERROR(IF(D1202="","",D1202/INDEX($D:$D,MATCH(EDATE($A1202,-1),$A:$A,0))-1),"")</f>
        <v/>
      </c>
      <c r="J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80.09999999999999</v>
      </c>
      <c r="E1203" s="14" t="n">
        <v>84.90000000000001</v>
      </c>
      <c r="F1203" s="14" t="n">
        <v>109</v>
      </c>
      <c r="G1203" s="14" t="n">
        <v>45.4</v>
      </c>
      <c r="H1203" s="14">
        <f>IF(D1203="","",D1203*'参数与说明'!$B$6/45.3592)</f>
        <v/>
      </c>
      <c r="I1203" s="15">
        <f>IFERROR(IF(D1203="","",D1203/INDEX($D:$D,MATCH(EDATE($A1203,-1),$A:$A,0))-1),"")</f>
        <v/>
      </c>
      <c r="J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80.90000000000001</v>
      </c>
      <c r="E1204" s="18" t="n">
        <v>85.3</v>
      </c>
      <c r="F1204" s="18" t="n">
        <v>109</v>
      </c>
      <c r="G1204" s="18" t="n">
        <v>47.3</v>
      </c>
      <c r="H1204" s="18">
        <f>IF(D1204="","",D1204*'参数与说明'!$B$6/45.3592)</f>
        <v/>
      </c>
      <c r="I1204" s="19">
        <f>IFERROR(IF(D1204="","",D1204/INDEX($D:$D,MATCH(EDATE($A1204,-1),$A:$A,0))-1),"")</f>
        <v/>
      </c>
      <c r="J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80.40000000000001</v>
      </c>
      <c r="E1205" s="14" t="n">
        <v>85.09999999999999</v>
      </c>
      <c r="F1205" s="14" t="n">
        <v>109</v>
      </c>
      <c r="G1205" s="14" t="n">
        <v>45.5</v>
      </c>
      <c r="H1205" s="14">
        <f>IF(D1205="","",D1205*'参数与说明'!$B$6/45.3592)</f>
        <v/>
      </c>
      <c r="I1205" s="15">
        <f>IFERROR(IF(D1205="","",D1205/INDEX($D:$D,MATCH(EDATE($A1205,-1),$A:$A,0))-1),"")</f>
        <v/>
      </c>
      <c r="J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80.5</v>
      </c>
      <c r="E1206" s="18" t="n">
        <v>85.5</v>
      </c>
      <c r="F1206" s="18" t="n">
        <v>106</v>
      </c>
      <c r="G1206" s="18" t="n">
        <v>44.3</v>
      </c>
      <c r="H1206" s="18">
        <f>IF(D1206="","",D1206*'参数与说明'!$B$6/45.3592)</f>
        <v/>
      </c>
      <c r="I1206" s="19">
        <f>IFERROR(IF(D1206="","",D1206/INDEX($D:$D,MATCH(EDATE($A1206,-1),$A:$A,0))-1),"")</f>
        <v/>
      </c>
      <c r="J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79.2</v>
      </c>
      <c r="E1207" s="14" t="n">
        <v>84.40000000000001</v>
      </c>
      <c r="F1207" s="14" t="n">
        <v>104</v>
      </c>
      <c r="G1207" s="14" t="n">
        <v>43.6</v>
      </c>
      <c r="H1207" s="14">
        <f>IF(D1207="","",D1207*'参数与说明'!$B$6/45.3592)</f>
        <v/>
      </c>
      <c r="I1207" s="15">
        <f>IFERROR(IF(D1207="","",D1207/INDEX($D:$D,MATCH(EDATE($A1207,-1),$A:$A,0))-1),"")</f>
        <v/>
      </c>
      <c r="J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79.59999999999999</v>
      </c>
      <c r="E1208" s="18" t="n">
        <v>85.40000000000001</v>
      </c>
      <c r="F1208" s="18" t="n">
        <v>105</v>
      </c>
      <c r="G1208" s="18" t="n">
        <v>41.7</v>
      </c>
      <c r="H1208" s="18">
        <f>IF(D1208="","",D1208*'参数与说明'!$B$6/45.3592)</f>
        <v/>
      </c>
      <c r="I1208" s="19">
        <f>IFERROR(IF(D1208="","",D1208/INDEX($D:$D,MATCH(EDATE($A1208,-1),$A:$A,0))-1),"")</f>
        <v/>
      </c>
      <c r="J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78.5</v>
      </c>
      <c r="E1209" s="14" t="n">
        <v>83.8</v>
      </c>
      <c r="F1209" s="14" t="n">
        <v>106</v>
      </c>
      <c r="G1209" s="14" t="n">
        <v>43.5</v>
      </c>
      <c r="H1209" s="14">
        <f>IF(D1209="","",D1209*'参数与说明'!$B$6/45.3592)</f>
        <v/>
      </c>
      <c r="I1209" s="15">
        <f>IFERROR(IF(D1209="","",D1209/INDEX($D:$D,MATCH(EDATE($A1209,-1),$A:$A,0))-1),"")</f>
        <v/>
      </c>
      <c r="J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82.3</v>
      </c>
      <c r="E1210" s="18" t="n">
        <v>87.59999999999999</v>
      </c>
      <c r="F1210" s="18" t="n">
        <v>110</v>
      </c>
      <c r="G1210" s="18" t="n">
        <v>47.9</v>
      </c>
      <c r="H1210" s="18">
        <f>IF(D1210="","",D1210*'参数与说明'!$B$6/45.3592)</f>
        <v/>
      </c>
      <c r="I1210" s="19">
        <f>IFERROR(IF(D1210="","",D1210/INDEX($D:$D,MATCH(EDATE($A1210,-1),$A:$A,0))-1),"")</f>
        <v/>
      </c>
      <c r="J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85.7</v>
      </c>
      <c r="E1211" s="14" t="n">
        <v>90.5</v>
      </c>
      <c r="F1211" s="14" t="n">
        <v>113</v>
      </c>
      <c r="G1211" s="14" t="n">
        <v>51.7</v>
      </c>
      <c r="H1211" s="14">
        <f>IF(D1211="","",D1211*'参数与说明'!$B$6/45.3592)</f>
        <v/>
      </c>
      <c r="I1211" s="15">
        <f>IFERROR(IF(D1211="","",D1211/INDEX($D:$D,MATCH(EDATE($A1211,-1),$A:$A,0))-1),"")</f>
        <v/>
      </c>
      <c r="J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90.40000000000001</v>
      </c>
      <c r="E1212" s="18" t="n">
        <v>95.7</v>
      </c>
      <c r="F1212" s="18" t="n">
        <v>117</v>
      </c>
      <c r="G1212" s="18" t="n">
        <v>53.5</v>
      </c>
      <c r="H1212" s="18">
        <f>IF(D1212="","",D1212*'参数与说明'!$B$6/45.3592)</f>
        <v/>
      </c>
      <c r="I1212" s="19">
        <f>IFERROR(IF(D1212="","",D1212/INDEX($D:$D,MATCH(EDATE($A1212,-1),$A:$A,0))-1),"")</f>
        <v/>
      </c>
      <c r="J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95.59999999999999</v>
      </c>
      <c r="E1213" s="14" t="n">
        <v>101</v>
      </c>
      <c r="F1213" s="14" t="n">
        <v>124</v>
      </c>
      <c r="G1213" s="14" t="n">
        <v>57.5</v>
      </c>
      <c r="H1213" s="14">
        <f>IF(D1213="","",D1213*'参数与说明'!$B$6/45.3592)</f>
        <v/>
      </c>
      <c r="I1213" s="15">
        <f>IFERROR(IF(D1213="","",D1213/INDEX($D:$D,MATCH(EDATE($A1213,-1),$A:$A,0))-1),"")</f>
        <v/>
      </c>
      <c r="J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94.7</v>
      </c>
      <c r="E1214" s="18" t="n">
        <v>99.7</v>
      </c>
      <c r="F1214" s="18" t="n">
        <v>124</v>
      </c>
      <c r="G1214" s="18" t="n">
        <v>59</v>
      </c>
      <c r="H1214" s="18">
        <f>IF(D1214="","",D1214*'参数与说明'!$B$6/45.3592)</f>
        <v/>
      </c>
      <c r="I1214" s="19">
        <f>IFERROR(IF(D1214="","",D1214/INDEX($D:$D,MATCH(EDATE($A1214,-1),$A:$A,0))-1),"")</f>
        <v/>
      </c>
      <c r="J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90.40000000000001</v>
      </c>
      <c r="E1215" s="14" t="n">
        <v>94.8</v>
      </c>
      <c r="F1215" s="14" t="n">
        <v>122</v>
      </c>
      <c r="G1215" s="14" t="n">
        <v>57.9</v>
      </c>
      <c r="H1215" s="14">
        <f>IF(D1215="","",D1215*'参数与说明'!$B$6/45.3592)</f>
        <v/>
      </c>
      <c r="I1215" s="15">
        <f>IFERROR(IF(D1215="","",D1215/INDEX($D:$D,MATCH(EDATE($A1215,-1),$A:$A,0))-1),"")</f>
        <v/>
      </c>
      <c r="J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91.7</v>
      </c>
      <c r="E1216" s="18" t="n">
        <v>96</v>
      </c>
      <c r="F1216" s="18" t="n">
        <v>122</v>
      </c>
      <c r="G1216" s="18" t="n">
        <v>59.1</v>
      </c>
      <c r="H1216" s="18">
        <f>IF(D1216="","",D1216*'参数与说明'!$B$6/45.3592)</f>
        <v/>
      </c>
      <c r="I1216" s="19">
        <f>IFERROR(IF(D1216="","",D1216/INDEX($D:$D,MATCH(EDATE($A1216,-1),$A:$A,0))-1),"")</f>
        <v/>
      </c>
      <c r="J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93.5</v>
      </c>
      <c r="E1217" s="14" t="n">
        <v>98.09999999999999</v>
      </c>
      <c r="F1217" s="14" t="n">
        <v>123</v>
      </c>
      <c r="G1217" s="14" t="n">
        <v>58.3</v>
      </c>
      <c r="H1217" s="14">
        <f>IF(D1217="","",D1217*'参数与说明'!$B$6/45.3592)</f>
        <v/>
      </c>
      <c r="I1217" s="15">
        <f>IFERROR(IF(D1217="","",D1217/INDEX($D:$D,MATCH(EDATE($A1217,-1),$A:$A,0))-1),"")</f>
        <v/>
      </c>
      <c r="J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94.09999999999999</v>
      </c>
      <c r="E1218" s="18" t="n">
        <v>99.5</v>
      </c>
      <c r="F1218" s="18" t="n">
        <v>118</v>
      </c>
      <c r="G1218" s="18" t="n">
        <v>55.2</v>
      </c>
      <c r="H1218" s="18">
        <f>IF(D1218="","",D1218*'参数与说明'!$B$6/45.3592)</f>
        <v/>
      </c>
      <c r="I1218" s="19">
        <f>IFERROR(IF(D1218="","",D1218/INDEX($D:$D,MATCH(EDATE($A1218,-1),$A:$A,0))-1),"")</f>
        <v/>
      </c>
      <c r="J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93.09999999999999</v>
      </c>
      <c r="E1219" s="14" t="n">
        <v>98.90000000000001</v>
      </c>
      <c r="F1219" s="14" t="n">
        <v>121</v>
      </c>
      <c r="G1219" s="14" t="n">
        <v>52.5</v>
      </c>
      <c r="H1219" s="14">
        <f>IF(D1219="","",D1219*'参数与说明'!$B$6/45.3592)</f>
        <v/>
      </c>
      <c r="I1219" s="15">
        <f>IFERROR(IF(D1219="","",D1219/INDEX($D:$D,MATCH(EDATE($A1219,-1),$A:$A,0))-1),"")</f>
        <v/>
      </c>
      <c r="J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94</v>
      </c>
      <c r="E1220" s="18" t="n">
        <v>101</v>
      </c>
      <c r="F1220" s="18" t="n">
        <v>125</v>
      </c>
      <c r="G1220" s="18" t="n">
        <v>51.5</v>
      </c>
      <c r="H1220" s="18">
        <f>IF(D1220="","",D1220*'参数与说明'!$B$6/45.3592)</f>
        <v/>
      </c>
      <c r="I1220" s="19">
        <f>IFERROR(IF(D1220="","",D1220/INDEX($D:$D,MATCH(EDATE($A1220,-1),$A:$A,0))-1),"")</f>
        <v/>
      </c>
      <c r="J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98.09999999999999</v>
      </c>
      <c r="E1221" s="14" t="n">
        <v>104</v>
      </c>
      <c r="F1221" s="14" t="n">
        <v>130</v>
      </c>
      <c r="G1221" s="14" t="n">
        <v>55.1</v>
      </c>
      <c r="H1221" s="14">
        <f>IF(D1221="","",D1221*'参数与说明'!$B$6/45.3592)</f>
        <v/>
      </c>
      <c r="I1221" s="15">
        <f>IFERROR(IF(D1221="","",D1221/INDEX($D:$D,MATCH(EDATE($A1221,-1),$A:$A,0))-1),"")</f>
        <v/>
      </c>
      <c r="J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107</v>
      </c>
      <c r="E1222" s="18" t="n">
        <v>110</v>
      </c>
      <c r="F1222" s="18" t="n">
        <v>136</v>
      </c>
      <c r="G1222" s="18" t="n">
        <v>65</v>
      </c>
      <c r="H1222" s="18">
        <f>IF(D1222="","",D1222*'参数与说明'!$B$6/45.3592)</f>
        <v/>
      </c>
      <c r="I1222" s="19">
        <f>IFERROR(IF(D1222="","",D1222/INDEX($D:$D,MATCH(EDATE($A1222,-1),$A:$A,0))-1),"")</f>
        <v/>
      </c>
      <c r="J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108</v>
      </c>
      <c r="E1223" s="14" t="n">
        <v>111</v>
      </c>
      <c r="F1223" s="14" t="n">
        <v>139</v>
      </c>
      <c r="G1223" s="14" t="n">
        <v>72.5</v>
      </c>
      <c r="H1223" s="14">
        <f>IF(D1223="","",D1223*'参数与说明'!$B$6/45.3592)</f>
        <v/>
      </c>
      <c r="I1223" s="15">
        <f>IFERROR(IF(D1223="","",D1223/INDEX($D:$D,MATCH(EDATE($A1223,-1),$A:$A,0))-1),"")</f>
        <v/>
      </c>
      <c r="J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115</v>
      </c>
      <c r="E1224" s="18" t="n">
        <v>118</v>
      </c>
      <c r="F1224" s="18" t="n">
        <v>148</v>
      </c>
      <c r="G1224" s="18" t="n">
        <v>75.2</v>
      </c>
      <c r="H1224" s="18">
        <f>IF(D1224="","",D1224*'参数与说明'!$B$6/45.3592)</f>
        <v/>
      </c>
      <c r="I1224" s="19">
        <f>IFERROR(IF(D1224="","",D1224/INDEX($D:$D,MATCH(EDATE($A1224,-1),$A:$A,0))-1),"")</f>
        <v/>
      </c>
      <c r="J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119</v>
      </c>
      <c r="E1225" s="14" t="n">
        <v>122</v>
      </c>
      <c r="F1225" s="14" t="n">
        <v>147</v>
      </c>
      <c r="G1225" s="14" t="n">
        <v>78.90000000000001</v>
      </c>
      <c r="H1225" s="14">
        <f>IF(D1225="","",D1225*'参数与说明'!$B$6/45.3592)</f>
        <v/>
      </c>
      <c r="I1225" s="15">
        <f>IFERROR(IF(D1225="","",D1225/INDEX($D:$D,MATCH(EDATE($A1225,-1),$A:$A,0))-1),"")</f>
        <v/>
      </c>
      <c r="J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112</v>
      </c>
      <c r="E1226" s="18" t="n">
        <v>115</v>
      </c>
      <c r="F1226" s="18" t="n">
        <v>137</v>
      </c>
      <c r="G1226" s="18" t="n">
        <v>78.2</v>
      </c>
      <c r="H1226" s="18">
        <f>IF(D1226="","",D1226*'参数与说明'!$B$6/45.3592)</f>
        <v/>
      </c>
      <c r="I1226" s="19">
        <f>IFERROR(IF(D1226="","",D1226/INDEX($D:$D,MATCH(EDATE($A1226,-1),$A:$A,0))-1),"")</f>
        <v/>
      </c>
      <c r="J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107</v>
      </c>
      <c r="E1227" s="14" t="n">
        <v>110</v>
      </c>
      <c r="F1227" s="14" t="n">
        <v>133</v>
      </c>
      <c r="G1227" s="14" t="n">
        <v>75.90000000000001</v>
      </c>
      <c r="H1227" s="14">
        <f>IF(D1227="","",D1227*'参数与说明'!$B$6/45.3592)</f>
        <v/>
      </c>
      <c r="I1227" s="15">
        <f>IFERROR(IF(D1227="","",D1227/INDEX($D:$D,MATCH(EDATE($A1227,-1),$A:$A,0))-1),"")</f>
        <v/>
      </c>
      <c r="J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111</v>
      </c>
      <c r="E1228" s="18" t="n">
        <v>115</v>
      </c>
      <c r="F1228" s="18" t="n">
        <v>138</v>
      </c>
      <c r="G1228" s="18" t="n">
        <v>73.59999999999999</v>
      </c>
      <c r="H1228" s="18">
        <f>IF(D1228="","",D1228*'参数与说明'!$B$6/45.3592)</f>
        <v/>
      </c>
      <c r="I1228" s="19">
        <f>IFERROR(IF(D1228="","",D1228/INDEX($D:$D,MATCH(EDATE($A1228,-1),$A:$A,0))-1),"")</f>
        <v/>
      </c>
      <c r="J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111</v>
      </c>
      <c r="E1229" s="14" t="n">
        <v>114</v>
      </c>
      <c r="F1229" s="14" t="n">
        <v>134</v>
      </c>
      <c r="G1229" s="14" t="n">
        <v>70.8</v>
      </c>
      <c r="H1229" s="14">
        <f>IF(D1229="","",D1229*'参数与说明'!$B$6/45.3592)</f>
        <v/>
      </c>
      <c r="I1229" s="15">
        <f>IFERROR(IF(D1229="","",D1229/INDEX($D:$D,MATCH(EDATE($A1229,-1),$A:$A,0))-1),"")</f>
        <v/>
      </c>
      <c r="J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112</v>
      </c>
      <c r="E1230" s="18" t="n">
        <v>117</v>
      </c>
      <c r="F1230" s="18" t="n">
        <v>132</v>
      </c>
      <c r="G1230" s="18" t="n">
        <v>67.3</v>
      </c>
      <c r="H1230" s="18">
        <f>IF(D1230="","",D1230*'参数与说明'!$B$6/45.3592)</f>
        <v/>
      </c>
      <c r="I1230" s="19">
        <f>IFERROR(IF(D1230="","",D1230/INDEX($D:$D,MATCH(EDATE($A1230,-1),$A:$A,0))-1),"")</f>
        <v/>
      </c>
      <c r="J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117</v>
      </c>
      <c r="E1231" s="14" t="n">
        <v>122</v>
      </c>
      <c r="F1231" s="14" t="n">
        <v>145</v>
      </c>
      <c r="G1231" s="14" t="n">
        <v>65</v>
      </c>
      <c r="H1231" s="14">
        <f>IF(D1231="","",D1231*'参数与说明'!$B$6/45.3592)</f>
        <v/>
      </c>
      <c r="I1231" s="15">
        <f>IFERROR(IF(D1231="","",D1231/INDEX($D:$D,MATCH(EDATE($A1231,-1),$A:$A,0))-1),"")</f>
        <v/>
      </c>
      <c r="J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120</v>
      </c>
      <c r="E1232" s="18" t="n">
        <v>126</v>
      </c>
      <c r="F1232" s="18" t="n">
        <v>153</v>
      </c>
      <c r="G1232" s="18" t="n">
        <v>66</v>
      </c>
      <c r="H1232" s="18">
        <f>IF(D1232="","",D1232*'参数与说明'!$B$6/45.3592)</f>
        <v/>
      </c>
      <c r="I1232" s="19">
        <f>IFERROR(IF(D1232="","",D1232/INDEX($D:$D,MATCH(EDATE($A1232,-1),$A:$A,0))-1),"")</f>
        <v/>
      </c>
      <c r="J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120</v>
      </c>
      <c r="E1233" s="14" t="n">
        <v>126</v>
      </c>
      <c r="F1233" s="14" t="n">
        <v>157</v>
      </c>
      <c r="G1233" s="14" t="n">
        <v>70.5</v>
      </c>
      <c r="H1233" s="14">
        <f>IF(D1233="","",D1233*'参数与说明'!$B$6/45.3592)</f>
        <v/>
      </c>
      <c r="I1233" s="15">
        <f>IFERROR(IF(D1233="","",D1233/INDEX($D:$D,MATCH(EDATE($A1233,-1),$A:$A,0))-1),"")</f>
        <v/>
      </c>
      <c r="J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122</v>
      </c>
      <c r="E1234" s="18" t="n">
        <v>124</v>
      </c>
      <c r="F1234" s="18" t="n">
        <v>176</v>
      </c>
      <c r="G1234" s="18" t="n">
        <v>75.8</v>
      </c>
      <c r="H1234" s="18">
        <f>IF(D1234="","",D1234*'参数与说明'!$B$6/45.3592)</f>
        <v/>
      </c>
      <c r="I1234" s="19">
        <f>IFERROR(IF(D1234="","",D1234/INDEX($D:$D,MATCH(EDATE($A1234,-1),$A:$A,0))-1),"")</f>
        <v/>
      </c>
      <c r="J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124</v>
      </c>
      <c r="E1235" s="14" t="n">
        <v>126</v>
      </c>
      <c r="F1235" s="14" t="n">
        <v>189</v>
      </c>
      <c r="G1235" s="14" t="n">
        <v>82.90000000000001</v>
      </c>
      <c r="H1235" s="14">
        <f>IF(D1235="","",D1235*'参数与说明'!$B$6/45.3592)</f>
        <v/>
      </c>
      <c r="I1235" s="15">
        <f>IFERROR(IF(D1235="","",D1235/INDEX($D:$D,MATCH(EDATE($A1235,-1),$A:$A,0))-1),"")</f>
        <v/>
      </c>
      <c r="J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126</v>
      </c>
      <c r="E1236" s="18" t="n">
        <v>128</v>
      </c>
      <c r="F1236" s="18" t="n">
        <v>188</v>
      </c>
      <c r="G1236" s="18" t="n">
        <v>84.5</v>
      </c>
      <c r="H1236" s="18">
        <f>IF(D1236="","",D1236*'参数与说明'!$B$6/45.3592)</f>
        <v/>
      </c>
      <c r="I1236" s="19">
        <f>IFERROR(IF(D1236="","",D1236/INDEX($D:$D,MATCH(EDATE($A1236,-1),$A:$A,0))-1),"")</f>
        <v/>
      </c>
      <c r="J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122</v>
      </c>
      <c r="E1237" s="14" t="n">
        <v>123</v>
      </c>
      <c r="F1237" s="14" t="n">
        <v>180</v>
      </c>
      <c r="G1237" s="14" t="n">
        <v>85.59999999999999</v>
      </c>
      <c r="H1237" s="14">
        <f>IF(D1237="","",D1237*'参数与说明'!$B$6/45.3592)</f>
        <v/>
      </c>
      <c r="I1237" s="15">
        <f>IFERROR(IF(D1237="","",D1237/INDEX($D:$D,MATCH(EDATE($A1237,-1),$A:$A,0))-1),"")</f>
        <v/>
      </c>
      <c r="J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121</v>
      </c>
      <c r="E1238" s="18" t="n">
        <v>122</v>
      </c>
      <c r="F1238" s="18" t="n">
        <v>179</v>
      </c>
      <c r="G1238" s="18" t="n">
        <v>88.2</v>
      </c>
      <c r="H1238" s="18">
        <f>IF(D1238="","",D1238*'参数与说明'!$B$6/45.3592)</f>
        <v/>
      </c>
      <c r="I1238" s="19">
        <f>IFERROR(IF(D1238="","",D1238/INDEX($D:$D,MATCH(EDATE($A1238,-1),$A:$A,0))-1),"")</f>
        <v/>
      </c>
      <c r="J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120</v>
      </c>
      <c r="E1239" s="14" t="n">
        <v>121</v>
      </c>
      <c r="F1239" s="14" t="n">
        <v>171</v>
      </c>
      <c r="G1239" s="14" t="n">
        <v>87.3</v>
      </c>
      <c r="H1239" s="14">
        <f>IF(D1239="","",D1239*'参数与说明'!$B$6/45.3592)</f>
        <v/>
      </c>
      <c r="I1239" s="15">
        <f>IFERROR(IF(D1239="","",D1239/INDEX($D:$D,MATCH(EDATE($A1239,-1),$A:$A,0))-1),"")</f>
        <v/>
      </c>
      <c r="J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115</v>
      </c>
      <c r="E1240" s="18" t="n">
        <v>116</v>
      </c>
      <c r="F1240" s="18" t="n">
        <v>156</v>
      </c>
      <c r="G1240" s="18" t="n">
        <v>82.7</v>
      </c>
      <c r="H1240" s="18">
        <f>IF(D1240="","",D1240*'参数与说明'!$B$6/45.3592)</f>
        <v/>
      </c>
      <c r="I1240" s="19">
        <f>IFERROR(IF(D1240="","",D1240/INDEX($D:$D,MATCH(EDATE($A1240,-1),$A:$A,0))-1),"")</f>
        <v/>
      </c>
      <c r="J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117</v>
      </c>
      <c r="E1241" s="14" t="n">
        <v>118</v>
      </c>
      <c r="F1241" s="14" t="n">
        <v>162</v>
      </c>
      <c r="G1241" s="14" t="n">
        <v>80.90000000000001</v>
      </c>
      <c r="H1241" s="14">
        <f>IF(D1241="","",D1241*'参数与说明'!$B$6/45.3592)</f>
        <v/>
      </c>
      <c r="I1241" s="15">
        <f>IFERROR(IF(D1241="","",D1241/INDEX($D:$D,MATCH(EDATE($A1241,-1),$A:$A,0))-1),"")</f>
        <v/>
      </c>
      <c r="J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121</v>
      </c>
      <c r="E1242" s="18" t="n">
        <v>123</v>
      </c>
      <c r="F1242" s="18" t="n">
        <v>168</v>
      </c>
      <c r="G1242" s="18" t="n">
        <v>80.5</v>
      </c>
      <c r="H1242" s="18">
        <f>IF(D1242="","",D1242*'参数与说明'!$B$6/45.3592)</f>
        <v/>
      </c>
      <c r="I1242" s="19">
        <f>IFERROR(IF(D1242="","",D1242/INDEX($D:$D,MATCH(EDATE($A1242,-1),$A:$A,0))-1),"")</f>
        <v/>
      </c>
      <c r="J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122</v>
      </c>
      <c r="E1243" s="14" t="n">
        <v>124</v>
      </c>
      <c r="F1243" s="14" t="n">
        <v>169</v>
      </c>
      <c r="G1243" s="14" t="n">
        <v>78.59999999999999</v>
      </c>
      <c r="H1243" s="14">
        <f>IF(D1243="","",D1243*'参数与说明'!$B$6/45.3592)</f>
        <v/>
      </c>
      <c r="I1243" s="15">
        <f>IFERROR(IF(D1243="","",D1243/INDEX($D:$D,MATCH(EDATE($A1243,-1),$A:$A,0))-1),"")</f>
        <v/>
      </c>
      <c r="J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124</v>
      </c>
      <c r="E1244" s="18" t="n">
        <v>126</v>
      </c>
      <c r="F1244" s="18" t="n">
        <v>165</v>
      </c>
      <c r="G1244" s="18" t="n">
        <v>78.09999999999999</v>
      </c>
      <c r="H1244" s="18">
        <f>IF(D1244="","",D1244*'参数与说明'!$B$6/45.3592)</f>
        <v/>
      </c>
      <c r="I1244" s="19">
        <f>IFERROR(IF(D1244="","",D1244/INDEX($D:$D,MATCH(EDATE($A1244,-1),$A:$A,0))-1),"")</f>
        <v/>
      </c>
      <c r="J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124</v>
      </c>
      <c r="E1245" s="14" t="n">
        <v>126</v>
      </c>
      <c r="F1245" s="14" t="n">
        <v>168</v>
      </c>
      <c r="G1245" s="14" t="n">
        <v>78.59999999999999</v>
      </c>
      <c r="H1245" s="14">
        <f>IF(D1245="","",D1245*'参数与说明'!$B$6/45.3592)</f>
        <v/>
      </c>
      <c r="I1245" s="15">
        <f>IFERROR(IF(D1245="","",D1245/INDEX($D:$D,MATCH(EDATE($A1245,-1),$A:$A,0))-1),"")</f>
        <v/>
      </c>
      <c r="J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125</v>
      </c>
      <c r="E1246" s="18" t="n">
        <v>127</v>
      </c>
      <c r="F1246" s="18" t="n">
        <v>171</v>
      </c>
      <c r="G1246" s="18" t="n">
        <v>80.3</v>
      </c>
      <c r="H1246" s="18">
        <f>IF(D1246="","",D1246*'参数与说明'!$B$6/45.3592)</f>
        <v/>
      </c>
      <c r="I1246" s="19">
        <f>IFERROR(IF(D1246="","",D1246/INDEX($D:$D,MATCH(EDATE($A1246,-1),$A:$A,0))-1),"")</f>
        <v/>
      </c>
      <c r="J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123</v>
      </c>
      <c r="E1247" s="14" t="n">
        <v>125</v>
      </c>
      <c r="F1247" s="14" t="n">
        <v>170</v>
      </c>
      <c r="G1247" s="14" t="n">
        <v>81.8</v>
      </c>
      <c r="H1247" s="14">
        <f>IF(D1247="","",D1247*'参数与说明'!$B$6/45.3592)</f>
        <v/>
      </c>
      <c r="I1247" s="15">
        <f>IFERROR(IF(D1247="","",D1247/INDEX($D:$D,MATCH(EDATE($A1247,-1),$A:$A,0))-1),"")</f>
        <v/>
      </c>
      <c r="J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125</v>
      </c>
      <c r="E1248" s="18" t="n">
        <v>127</v>
      </c>
      <c r="F1248" s="18" t="n">
        <v>163</v>
      </c>
      <c r="G1248" s="18" t="n">
        <v>83.8</v>
      </c>
      <c r="H1248" s="18">
        <f>IF(D1248="","",D1248*'参数与说明'!$B$6/45.3592)</f>
        <v/>
      </c>
      <c r="I1248" s="19">
        <f>IFERROR(IF(D1248="","",D1248/INDEX($D:$D,MATCH(EDATE($A1248,-1),$A:$A,0))-1),"")</f>
        <v/>
      </c>
      <c r="J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125</v>
      </c>
      <c r="E1249" s="14" t="n">
        <v>127</v>
      </c>
      <c r="F1249" s="14" t="n">
        <v>159</v>
      </c>
      <c r="G1249" s="14" t="n">
        <v>82.40000000000001</v>
      </c>
      <c r="H1249" s="14">
        <f>IF(D1249="","",D1249*'参数与说明'!$B$6/45.3592)</f>
        <v/>
      </c>
      <c r="I1249" s="15">
        <f>IFERROR(IF(D1249="","",D1249/INDEX($D:$D,MATCH(EDATE($A1249,-1),$A:$A,0))-1),"")</f>
        <v/>
      </c>
      <c r="J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126</v>
      </c>
      <c r="E1250" s="18" t="n">
        <v>127</v>
      </c>
      <c r="F1250" s="18" t="n">
        <v>157</v>
      </c>
      <c r="G1250" s="18" t="n">
        <v>81.8</v>
      </c>
      <c r="H1250" s="18">
        <f>IF(D1250="","",D1250*'参数与说明'!$B$6/45.3592)</f>
        <v/>
      </c>
      <c r="I1250" s="19">
        <f>IFERROR(IF(D1250="","",D1250/INDEX($D:$D,MATCH(EDATE($A1250,-1),$A:$A,0))-1),"")</f>
        <v/>
      </c>
      <c r="J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122</v>
      </c>
      <c r="E1251" s="14" t="n">
        <v>124</v>
      </c>
      <c r="F1251" s="14" t="n">
        <v>152</v>
      </c>
      <c r="G1251" s="14" t="n">
        <v>81.59999999999999</v>
      </c>
      <c r="H1251" s="14">
        <f>IF(D1251="","",D1251*'参数与说明'!$B$6/45.3592)</f>
        <v/>
      </c>
      <c r="I1251" s="15">
        <f>IFERROR(IF(D1251="","",D1251/INDEX($D:$D,MATCH(EDATE($A1251,-1),$A:$A,0))-1),"")</f>
        <v/>
      </c>
      <c r="J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120</v>
      </c>
      <c r="E1252" s="18" t="n">
        <v>121</v>
      </c>
      <c r="F1252" s="18" t="n">
        <v>162</v>
      </c>
      <c r="G1252" s="18" t="n">
        <v>82.7</v>
      </c>
      <c r="H1252" s="18">
        <f>IF(D1252="","",D1252*'参数与说明'!$B$6/45.3592)</f>
        <v/>
      </c>
      <c r="I1252" s="19">
        <f>IFERROR(IF(D1252="","",D1252/INDEX($D:$D,MATCH(EDATE($A1252,-1),$A:$A,0))-1),"")</f>
        <v/>
      </c>
      <c r="J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121</v>
      </c>
      <c r="E1253" s="14" t="n">
        <v>122</v>
      </c>
      <c r="F1253" s="14" t="n">
        <v>178</v>
      </c>
      <c r="G1253" s="14" t="n">
        <v>83.90000000000001</v>
      </c>
      <c r="H1253" s="14">
        <f>IF(D1253="","",D1253*'参数与说明'!$B$6/45.3592)</f>
        <v/>
      </c>
      <c r="I1253" s="15">
        <f>IFERROR(IF(D1253="","",D1253/INDEX($D:$D,MATCH(EDATE($A1253,-1),$A:$A,0))-1),"")</f>
        <v/>
      </c>
      <c r="J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122</v>
      </c>
      <c r="E1254" s="18" t="n">
        <v>124</v>
      </c>
      <c r="F1254" s="18" t="n">
        <v>200</v>
      </c>
      <c r="G1254" s="18" t="n">
        <v>83.90000000000001</v>
      </c>
      <c r="H1254" s="18">
        <f>IF(D1254="","",D1254*'参数与说明'!$B$6/45.3592)</f>
        <v/>
      </c>
      <c r="I1254" s="19">
        <f>IFERROR(IF(D1254="","",D1254/INDEX($D:$D,MATCH(EDATE($A1254,-1),$A:$A,0))-1),"")</f>
        <v/>
      </c>
      <c r="J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127</v>
      </c>
      <c r="E1255" s="14" t="n">
        <v>128</v>
      </c>
      <c r="F1255" s="14" t="n">
        <v>190</v>
      </c>
      <c r="G1255" s="14" t="n">
        <v>81.2</v>
      </c>
      <c r="H1255" s="14">
        <f>IF(D1255="","",D1255*'参数与说明'!$B$6/45.3592)</f>
        <v/>
      </c>
      <c r="I1255" s="15">
        <f>IFERROR(IF(D1255="","",D1255/INDEX($D:$D,MATCH(EDATE($A1255,-1),$A:$A,0))-1),"")</f>
        <v/>
      </c>
      <c r="J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130</v>
      </c>
      <c r="E1256" s="18" t="n">
        <v>132</v>
      </c>
      <c r="F1256" s="18" t="n">
        <v>192</v>
      </c>
      <c r="G1256" s="18" t="n">
        <v>80.7</v>
      </c>
      <c r="H1256" s="18">
        <f>IF(D1256="","",D1256*'参数与说明'!$B$6/45.3592)</f>
        <v/>
      </c>
      <c r="I1256" s="19">
        <f>IFERROR(IF(D1256="","",D1256/INDEX($D:$D,MATCH(EDATE($A1256,-1),$A:$A,0))-1),"")</f>
        <v/>
      </c>
      <c r="J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130</v>
      </c>
      <c r="E1257" s="14" t="n">
        <v>132</v>
      </c>
      <c r="F1257" s="14" t="n">
        <v>197</v>
      </c>
      <c r="G1257" s="14" t="n">
        <v>83.40000000000001</v>
      </c>
      <c r="H1257" s="14">
        <f>IF(D1257="","",D1257*'参数与说明'!$B$6/45.3592)</f>
        <v/>
      </c>
      <c r="I1257" s="15">
        <f>IFERROR(IF(D1257="","",D1257/INDEX($D:$D,MATCH(EDATE($A1257,-1),$A:$A,0))-1),"")</f>
        <v/>
      </c>
      <c r="J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138</v>
      </c>
      <c r="E1258" s="18" t="n">
        <v>140</v>
      </c>
      <c r="F1258" s="18" t="n">
        <v>208</v>
      </c>
      <c r="G1258" s="18" t="n">
        <v>88.3</v>
      </c>
      <c r="H1258" s="18">
        <f>IF(D1258="","",D1258*'参数与说明'!$B$6/45.3592)</f>
        <v/>
      </c>
      <c r="I1258" s="19">
        <f>IFERROR(IF(D1258="","",D1258/INDEX($D:$D,MATCH(EDATE($A1258,-1),$A:$A,0))-1),"")</f>
        <v/>
      </c>
      <c r="J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144</v>
      </c>
      <c r="E1259" s="14" t="n">
        <v>145</v>
      </c>
      <c r="F1259" s="14" t="n">
        <v>209</v>
      </c>
      <c r="G1259" s="14" t="n">
        <v>95.40000000000001</v>
      </c>
      <c r="H1259" s="14">
        <f>IF(D1259="","",D1259*'参数与说明'!$B$6/45.3592)</f>
        <v/>
      </c>
      <c r="I1259" s="15">
        <f>IFERROR(IF(D1259="","",D1259/INDEX($D:$D,MATCH(EDATE($A1259,-1),$A:$A,0))-1),"")</f>
        <v/>
      </c>
      <c r="J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148</v>
      </c>
      <c r="E1260" s="18" t="n">
        <v>150</v>
      </c>
      <c r="F1260" s="18" t="n">
        <v>216</v>
      </c>
      <c r="G1260" s="18" t="n">
        <v>102</v>
      </c>
      <c r="H1260" s="18">
        <f>IF(D1260="","",D1260*'参数与说明'!$B$6/45.3592)</f>
        <v/>
      </c>
      <c r="I1260" s="19">
        <f>IFERROR(IF(D1260="","",D1260/INDEX($D:$D,MATCH(EDATE($A1260,-1),$A:$A,0))-1),"")</f>
        <v/>
      </c>
      <c r="J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148</v>
      </c>
      <c r="E1261" s="14" t="n">
        <v>150</v>
      </c>
      <c r="F1261" s="14" t="n">
        <v>222</v>
      </c>
      <c r="G1261" s="14" t="n">
        <v>103</v>
      </c>
      <c r="H1261" s="14">
        <f>IF(D1261="","",D1261*'参数与说明'!$B$6/45.3592)</f>
        <v/>
      </c>
      <c r="I1261" s="15">
        <f>IFERROR(IF(D1261="","",D1261/INDEX($D:$D,MATCH(EDATE($A1261,-1),$A:$A,0))-1),"")</f>
        <v/>
      </c>
      <c r="J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146</v>
      </c>
      <c r="E1262" s="18" t="n">
        <v>147</v>
      </c>
      <c r="F1262" s="18" t="n">
        <v>229</v>
      </c>
      <c r="G1262" s="18" t="n">
        <v>104</v>
      </c>
      <c r="H1262" s="18">
        <f>IF(D1262="","",D1262*'参数与说明'!$B$6/45.3592)</f>
        <v/>
      </c>
      <c r="I1262" s="19">
        <f>IFERROR(IF(D1262="","",D1262/INDEX($D:$D,MATCH(EDATE($A1262,-1),$A:$A,0))-1),"")</f>
        <v/>
      </c>
      <c r="J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147</v>
      </c>
      <c r="E1263" s="14" t="n">
        <v>148</v>
      </c>
      <c r="F1263" s="14" t="n">
        <v>249</v>
      </c>
      <c r="G1263" s="14" t="n">
        <v>106</v>
      </c>
      <c r="H1263" s="14">
        <f>IF(D1263="","",D1263*'参数与说明'!$B$6/45.3592)</f>
        <v/>
      </c>
      <c r="I1263" s="15">
        <f>IFERROR(IF(D1263="","",D1263/INDEX($D:$D,MATCH(EDATE($A1263,-1),$A:$A,0))-1),"")</f>
        <v/>
      </c>
      <c r="J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156</v>
      </c>
      <c r="E1264" s="18" t="n">
        <v>157</v>
      </c>
      <c r="F1264" s="18" t="n">
        <v>257</v>
      </c>
      <c r="G1264" s="18" t="n">
        <v>115</v>
      </c>
      <c r="H1264" s="18">
        <f>IF(D1264="","",D1264*'参数与说明'!$B$6/45.3592)</f>
        <v/>
      </c>
      <c r="I1264" s="19">
        <f>IFERROR(IF(D1264="","",D1264/INDEX($D:$D,MATCH(EDATE($A1264,-1),$A:$A,0))-1),"")</f>
        <v/>
      </c>
      <c r="J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158</v>
      </c>
      <c r="E1265" s="14" t="n">
        <v>159</v>
      </c>
      <c r="F1265" s="14" t="n">
        <v>271</v>
      </c>
      <c r="G1265" s="14" t="n">
        <v>121</v>
      </c>
      <c r="H1265" s="14">
        <f>IF(D1265="","",D1265*'参数与说明'!$B$6/45.3592)</f>
        <v/>
      </c>
      <c r="I1265" s="15">
        <f>IFERROR(IF(D1265="","",D1265/INDEX($D:$D,MATCH(EDATE($A1265,-1),$A:$A,0))-1),"")</f>
        <v/>
      </c>
      <c r="J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157</v>
      </c>
      <c r="E1266" s="18" t="n">
        <v>158</v>
      </c>
      <c r="F1266" s="18" t="n">
        <v>279</v>
      </c>
      <c r="G1266" s="18" t="n">
        <v>118</v>
      </c>
      <c r="H1266" s="18">
        <f>IF(D1266="","",D1266*'参数与说明'!$B$6/45.3592)</f>
        <v/>
      </c>
      <c r="I1266" s="19">
        <f>IFERROR(IF(D1266="","",D1266/INDEX($D:$D,MATCH(EDATE($A1266,-1),$A:$A,0))-1),"")</f>
        <v/>
      </c>
      <c r="J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161</v>
      </c>
      <c r="E1267" s="14" t="n">
        <v>163</v>
      </c>
      <c r="F1267" s="14" t="n">
        <v>307</v>
      </c>
      <c r="G1267" s="14" t="n">
        <v>116</v>
      </c>
      <c r="H1267" s="14">
        <f>IF(D1267="","",D1267*'参数与说明'!$B$6/45.3592)</f>
        <v/>
      </c>
      <c r="I1267" s="15">
        <f>IFERROR(IF(D1267="","",D1267/INDEX($D:$D,MATCH(EDATE($A1267,-1),$A:$A,0))-1),"")</f>
        <v/>
      </c>
      <c r="J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167</v>
      </c>
      <c r="E1268" s="18" t="n">
        <v>169</v>
      </c>
      <c r="F1268" s="18" t="n">
        <v>305</v>
      </c>
      <c r="G1268" s="18" t="n">
        <v>115</v>
      </c>
      <c r="H1268" s="18">
        <f>IF(D1268="","",D1268*'参数与说明'!$B$6/45.3592)</f>
        <v/>
      </c>
      <c r="I1268" s="19">
        <f>IFERROR(IF(D1268="","",D1268/INDEX($D:$D,MATCH(EDATE($A1268,-1),$A:$A,0))-1),"")</f>
        <v/>
      </c>
      <c r="J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164</v>
      </c>
      <c r="E1269" s="14" t="n">
        <v>166</v>
      </c>
      <c r="F1269" s="14" t="n">
        <v>303</v>
      </c>
      <c r="G1269" s="14" t="n">
        <v>115</v>
      </c>
      <c r="H1269" s="14">
        <f>IF(D1269="","",D1269*'参数与说明'!$B$6/45.3592)</f>
        <v/>
      </c>
      <c r="I1269" s="15">
        <f>IFERROR(IF(D1269="","",D1269/INDEX($D:$D,MATCH(EDATE($A1269,-1),$A:$A,0))-1),"")</f>
        <v/>
      </c>
      <c r="J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164</v>
      </c>
      <c r="E1270" s="18" t="n">
        <v>166</v>
      </c>
      <c r="F1270" s="18" t="n">
        <v>288</v>
      </c>
      <c r="G1270" s="18" t="n">
        <v>112</v>
      </c>
      <c r="H1270" s="18">
        <f>IF(D1270="","",D1270*'参数与说明'!$B$6/45.3592)</f>
        <v/>
      </c>
      <c r="I1270" s="19">
        <f>IFERROR(IF(D1270="","",D1270/INDEX($D:$D,MATCH(EDATE($A1270,-1),$A:$A,0))-1),"")</f>
        <v/>
      </c>
      <c r="J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159</v>
      </c>
      <c r="E1271" s="14" t="n">
        <v>161</v>
      </c>
      <c r="F1271" s="14" t="n">
        <v>277</v>
      </c>
      <c r="G1271" s="14" t="n">
        <v>110</v>
      </c>
      <c r="H1271" s="14">
        <f>IF(D1271="","",D1271*'参数与说明'!$B$6/45.3592)</f>
        <v/>
      </c>
      <c r="I1271" s="15">
        <f>IFERROR(IF(D1271="","",D1271/INDEX($D:$D,MATCH(EDATE($A1271,-1),$A:$A,0))-1),"")</f>
        <v/>
      </c>
      <c r="J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160</v>
      </c>
      <c r="E1272" s="18" t="n">
        <v>162</v>
      </c>
      <c r="F1272" s="18" t="n">
        <v>290</v>
      </c>
      <c r="G1272" s="18" t="n">
        <v>114</v>
      </c>
      <c r="H1272" s="18">
        <f>IF(D1272="","",D1272*'参数与说明'!$B$6/45.3592)</f>
        <v/>
      </c>
      <c r="I1272" s="19">
        <f>IFERROR(IF(D1272="","",D1272/INDEX($D:$D,MATCH(EDATE($A1272,-1),$A:$A,0))-1),"")</f>
        <v/>
      </c>
      <c r="J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162</v>
      </c>
      <c r="E1273" s="14" t="n">
        <v>164</v>
      </c>
      <c r="F1273" s="14" t="n">
        <v>288</v>
      </c>
      <c r="G1273" s="14" t="n">
        <v>113</v>
      </c>
      <c r="H1273" s="14">
        <f>IF(D1273="","",D1273*'参数与说明'!$B$6/45.3592)</f>
        <v/>
      </c>
      <c r="I1273" s="15">
        <f>IFERROR(IF(D1273="","",D1273/INDEX($D:$D,MATCH(EDATE($A1273,-1),$A:$A,0))-1),"")</f>
        <v/>
      </c>
      <c r="J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160</v>
      </c>
      <c r="E1274" s="18" t="n">
        <v>161</v>
      </c>
      <c r="F1274" s="18" t="n">
        <v>288</v>
      </c>
      <c r="G1274" s="18" t="n">
        <v>114</v>
      </c>
      <c r="H1274" s="18">
        <f>IF(D1274="","",D1274*'参数与说明'!$B$6/45.3592)</f>
        <v/>
      </c>
      <c r="I1274" s="19">
        <f>IFERROR(IF(D1274="","",D1274/INDEX($D:$D,MATCH(EDATE($A1274,-1),$A:$A,0))-1),"")</f>
        <v/>
      </c>
      <c r="J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155</v>
      </c>
      <c r="E1275" s="14" t="n">
        <v>156</v>
      </c>
      <c r="F1275" s="14" t="n">
        <v>292</v>
      </c>
      <c r="G1275" s="14" t="n">
        <v>113</v>
      </c>
      <c r="H1275" s="14">
        <f>IF(D1275="","",D1275*'参数与说明'!$B$6/45.3592)</f>
        <v/>
      </c>
      <c r="I1275" s="15">
        <f>IFERROR(IF(D1275="","",D1275/INDEX($D:$D,MATCH(EDATE($A1275,-1),$A:$A,0))-1),"")</f>
        <v/>
      </c>
      <c r="J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149</v>
      </c>
      <c r="E1276" s="18" t="n">
        <v>150</v>
      </c>
      <c r="F1276" s="18" t="n">
        <v>275</v>
      </c>
      <c r="G1276" s="18" t="n">
        <v>113</v>
      </c>
      <c r="H1276" s="18">
        <f>IF(D1276="","",D1276*'参数与说明'!$B$6/45.3592)</f>
        <v/>
      </c>
      <c r="I1276" s="19">
        <f>IFERROR(IF(D1276="","",D1276/INDEX($D:$D,MATCH(EDATE($A1276,-1),$A:$A,0))-1),"")</f>
        <v/>
      </c>
      <c r="J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148</v>
      </c>
      <c r="E1277" s="14" t="n">
        <v>149</v>
      </c>
      <c r="F1277" s="14" t="n">
        <v>273</v>
      </c>
      <c r="G1277" s="14" t="n">
        <v>110</v>
      </c>
      <c r="H1277" s="14">
        <f>IF(D1277="","",D1277*'参数与说明'!$B$6/45.3592)</f>
        <v/>
      </c>
      <c r="I1277" s="15">
        <f>IFERROR(IF(D1277="","",D1277/INDEX($D:$D,MATCH(EDATE($A1277,-1),$A:$A,0))-1),"")</f>
        <v/>
      </c>
      <c r="J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139</v>
      </c>
      <c r="E1278" s="18" t="n">
        <v>140</v>
      </c>
      <c r="F1278" s="18" t="n">
        <v>241</v>
      </c>
      <c r="G1278" s="18" t="n">
        <v>104</v>
      </c>
      <c r="H1278" s="18">
        <f>IF(D1278="","",D1278*'参数与说明'!$B$6/45.3592)</f>
        <v/>
      </c>
      <c r="I1278" s="19">
        <f>IFERROR(IF(D1278="","",D1278/INDEX($D:$D,MATCH(EDATE($A1278,-1),$A:$A,0))-1),"")</f>
        <v/>
      </c>
      <c r="J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128</v>
      </c>
      <c r="E1279" s="14" t="n">
        <v>129</v>
      </c>
      <c r="F1279" s="14" t="n">
        <v>234</v>
      </c>
      <c r="G1279" s="14" t="n">
        <v>89.5</v>
      </c>
      <c r="H1279" s="14">
        <f>IF(D1279="","",D1279*'参数与说明'!$B$6/45.3592)</f>
        <v/>
      </c>
      <c r="I1279" s="15">
        <f>IFERROR(IF(D1279="","",D1279/INDEX($D:$D,MATCH(EDATE($A1279,-1),$A:$A,0))-1),"")</f>
        <v/>
      </c>
      <c r="J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129</v>
      </c>
      <c r="E1280" s="18" t="n">
        <v>131</v>
      </c>
      <c r="F1280" s="18" t="n">
        <v>217</v>
      </c>
      <c r="G1280" s="18" t="n">
        <v>82</v>
      </c>
      <c r="H1280" s="18">
        <f>IF(D1280="","",D1280*'参数与说明'!$B$6/45.3592)</f>
        <v/>
      </c>
      <c r="I1280" s="19">
        <f>IFERROR(IF(D1280="","",D1280/INDEX($D:$D,MATCH(EDATE($A1280,-1),$A:$A,0))-1),"")</f>
        <v/>
      </c>
      <c r="J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122</v>
      </c>
      <c r="E1281" s="14" t="n">
        <v>123</v>
      </c>
      <c r="F1281" s="14" t="n">
        <v>193</v>
      </c>
      <c r="G1281" s="14" t="n">
        <v>74.8</v>
      </c>
      <c r="H1281" s="14">
        <f>IF(D1281="","",D1281*'参数与说明'!$B$6/45.3592)</f>
        <v/>
      </c>
      <c r="I1281" s="15">
        <f>IFERROR(IF(D1281="","",D1281/INDEX($D:$D,MATCH(EDATE($A1281,-1),$A:$A,0))-1),"")</f>
        <v/>
      </c>
      <c r="J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130</v>
      </c>
      <c r="E1282" s="18" t="n">
        <v>132</v>
      </c>
      <c r="F1282" s="18" t="n">
        <v>193</v>
      </c>
      <c r="G1282" s="18" t="n">
        <v>74.2</v>
      </c>
      <c r="H1282" s="18">
        <f>IF(D1282="","",D1282*'参数与说明'!$B$6/45.3592)</f>
        <v/>
      </c>
      <c r="I1282" s="19">
        <f>IFERROR(IF(D1282="","",D1282/INDEX($D:$D,MATCH(EDATE($A1282,-1),$A:$A,0))-1),"")</f>
        <v/>
      </c>
      <c r="J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132</v>
      </c>
      <c r="E1283" s="14" t="n">
        <v>134</v>
      </c>
      <c r="F1283" s="14" t="n">
        <v>192</v>
      </c>
      <c r="G1283" s="14" t="n">
        <v>77.5</v>
      </c>
      <c r="H1283" s="14">
        <f>IF(D1283="","",D1283*'参数与说明'!$B$6/45.3592)</f>
        <v/>
      </c>
      <c r="I1283" s="15">
        <f>IFERROR(IF(D1283="","",D1283/INDEX($D:$D,MATCH(EDATE($A1283,-1),$A:$A,0))-1),"")</f>
        <v/>
      </c>
      <c r="J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135</v>
      </c>
      <c r="E1284" s="18" t="n">
        <v>137</v>
      </c>
      <c r="F1284" s="18" t="n">
        <v>197</v>
      </c>
      <c r="G1284" s="18" t="n">
        <v>80</v>
      </c>
      <c r="H1284" s="18">
        <f>IF(D1284="","",D1284*'参数与说明'!$B$6/45.3592)</f>
        <v/>
      </c>
      <c r="I1284" s="19">
        <f>IFERROR(IF(D1284="","",D1284/INDEX($D:$D,MATCH(EDATE($A1284,-1),$A:$A,0))-1),"")</f>
        <v/>
      </c>
      <c r="J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131</v>
      </c>
      <c r="E1285" s="14" t="n">
        <v>133</v>
      </c>
      <c r="F1285" s="14" t="n">
        <v>180</v>
      </c>
      <c r="G1285" s="14" t="n">
        <v>81.5</v>
      </c>
      <c r="H1285" s="14">
        <f>IF(D1285="","",D1285*'参数与说明'!$B$6/45.3592)</f>
        <v/>
      </c>
      <c r="I1285" s="15">
        <f>IFERROR(IF(D1285="","",D1285/INDEX($D:$D,MATCH(EDATE($A1285,-1),$A:$A,0))-1),"")</f>
        <v/>
      </c>
      <c r="J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128</v>
      </c>
      <c r="E1286" s="18" t="n">
        <v>129</v>
      </c>
      <c r="F1286" s="18" t="n">
        <v>170</v>
      </c>
      <c r="G1286" s="18" t="n">
        <v>79.59999999999999</v>
      </c>
      <c r="H1286" s="18">
        <f>IF(D1286="","",D1286*'参数与说明'!$B$6/45.3592)</f>
        <v/>
      </c>
      <c r="I1286" s="19">
        <f>IFERROR(IF(D1286="","",D1286/INDEX($D:$D,MATCH(EDATE($A1286,-1),$A:$A,0))-1),"")</f>
        <v/>
      </c>
      <c r="J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125</v>
      </c>
      <c r="E1287" s="14" t="n">
        <v>127</v>
      </c>
      <c r="F1287" s="14" t="n">
        <v>157</v>
      </c>
      <c r="G1287" s="14" t="n">
        <v>80.90000000000001</v>
      </c>
      <c r="H1287" s="14">
        <f>IF(D1287="","",D1287*'参数与说明'!$B$6/45.3592)</f>
        <v/>
      </c>
      <c r="I1287" s="15">
        <f>IFERROR(IF(D1287="","",D1287/INDEX($D:$D,MATCH(EDATE($A1287,-1),$A:$A,0))-1),"")</f>
        <v/>
      </c>
      <c r="J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119</v>
      </c>
      <c r="E1288" s="18" t="n">
        <v>120</v>
      </c>
      <c r="F1288" s="18" t="n">
        <v>145</v>
      </c>
      <c r="G1288" s="18" t="n">
        <v>81.5</v>
      </c>
      <c r="H1288" s="18">
        <f>IF(D1288="","",D1288*'参数与说明'!$B$6/45.3592)</f>
        <v/>
      </c>
      <c r="I1288" s="19">
        <f>IFERROR(IF(D1288="","",D1288/INDEX($D:$D,MATCH(EDATE($A1288,-1),$A:$A,0))-1),"")</f>
        <v/>
      </c>
      <c r="J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117</v>
      </c>
      <c r="E1289" s="14" t="n">
        <v>118</v>
      </c>
      <c r="F1289" s="14" t="n">
        <v>153</v>
      </c>
      <c r="G1289" s="14" t="n">
        <v>80.59999999999999</v>
      </c>
      <c r="H1289" s="14">
        <f>IF(D1289="","",D1289*'参数与说明'!$B$6/45.3592)</f>
        <v/>
      </c>
      <c r="I1289" s="15">
        <f>IFERROR(IF(D1289="","",D1289/INDEX($D:$D,MATCH(EDATE($A1289,-1),$A:$A,0))-1),"")</f>
        <v/>
      </c>
      <c r="J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108</v>
      </c>
      <c r="E1290" s="18" t="n">
        <v>109</v>
      </c>
      <c r="F1290" s="18" t="n">
        <v>139</v>
      </c>
      <c r="G1290" s="18" t="n">
        <v>74.5</v>
      </c>
      <c r="H1290" s="18">
        <f>IF(D1290="","",D1290*'参数与说明'!$B$6/45.3592)</f>
        <v/>
      </c>
      <c r="I1290" s="19">
        <f>IFERROR(IF(D1290="","",D1290/INDEX($D:$D,MATCH(EDATE($A1290,-1),$A:$A,0))-1),"")</f>
        <v/>
      </c>
      <c r="J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101</v>
      </c>
      <c r="E1291" s="14" t="n">
        <v>102</v>
      </c>
      <c r="F1291" s="14" t="n">
        <v>134</v>
      </c>
      <c r="G1291" s="14" t="n">
        <v>65.40000000000001</v>
      </c>
      <c r="H1291" s="14">
        <f>IF(D1291="","",D1291*'参数与说明'!$B$6/45.3592)</f>
        <v/>
      </c>
      <c r="I1291" s="15">
        <f>IFERROR(IF(D1291="","",D1291/INDEX($D:$D,MATCH(EDATE($A1291,-1),$A:$A,0))-1),"")</f>
        <v/>
      </c>
      <c r="J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104</v>
      </c>
      <c r="E1292" s="18" t="n">
        <v>106</v>
      </c>
      <c r="F1292" s="18" t="n">
        <v>143</v>
      </c>
      <c r="G1292" s="18" t="n">
        <v>61.9</v>
      </c>
      <c r="H1292" s="18">
        <f>IF(D1292="","",D1292*'参数与说明'!$B$6/45.3592)</f>
        <v/>
      </c>
      <c r="I1292" s="19">
        <f>IFERROR(IF(D1292="","",D1292/INDEX($D:$D,MATCH(EDATE($A1292,-1),$A:$A,0))-1),"")</f>
        <v/>
      </c>
      <c r="J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111</v>
      </c>
      <c r="E1293" s="14" t="n">
        <v>113</v>
      </c>
      <c r="F1293" s="14" t="n">
        <v>148</v>
      </c>
      <c r="G1293" s="14" t="n">
        <v>61.1</v>
      </c>
      <c r="H1293" s="14">
        <f>IF(D1293="","",D1293*'参数与说明'!$B$6/45.3592)</f>
        <v/>
      </c>
      <c r="I1293" s="15">
        <f>IFERROR(IF(D1293="","",D1293/INDEX($D:$D,MATCH(EDATE($A1293,-1),$A:$A,0))-1),"")</f>
        <v/>
      </c>
      <c r="J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117</v>
      </c>
      <c r="E1294" s="18" t="n">
        <v>119</v>
      </c>
      <c r="F1294" s="18" t="n">
        <v>152</v>
      </c>
      <c r="G1294" s="18" t="n">
        <v>64</v>
      </c>
      <c r="H1294" s="18">
        <f>IF(D1294="","",D1294*'参数与说明'!$B$6/45.3592)</f>
        <v/>
      </c>
      <c r="I1294" s="19">
        <f>IFERROR(IF(D1294="","",D1294/INDEX($D:$D,MATCH(EDATE($A1294,-1),$A:$A,0))-1),"")</f>
        <v/>
      </c>
      <c r="J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119</v>
      </c>
      <c r="E1295" s="14" t="n">
        <v>121</v>
      </c>
      <c r="F1295" s="14" t="n">
        <v>151</v>
      </c>
      <c r="G1295" s="14" t="n">
        <v>64.90000000000001</v>
      </c>
      <c r="H1295" s="14">
        <f>IF(D1295="","",D1295*'参数与说明'!$B$6/45.3592)</f>
        <v/>
      </c>
      <c r="I1295" s="15">
        <f>IFERROR(IF(D1295="","",D1295/INDEX($D:$D,MATCH(EDATE($A1295,-1),$A:$A,0))-1),"")</f>
        <v/>
      </c>
      <c r="J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125</v>
      </c>
      <c r="E1296" s="18" t="n">
        <v>127</v>
      </c>
      <c r="F1296" s="18" t="n">
        <v>159</v>
      </c>
      <c r="G1296" s="18" t="n">
        <v>69.5</v>
      </c>
      <c r="H1296" s="18">
        <f>IF(D1296="","",D1296*'参数与说明'!$B$6/45.3592)</f>
        <v/>
      </c>
      <c r="I1296" s="19">
        <f>IFERROR(IF(D1296="","",D1296/INDEX($D:$D,MATCH(EDATE($A1296,-1),$A:$A,0))-1),"")</f>
        <v/>
      </c>
      <c r="J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128</v>
      </c>
      <c r="E1297" s="14" t="n">
        <v>130</v>
      </c>
      <c r="F1297" s="14" t="n">
        <v>164</v>
      </c>
      <c r="G1297" s="14" t="n">
        <v>72.2</v>
      </c>
      <c r="H1297" s="14">
        <f>IF(D1297="","",D1297*'参数与说明'!$B$6/45.3592)</f>
        <v/>
      </c>
      <c r="I1297" s="15">
        <f>IFERROR(IF(D1297="","",D1297/INDEX($D:$D,MATCH(EDATE($A1297,-1),$A:$A,0))-1),"")</f>
        <v/>
      </c>
      <c r="J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136</v>
      </c>
      <c r="E1298" s="18" t="n">
        <v>138</v>
      </c>
      <c r="F1298" s="18" t="n">
        <v>171</v>
      </c>
      <c r="G1298" s="18" t="n">
        <v>73.3</v>
      </c>
      <c r="H1298" s="18">
        <f>IF(D1298="","",D1298*'参数与说明'!$B$6/45.3592)</f>
        <v/>
      </c>
      <c r="I1298" s="19">
        <f>IFERROR(IF(D1298="","",D1298/INDEX($D:$D,MATCH(EDATE($A1298,-1),$A:$A,0))-1),"")</f>
        <v/>
      </c>
      <c r="J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132</v>
      </c>
      <c r="E1299" s="14" t="n">
        <v>133</v>
      </c>
      <c r="F1299" s="14" t="n">
        <v>164</v>
      </c>
      <c r="G1299" s="14" t="n">
        <v>76.5</v>
      </c>
      <c r="H1299" s="14">
        <f>IF(D1299="","",D1299*'参数与说明'!$B$6/45.3592)</f>
        <v/>
      </c>
      <c r="I1299" s="15">
        <f>IFERROR(IF(D1299="","",D1299/INDEX($D:$D,MATCH(EDATE($A1299,-1),$A:$A,0))-1),"")</f>
        <v/>
      </c>
      <c r="J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120</v>
      </c>
      <c r="E1300" s="18" t="n">
        <v>121</v>
      </c>
      <c r="F1300" s="18" t="n">
        <v>157</v>
      </c>
      <c r="G1300" s="18" t="n">
        <v>77.3</v>
      </c>
      <c r="H1300" s="18">
        <f>IF(D1300="","",D1300*'参数与说明'!$B$6/45.3592)</f>
        <v/>
      </c>
      <c r="I1300" s="19">
        <f>IFERROR(IF(D1300="","",D1300/INDEX($D:$D,MATCH(EDATE($A1300,-1),$A:$A,0))-1),"")</f>
        <v/>
      </c>
      <c r="J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114</v>
      </c>
      <c r="E1301" s="14" t="n">
        <v>115</v>
      </c>
      <c r="F1301" s="14" t="n">
        <v>163</v>
      </c>
      <c r="G1301" s="14" t="n">
        <v>76.3</v>
      </c>
      <c r="H1301" s="14">
        <f>IF(D1301="","",D1301*'参数与说明'!$B$6/45.3592)</f>
        <v/>
      </c>
      <c r="I1301" s="15">
        <f>IFERROR(IF(D1301="","",D1301/INDEX($D:$D,MATCH(EDATE($A1301,-1),$A:$A,0))-1),"")</f>
        <v/>
      </c>
      <c r="J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105</v>
      </c>
      <c r="E1302" s="18" t="n">
        <v>107</v>
      </c>
      <c r="F1302" s="18" t="n">
        <v>173</v>
      </c>
      <c r="G1302" s="18" t="n">
        <v>69.90000000000001</v>
      </c>
      <c r="H1302" s="18">
        <f>IF(D1302="","",D1302*'参数与说明'!$B$6/45.3592)</f>
        <v/>
      </c>
      <c r="I1302" s="19">
        <f>IFERROR(IF(D1302="","",D1302/INDEX($D:$D,MATCH(EDATE($A1302,-1),$A:$A,0))-1),"")</f>
        <v/>
      </c>
      <c r="J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109</v>
      </c>
      <c r="E1303" s="14" t="n">
        <v>111</v>
      </c>
      <c r="F1303" s="14" t="n">
        <v>177</v>
      </c>
      <c r="G1303" s="14" t="n">
        <v>65.40000000000001</v>
      </c>
      <c r="H1303" s="14">
        <f>IF(D1303="","",D1303*'参数与说明'!$B$6/45.3592)</f>
        <v/>
      </c>
      <c r="I1303" s="15">
        <f>IFERROR(IF(D1303="","",D1303/INDEX($D:$D,MATCH(EDATE($A1303,-1),$A:$A,0))-1),"")</f>
        <v/>
      </c>
      <c r="J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119</v>
      </c>
      <c r="E1304" s="18" t="n">
        <v>121</v>
      </c>
      <c r="F1304" s="18" t="n">
        <v>177</v>
      </c>
      <c r="G1304" s="18" t="n">
        <v>63.4</v>
      </c>
      <c r="H1304" s="18">
        <f>IF(D1304="","",D1304*'参数与说明'!$B$6/45.3592)</f>
        <v/>
      </c>
      <c r="I1304" s="19">
        <f>IFERROR(IF(D1304="","",D1304/INDEX($D:$D,MATCH(EDATE($A1304,-1),$A:$A,0))-1),"")</f>
        <v/>
      </c>
      <c r="J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118</v>
      </c>
      <c r="E1305" s="14" t="n">
        <v>120</v>
      </c>
      <c r="F1305" s="14" t="n">
        <v>174</v>
      </c>
      <c r="G1305" s="14" t="n">
        <v>62</v>
      </c>
      <c r="H1305" s="14">
        <f>IF(D1305="","",D1305*'参数与说明'!$B$6/45.3592)</f>
        <v/>
      </c>
      <c r="I1305" s="15">
        <f>IFERROR(IF(D1305="","",D1305/INDEX($D:$D,MATCH(EDATE($A1305,-1),$A:$A,0))-1),"")</f>
        <v/>
      </c>
      <c r="J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120</v>
      </c>
      <c r="E1306" s="18" t="n">
        <v>123</v>
      </c>
      <c r="F1306" s="18" t="n">
        <v>174</v>
      </c>
      <c r="G1306" s="18" t="n">
        <v>63.3</v>
      </c>
      <c r="H1306" s="18">
        <f>IF(D1306="","",D1306*'参数与说明'!$B$6/45.3592)</f>
        <v/>
      </c>
      <c r="I1306" s="19">
        <f>IFERROR(IF(D1306="","",D1306/INDEX($D:$D,MATCH(EDATE($A1306,-1),$A:$A,0))-1),"")</f>
        <v/>
      </c>
      <c r="J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125</v>
      </c>
      <c r="E1307" s="14" t="n">
        <v>127</v>
      </c>
      <c r="F1307" s="14" t="n">
        <v>180</v>
      </c>
      <c r="G1307" s="14" t="n">
        <v>65.59999999999999</v>
      </c>
      <c r="H1307" s="14">
        <f>IF(D1307="","",D1307*'参数与说明'!$B$6/45.3592)</f>
        <v/>
      </c>
      <c r="I1307" s="15">
        <f>IFERROR(IF(D1307="","",D1307/INDEX($D:$D,MATCH(EDATE($A1307,-1),$A:$A,0))-1),"")</f>
        <v/>
      </c>
      <c r="J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125</v>
      </c>
      <c r="E1308" s="18" t="n">
        <v>127</v>
      </c>
      <c r="F1308" s="18" t="n">
        <v>175</v>
      </c>
      <c r="G1308" s="18" t="n">
        <v>68.90000000000001</v>
      </c>
      <c r="H1308" s="18">
        <f>IF(D1308="","",D1308*'参数与说明'!$B$6/45.3592)</f>
        <v/>
      </c>
      <c r="I1308" s="19">
        <f>IFERROR(IF(D1308="","",D1308/INDEX($D:$D,MATCH(EDATE($A1308,-1),$A:$A,0))-1),"")</f>
        <v/>
      </c>
      <c r="J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119</v>
      </c>
      <c r="E1309" s="14" t="n">
        <v>122</v>
      </c>
      <c r="F1309" s="14" t="n">
        <v>170</v>
      </c>
      <c r="G1309" s="14" t="n">
        <v>67.5</v>
      </c>
      <c r="H1309" s="14">
        <f>IF(D1309="","",D1309*'参数与说明'!$B$6/45.3592)</f>
        <v/>
      </c>
      <c r="I1309" s="15">
        <f>IFERROR(IF(D1309="","",D1309/INDEX($D:$D,MATCH(EDATE($A1309,-1),$A:$A,0))-1),"")</f>
        <v/>
      </c>
      <c r="J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120</v>
      </c>
      <c r="E1310" s="18" t="n">
        <v>122</v>
      </c>
      <c r="F1310" s="18" t="n">
        <v>165</v>
      </c>
      <c r="G1310" s="18" t="n">
        <v>66.2</v>
      </c>
      <c r="H1310" s="18">
        <f>IF(D1310="","",D1310*'参数与说明'!$B$6/45.3592)</f>
        <v/>
      </c>
      <c r="I1310" s="19">
        <f>IFERROR(IF(D1310="","",D1310/INDEX($D:$D,MATCH(EDATE($A1310,-1),$A:$A,0))-1),"")</f>
        <v/>
      </c>
      <c r="J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112</v>
      </c>
      <c r="E1311" s="14" t="n">
        <v>113</v>
      </c>
      <c r="F1311" s="14" t="n">
        <v>158</v>
      </c>
      <c r="G1311" s="14" t="n">
        <v>66.3</v>
      </c>
      <c r="H1311" s="14">
        <f>IF(D1311="","",D1311*'参数与说明'!$B$6/45.3592)</f>
        <v/>
      </c>
      <c r="I1311" s="15">
        <f>IFERROR(IF(D1311="","",D1311/INDEX($D:$D,MATCH(EDATE($A1311,-1),$A:$A,0))-1),"")</f>
        <v/>
      </c>
      <c r="J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110</v>
      </c>
      <c r="E1312" s="18" t="n">
        <v>112</v>
      </c>
      <c r="F1312" s="18" t="n">
        <v>153</v>
      </c>
      <c r="G1312" s="18" t="n">
        <v>66.8</v>
      </c>
      <c r="H1312" s="18">
        <f>IF(D1312="","",D1312*'参数与说明'!$B$6/45.3592)</f>
        <v/>
      </c>
      <c r="I1312" s="19">
        <f>IFERROR(IF(D1312="","",D1312/INDEX($D:$D,MATCH(EDATE($A1312,-1),$A:$A,0))-1),"")</f>
        <v/>
      </c>
      <c r="J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110</v>
      </c>
      <c r="E1313" s="14" t="n">
        <v>112</v>
      </c>
      <c r="F1313" s="14" t="n">
        <v>160</v>
      </c>
      <c r="G1313" s="14" t="n">
        <v>63</v>
      </c>
      <c r="H1313" s="14">
        <f>IF(D1313="","",D1313*'参数与说明'!$B$6/45.3592)</f>
        <v/>
      </c>
      <c r="I1313" s="15">
        <f>IFERROR(IF(D1313="","",D1313/INDEX($D:$D,MATCH(EDATE($A1313,-1),$A:$A,0))-1),"")</f>
        <v/>
      </c>
      <c r="J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108</v>
      </c>
      <c r="E1314" s="18" t="n">
        <v>110</v>
      </c>
      <c r="F1314" s="18" t="n">
        <v>169</v>
      </c>
      <c r="G1314" s="18" t="n">
        <v>60.8</v>
      </c>
      <c r="H1314" s="18">
        <f>IF(D1314="","",D1314*'参数与说明'!$B$6/45.3592)</f>
        <v/>
      </c>
      <c r="I1314" s="19">
        <f>IFERROR(IF(D1314="","",D1314/INDEX($D:$D,MATCH(EDATE($A1314,-1),$A:$A,0))-1),"")</f>
        <v/>
      </c>
      <c r="J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110</v>
      </c>
      <c r="E1315" s="14" t="n">
        <v>112</v>
      </c>
      <c r="F1315" s="14" t="n">
        <v>174</v>
      </c>
      <c r="G1315" s="14" t="n">
        <v>57.8</v>
      </c>
      <c r="H1315" s="14">
        <f>IF(D1315="","",D1315*'参数与说明'!$B$6/45.3592)</f>
        <v/>
      </c>
      <c r="I1315" s="15">
        <f>IFERROR(IF(D1315="","",D1315/INDEX($D:$D,MATCH(EDATE($A1315,-1),$A:$A,0))-1),"")</f>
        <v/>
      </c>
      <c r="J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113</v>
      </c>
      <c r="E1316" s="18" t="n">
        <v>115</v>
      </c>
      <c r="F1316" s="18" t="n">
        <v>169</v>
      </c>
      <c r="G1316" s="18" t="n">
        <v>52.7</v>
      </c>
      <c r="H1316" s="18">
        <f>IF(D1316="","",D1316*'参数与说明'!$B$6/45.3592)</f>
        <v/>
      </c>
      <c r="I1316" s="19">
        <f>IFERROR(IF(D1316="","",D1316/INDEX($D:$D,MATCH(EDATE($A1316,-1),$A:$A,0))-1),"")</f>
        <v/>
      </c>
      <c r="J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117</v>
      </c>
      <c r="E1317" s="14" t="n">
        <v>119</v>
      </c>
      <c r="F1317" s="14" t="n">
        <v>166</v>
      </c>
      <c r="G1317" s="14" t="n">
        <v>51.8</v>
      </c>
      <c r="H1317" s="14">
        <f>IF(D1317="","",D1317*'参数与说明'!$B$6/45.3592)</f>
        <v/>
      </c>
      <c r="I1317" s="15">
        <f>IFERROR(IF(D1317="","",D1317/INDEX($D:$D,MATCH(EDATE($A1317,-1),$A:$A,0))-1),"")</f>
        <v/>
      </c>
      <c r="J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121</v>
      </c>
      <c r="E1318" s="18" t="n">
        <v>124</v>
      </c>
      <c r="F1318" s="18" t="n">
        <v>169</v>
      </c>
      <c r="G1318" s="18" t="n">
        <v>54.2</v>
      </c>
      <c r="H1318" s="18">
        <f>IF(D1318="","",D1318*'参数与说明'!$B$6/45.3592)</f>
        <v/>
      </c>
      <c r="I1318" s="19">
        <f>IFERROR(IF(D1318="","",D1318/INDEX($D:$D,MATCH(EDATE($A1318,-1),$A:$A,0))-1),"")</f>
        <v/>
      </c>
      <c r="J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123</v>
      </c>
      <c r="E1319" s="14" t="n">
        <v>126</v>
      </c>
      <c r="F1319" s="14" t="n">
        <v>170</v>
      </c>
      <c r="G1319" s="14" t="n">
        <v>58.9</v>
      </c>
      <c r="H1319" s="14">
        <f>IF(D1319="","",D1319*'参数与说明'!$B$6/45.3592)</f>
        <v/>
      </c>
      <c r="I1319" s="15">
        <f>IFERROR(IF(D1319="","",D1319/INDEX($D:$D,MATCH(EDATE($A1319,-1),$A:$A,0))-1),"")</f>
        <v/>
      </c>
      <c r="J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126</v>
      </c>
      <c r="E1320" s="18" t="n">
        <v>129</v>
      </c>
      <c r="F1320" s="18" t="n">
        <v>170</v>
      </c>
      <c r="G1320" s="18" t="n">
        <v>62.8</v>
      </c>
      <c r="H1320" s="18">
        <f>IF(D1320="","",D1320*'参数与说明'!$B$6/45.3592)</f>
        <v/>
      </c>
      <c r="I1320" s="19">
        <f>IFERROR(IF(D1320="","",D1320/INDEX($D:$D,MATCH(EDATE($A1320,-1),$A:$A,0))-1),"")</f>
        <v/>
      </c>
      <c r="J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125</v>
      </c>
      <c r="E1321" s="14" t="n">
        <v>128</v>
      </c>
      <c r="F1321" s="14" t="n">
        <v>174</v>
      </c>
      <c r="G1321" s="14" t="n">
        <v>61.3</v>
      </c>
      <c r="H1321" s="14">
        <f>IF(D1321="","",D1321*'参数与说明'!$B$6/45.3592)</f>
        <v/>
      </c>
      <c r="I1321" s="15">
        <f>IFERROR(IF(D1321="","",D1321/INDEX($D:$D,MATCH(EDATE($A1321,-1),$A:$A,0))-1),"")</f>
        <v/>
      </c>
      <c r="J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120</v>
      </c>
      <c r="E1322" s="18" t="n">
        <v>122</v>
      </c>
      <c r="F1322" s="18" t="n">
        <v>148</v>
      </c>
      <c r="G1322" s="18" t="n">
        <v>65.59999999999999</v>
      </c>
      <c r="H1322" s="18">
        <f>IF(D1322="","",D1322*'参数与说明'!$B$6/45.3592)</f>
        <v/>
      </c>
      <c r="I1322" s="19">
        <f>IFERROR(IF(D1322="","",D1322/INDEX($D:$D,MATCH(EDATE($A1322,-1),$A:$A,0))-1),"")</f>
        <v/>
      </c>
      <c r="J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114</v>
      </c>
      <c r="E1323" s="14" t="n">
        <v>115</v>
      </c>
      <c r="F1323" s="14" t="n">
        <v>149</v>
      </c>
      <c r="G1323" s="14" t="n">
        <v>65.90000000000001</v>
      </c>
      <c r="H1323" s="14">
        <f>IF(D1323="","",D1323*'参数与说明'!$B$6/45.3592)</f>
        <v/>
      </c>
      <c r="I1323" s="15">
        <f>IFERROR(IF(D1323="","",D1323/INDEX($D:$D,MATCH(EDATE($A1323,-1),$A:$A,0))-1),"")</f>
        <v/>
      </c>
      <c r="J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112</v>
      </c>
      <c r="E1324" s="18" t="n">
        <v>113</v>
      </c>
      <c r="F1324" s="18" t="n">
        <v>144</v>
      </c>
      <c r="G1324" s="18" t="n">
        <v>67</v>
      </c>
      <c r="H1324" s="18">
        <f>IF(D1324="","",D1324*'参数与说明'!$B$6/45.3592)</f>
        <v/>
      </c>
      <c r="I1324" s="19">
        <f>IFERROR(IF(D1324="","",D1324/INDEX($D:$D,MATCH(EDATE($A1324,-1),$A:$A,0))-1),"")</f>
        <v/>
      </c>
      <c r="J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111</v>
      </c>
      <c r="E1325" s="14" t="n">
        <v>112</v>
      </c>
      <c r="F1325" s="14" t="n">
        <v>142</v>
      </c>
      <c r="G1325" s="14" t="n">
        <v>68.3</v>
      </c>
      <c r="H1325" s="14">
        <f>IF(D1325="","",D1325*'参数与说明'!$B$6/45.3592)</f>
        <v/>
      </c>
      <c r="I1325" s="15">
        <f>IFERROR(IF(D1325="","",D1325/INDEX($D:$D,MATCH(EDATE($A1325,-1),$A:$A,0))-1),"")</f>
        <v/>
      </c>
      <c r="J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103</v>
      </c>
      <c r="E1326" s="18" t="n">
        <v>104</v>
      </c>
      <c r="F1326" s="18" t="n">
        <v>144</v>
      </c>
      <c r="G1326" s="18" t="n">
        <v>65.59999999999999</v>
      </c>
      <c r="H1326" s="18">
        <f>IF(D1326="","",D1326*'参数与说明'!$B$6/45.3592)</f>
        <v/>
      </c>
      <c r="I1326" s="19">
        <f>IFERROR(IF(D1326="","",D1326/INDEX($D:$D,MATCH(EDATE($A1326,-1),$A:$A,0))-1),"")</f>
        <v/>
      </c>
      <c r="J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107</v>
      </c>
      <c r="E1327" s="14" t="n">
        <v>109</v>
      </c>
      <c r="F1327" s="14" t="n">
        <v>154</v>
      </c>
      <c r="G1327" s="14" t="n">
        <v>60.9</v>
      </c>
      <c r="H1327" s="14">
        <f>IF(D1327="","",D1327*'参数与说明'!$B$6/45.3592)</f>
        <v/>
      </c>
      <c r="I1327" s="15">
        <f>IFERROR(IF(D1327="","",D1327/INDEX($D:$D,MATCH(EDATE($A1327,-1),$A:$A,0))-1),"")</f>
        <v/>
      </c>
      <c r="J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113</v>
      </c>
      <c r="E1328" s="18" t="n">
        <v>115</v>
      </c>
      <c r="F1328" s="18" t="n">
        <v>158</v>
      </c>
      <c r="G1328" s="18" t="n">
        <v>57.7</v>
      </c>
      <c r="H1328" s="18">
        <f>IF(D1328="","",D1328*'参数与说明'!$B$6/45.3592)</f>
        <v/>
      </c>
      <c r="I1328" s="19">
        <f>IFERROR(IF(D1328="","",D1328/INDEX($D:$D,MATCH(EDATE($A1328,-1),$A:$A,0))-1),"")</f>
        <v/>
      </c>
      <c r="J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118</v>
      </c>
      <c r="E1329" s="14" t="n">
        <v>120</v>
      </c>
      <c r="F1329" s="14" t="n">
        <v>159</v>
      </c>
      <c r="G1329" s="14" t="n">
        <v>59.3</v>
      </c>
      <c r="H1329" s="14">
        <f>IF(D1329="","",D1329*'参数与说明'!$B$6/45.3592)</f>
        <v/>
      </c>
      <c r="I1329" s="15">
        <f>IFERROR(IF(D1329="","",D1329/INDEX($D:$D,MATCH(EDATE($A1329,-1),$A:$A,0))-1),"")</f>
        <v/>
      </c>
      <c r="J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122</v>
      </c>
      <c r="E1330" s="18" t="n">
        <v>125</v>
      </c>
      <c r="F1330" s="18" t="n">
        <v>168</v>
      </c>
      <c r="G1330" s="18" t="n">
        <v>61.4</v>
      </c>
      <c r="H1330" s="18">
        <f>IF(D1330="","",D1330*'参数与说明'!$B$6/45.3592)</f>
        <v/>
      </c>
      <c r="I1330" s="19">
        <f>IFERROR(IF(D1330="","",D1330/INDEX($D:$D,MATCH(EDATE($A1330,-1),$A:$A,0))-1),"")</f>
        <v/>
      </c>
      <c r="J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120</v>
      </c>
      <c r="E1331" s="14" t="n">
        <v>122</v>
      </c>
      <c r="F1331" s="14" t="n">
        <v>168</v>
      </c>
      <c r="G1331" s="14" t="n">
        <v>65.8</v>
      </c>
      <c r="H1331" s="14">
        <f>IF(D1331="","",D1331*'参数与说明'!$B$6/45.3592)</f>
        <v/>
      </c>
      <c r="I1331" s="15">
        <f>IFERROR(IF(D1331="","",D1331/INDEX($D:$D,MATCH(EDATE($A1331,-1),$A:$A,0))-1),"")</f>
        <v/>
      </c>
      <c r="J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113</v>
      </c>
      <c r="E1332" s="18" t="n">
        <v>114</v>
      </c>
      <c r="F1332" s="18" t="n">
        <v>160</v>
      </c>
      <c r="G1332" s="18" t="n">
        <v>67.5</v>
      </c>
      <c r="H1332" s="18">
        <f>IF(D1332="","",D1332*'参数与说明'!$B$6/45.3592)</f>
        <v/>
      </c>
      <c r="I1332" s="19">
        <f>IFERROR(IF(D1332="","",D1332/INDEX($D:$D,MATCH(EDATE($A1332,-1),$A:$A,0))-1),"")</f>
        <v/>
      </c>
      <c r="J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108</v>
      </c>
      <c r="E1333" s="14" t="n">
        <v>111</v>
      </c>
      <c r="F1333" s="14" t="n">
        <v>151</v>
      </c>
      <c r="G1333" s="14" t="n">
        <v>64</v>
      </c>
      <c r="H1333" s="14">
        <f>IF(D1333="","",D1333*'参数与说明'!$B$6/45.3592)</f>
        <v/>
      </c>
      <c r="I1333" s="15">
        <f>IFERROR(IF(D1333="","",D1333/INDEX($D:$D,MATCH(EDATE($A1333,-1),$A:$A,0))-1),"")</f>
        <v/>
      </c>
      <c r="J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109</v>
      </c>
      <c r="E1334" s="18" t="n">
        <v>111</v>
      </c>
      <c r="F1334" s="18" t="n">
        <v>151</v>
      </c>
      <c r="G1334" s="18" t="n">
        <v>68.3</v>
      </c>
      <c r="H1334" s="18">
        <f>IF(D1334="","",D1334*'参数与说明'!$B$6/45.3592)</f>
        <v/>
      </c>
      <c r="I1334" s="19">
        <f>IFERROR(IF(D1334="","",D1334/INDEX($D:$D,MATCH(EDATE($A1334,-1),$A:$A,0))-1),"")</f>
        <v/>
      </c>
      <c r="J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109</v>
      </c>
      <c r="E1335" s="14" t="n">
        <v>110</v>
      </c>
      <c r="F1335" s="14" t="n">
        <v>149</v>
      </c>
      <c r="G1335" s="14" t="n">
        <v>71</v>
      </c>
      <c r="H1335" s="14">
        <f>IF(D1335="","",D1335*'参数与说明'!$B$6/45.3592)</f>
        <v/>
      </c>
      <c r="I1335" s="15">
        <f>IFERROR(IF(D1335="","",D1335/INDEX($D:$D,MATCH(EDATE($A1335,-1),$A:$A,0))-1),"")</f>
        <v/>
      </c>
      <c r="J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97.09999999999999</v>
      </c>
      <c r="E1336" s="18" t="n">
        <v>98</v>
      </c>
      <c r="F1336" s="18" t="n">
        <v>149</v>
      </c>
      <c r="G1336" s="18" t="n">
        <v>70.5</v>
      </c>
      <c r="H1336" s="18">
        <f>IF(D1336="","",D1336*'参数与说明'!$B$6/45.3592)</f>
        <v/>
      </c>
      <c r="I1336" s="19">
        <f>IFERROR(IF(D1336="","",D1336/INDEX($D:$D,MATCH(EDATE($A1336,-1),$A:$A,0))-1),"")</f>
        <v/>
      </c>
      <c r="J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103</v>
      </c>
      <c r="E1337" s="14" t="n">
        <v>104</v>
      </c>
      <c r="F1337" s="14" t="n">
        <v>153</v>
      </c>
      <c r="G1337" s="14" t="n">
        <v>70.7</v>
      </c>
      <c r="H1337" s="14">
        <f>IF(D1337="","",D1337*'参数与说明'!$B$6/45.3592)</f>
        <v/>
      </c>
      <c r="I1337" s="15">
        <f>IFERROR(IF(D1337="","",D1337/INDEX($D:$D,MATCH(EDATE($A1337,-1),$A:$A,0))-1),"")</f>
        <v/>
      </c>
      <c r="J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104</v>
      </c>
      <c r="E1338" s="18" t="n">
        <v>105</v>
      </c>
      <c r="F1338" s="18" t="n">
        <v>155</v>
      </c>
      <c r="G1338" s="18" t="n">
        <v>66.59999999999999</v>
      </c>
      <c r="H1338" s="18">
        <f>IF(D1338="","",D1338*'参数与说明'!$B$6/45.3592)</f>
        <v/>
      </c>
      <c r="I1338" s="19">
        <f>IFERROR(IF(D1338="","",D1338/INDEX($D:$D,MATCH(EDATE($A1338,-1),$A:$A,0))-1),"")</f>
        <v/>
      </c>
      <c r="J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106</v>
      </c>
      <c r="E1339" s="14" t="n">
        <v>108</v>
      </c>
      <c r="F1339" s="14" t="n">
        <v>156</v>
      </c>
      <c r="G1339" s="14" t="n">
        <v>60</v>
      </c>
      <c r="H1339" s="14">
        <f>IF(D1339="","",D1339*'参数与说明'!$B$6/45.3592)</f>
        <v/>
      </c>
      <c r="I1339" s="15">
        <f>IFERROR(IF(D1339="","",D1339/INDEX($D:$D,MATCH(EDATE($A1339,-1),$A:$A,0))-1),"")</f>
        <v/>
      </c>
      <c r="J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107</v>
      </c>
      <c r="E1340" s="18" t="n">
        <v>109</v>
      </c>
      <c r="F1340" s="18" t="n">
        <v>162</v>
      </c>
      <c r="G1340" s="18" t="n">
        <v>59.3</v>
      </c>
      <c r="H1340" s="18">
        <f>IF(D1340="","",D1340*'参数与说明'!$B$6/45.3592)</f>
        <v/>
      </c>
      <c r="I1340" s="19">
        <f>IFERROR(IF(D1340="","",D1340/INDEX($D:$D,MATCH(EDATE($A1340,-1),$A:$A,0))-1),"")</f>
        <v/>
      </c>
      <c r="J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108</v>
      </c>
      <c r="E1341" s="14" t="n">
        <v>111</v>
      </c>
      <c r="F1341" s="14" t="n">
        <v>165</v>
      </c>
      <c r="G1341" s="14" t="n">
        <v>58.1</v>
      </c>
      <c r="H1341" s="14">
        <f>IF(D1341="","",D1341*'参数与说明'!$B$6/45.3592)</f>
        <v/>
      </c>
      <c r="I1341" s="15">
        <f>IFERROR(IF(D1341="","",D1341/INDEX($D:$D,MATCH(EDATE($A1341,-1),$A:$A,0))-1),"")</f>
        <v/>
      </c>
      <c r="J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110</v>
      </c>
      <c r="E1342" s="18" t="n">
        <v>112</v>
      </c>
      <c r="F1342" s="18" t="n">
        <v>165</v>
      </c>
      <c r="G1342" s="18" t="n">
        <v>59.7</v>
      </c>
      <c r="H1342" s="18">
        <f>IF(D1342="","",D1342*'参数与说明'!$B$6/45.3592)</f>
        <v/>
      </c>
      <c r="I1342" s="19">
        <f>IFERROR(IF(D1342="","",D1342/INDEX($D:$D,MATCH(EDATE($A1342,-1),$A:$A,0))-1),"")</f>
        <v/>
      </c>
      <c r="J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112</v>
      </c>
      <c r="E1343" s="14" t="n">
        <v>115</v>
      </c>
      <c r="F1343" s="14" t="n">
        <v>167</v>
      </c>
      <c r="G1343" s="14" t="n">
        <v>65.59999999999999</v>
      </c>
      <c r="H1343" s="14">
        <f>IF(D1343="","",D1343*'参数与说明'!$B$6/45.3592)</f>
        <v/>
      </c>
      <c r="I1343" s="15">
        <f>IFERROR(IF(D1343="","",D1343/INDEX($D:$D,MATCH(EDATE($A1343,-1),$A:$A,0))-1),"")</f>
        <v/>
      </c>
      <c r="J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113</v>
      </c>
      <c r="E1344" s="18" t="n">
        <v>116</v>
      </c>
      <c r="F1344" s="18" t="n">
        <v>163</v>
      </c>
      <c r="G1344" s="18" t="n">
        <v>67.09999999999999</v>
      </c>
      <c r="H1344" s="18">
        <f>IF(D1344="","",D1344*'参数与说明'!$B$6/45.3592)</f>
        <v/>
      </c>
      <c r="I1344" s="19">
        <f>IFERROR(IF(D1344="","",D1344/INDEX($D:$D,MATCH(EDATE($A1344,-1),$A:$A,0))-1),"")</f>
        <v/>
      </c>
      <c r="J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118</v>
      </c>
      <c r="E1345" s="14" t="n">
        <v>121</v>
      </c>
      <c r="F1345" s="14" t="n">
        <v>168</v>
      </c>
      <c r="G1345" s="14" t="n">
        <v>71.09999999999999</v>
      </c>
      <c r="H1345" s="14">
        <f>IF(D1345="","",D1345*'参数与说明'!$B$6/45.3592)</f>
        <v/>
      </c>
      <c r="I1345" s="15">
        <f>IFERROR(IF(D1345="","",D1345/INDEX($D:$D,MATCH(EDATE($A1345,-1),$A:$A,0))-1),"")</f>
        <v/>
      </c>
      <c r="J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118</v>
      </c>
      <c r="E1346" s="18" t="n">
        <v>121</v>
      </c>
      <c r="F1346" s="18" t="n">
        <v>159</v>
      </c>
      <c r="G1346" s="18" t="n">
        <v>70.8</v>
      </c>
      <c r="H1346" s="18">
        <f>IF(D1346="","",D1346*'参数与说明'!$B$6/45.3592)</f>
        <v/>
      </c>
      <c r="I1346" s="19">
        <f>IFERROR(IF(D1346="","",D1346/INDEX($D:$D,MATCH(EDATE($A1346,-1),$A:$A,0))-1),"")</f>
        <v/>
      </c>
      <c r="J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121</v>
      </c>
      <c r="E1347" s="14" t="n">
        <v>123</v>
      </c>
      <c r="F1347" s="14" t="n">
        <v>159</v>
      </c>
      <c r="G1347" s="14" t="n">
        <v>73.90000000000001</v>
      </c>
      <c r="H1347" s="14">
        <f>IF(D1347="","",D1347*'参数与说明'!$B$6/45.3592)</f>
        <v/>
      </c>
      <c r="I1347" s="15">
        <f>IFERROR(IF(D1347="","",D1347/INDEX($D:$D,MATCH(EDATE($A1347,-1),$A:$A,0))-1),"")</f>
        <v/>
      </c>
      <c r="J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122</v>
      </c>
      <c r="E1348" s="18" t="n">
        <v>125</v>
      </c>
      <c r="F1348" s="18" t="n">
        <v>165</v>
      </c>
      <c r="G1348" s="18" t="n">
        <v>75.59999999999999</v>
      </c>
      <c r="H1348" s="18">
        <f>IF(D1348="","",D1348*'参数与说明'!$B$6/45.3592)</f>
        <v/>
      </c>
      <c r="I1348" s="19">
        <f>IFERROR(IF(D1348="","",D1348/INDEX($D:$D,MATCH(EDATE($A1348,-1),$A:$A,0))-1),"")</f>
        <v/>
      </c>
      <c r="J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123</v>
      </c>
      <c r="E1349" s="14" t="n">
        <v>125</v>
      </c>
      <c r="F1349" s="14" t="n">
        <v>175</v>
      </c>
      <c r="G1349" s="14" t="n">
        <v>76</v>
      </c>
      <c r="H1349" s="14">
        <f>IF(D1349="","",D1349*'参数与说明'!$B$6/45.3592)</f>
        <v/>
      </c>
      <c r="I1349" s="15">
        <f>IFERROR(IF(D1349="","",D1349/INDEX($D:$D,MATCH(EDATE($A1349,-1),$A:$A,0))-1),"")</f>
        <v/>
      </c>
      <c r="J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124</v>
      </c>
      <c r="E1350" s="18" t="n">
        <v>127</v>
      </c>
      <c r="F1350" s="18" t="n">
        <v>173</v>
      </c>
      <c r="G1350" s="18" t="n">
        <v>72.90000000000001</v>
      </c>
      <c r="H1350" s="18">
        <f>IF(D1350="","",D1350*'参数与说明'!$B$6/45.3592)</f>
        <v/>
      </c>
      <c r="I1350" s="19">
        <f>IFERROR(IF(D1350="","",D1350/INDEX($D:$D,MATCH(EDATE($A1350,-1),$A:$A,0))-1),"")</f>
        <v/>
      </c>
      <c r="J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123</v>
      </c>
      <c r="E1351" s="14" t="n">
        <v>126</v>
      </c>
      <c r="F1351" s="14" t="n">
        <v>175</v>
      </c>
      <c r="G1351" s="14" t="n">
        <v>70.59999999999999</v>
      </c>
      <c r="H1351" s="14">
        <f>IF(D1351="","",D1351*'参数与说明'!$B$6/45.3592)</f>
        <v/>
      </c>
      <c r="I1351" s="15">
        <f>IFERROR(IF(D1351="","",D1351/INDEX($D:$D,MATCH(EDATE($A1351,-1),$A:$A,0))-1),"")</f>
        <v/>
      </c>
      <c r="J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129</v>
      </c>
      <c r="E1352" s="18" t="n">
        <v>132</v>
      </c>
      <c r="F1352" s="18" t="n">
        <v>174</v>
      </c>
      <c r="G1352" s="18" t="n">
        <v>69.2</v>
      </c>
      <c r="H1352" s="18">
        <f>IF(D1352="","",D1352*'参数与说明'!$B$6/45.3592)</f>
        <v/>
      </c>
      <c r="I1352" s="19">
        <f>IFERROR(IF(D1352="","",D1352/INDEX($D:$D,MATCH(EDATE($A1352,-1),$A:$A,0))-1),"")</f>
        <v/>
      </c>
      <c r="J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137</v>
      </c>
      <c r="E1353" s="14" t="n">
        <v>141</v>
      </c>
      <c r="F1353" s="14" t="n">
        <v>181</v>
      </c>
      <c r="G1353" s="14" t="n">
        <v>69.09999999999999</v>
      </c>
      <c r="H1353" s="14">
        <f>IF(D1353="","",D1353*'参数与说明'!$B$6/45.3592)</f>
        <v/>
      </c>
      <c r="I1353" s="15">
        <f>IFERROR(IF(D1353="","",D1353/INDEX($D:$D,MATCH(EDATE($A1353,-1),$A:$A,0))-1),"")</f>
        <v/>
      </c>
      <c r="J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135</v>
      </c>
      <c r="E1354" s="18" t="n">
        <v>139</v>
      </c>
      <c r="F1354" s="18" t="n">
        <v>185</v>
      </c>
      <c r="G1354" s="18" t="n">
        <v>71.59999999999999</v>
      </c>
      <c r="H1354" s="18">
        <f>IF(D1354="","",D1354*'参数与说明'!$B$6/45.3592)</f>
        <v/>
      </c>
      <c r="I1354" s="19">
        <f>IFERROR(IF(D1354="","",D1354/INDEX($D:$D,MATCH(EDATE($A1354,-1),$A:$A,0))-1),"")</f>
        <v/>
      </c>
      <c r="J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137</v>
      </c>
      <c r="E1355" s="14" t="n">
        <v>141</v>
      </c>
      <c r="F1355" s="14" t="n">
        <v>194</v>
      </c>
      <c r="G1355" s="14" t="n">
        <v>77.90000000000001</v>
      </c>
      <c r="H1355" s="14">
        <f>IF(D1355="","",D1355*'参数与说明'!$B$6/45.3592)</f>
        <v/>
      </c>
      <c r="I1355" s="15">
        <f>IFERROR(IF(D1355="","",D1355/INDEX($D:$D,MATCH(EDATE($A1355,-1),$A:$A,0))-1),"")</f>
        <v/>
      </c>
      <c r="J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139</v>
      </c>
      <c r="E1356" s="18" t="n">
        <v>142</v>
      </c>
      <c r="F1356" s="18" t="n">
        <v>187</v>
      </c>
      <c r="G1356" s="18" t="n">
        <v>84.7</v>
      </c>
      <c r="H1356" s="18">
        <f>IF(D1356="","",D1356*'参数与说明'!$B$6/45.3592)</f>
        <v/>
      </c>
      <c r="I1356" s="19">
        <f>IFERROR(IF(D1356="","",D1356/INDEX($D:$D,MATCH(EDATE($A1356,-1),$A:$A,0))-1),"")</f>
        <v/>
      </c>
      <c r="J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139</v>
      </c>
      <c r="E1357" s="14" t="n">
        <v>142</v>
      </c>
      <c r="F1357" s="14" t="n">
        <v>186</v>
      </c>
      <c r="G1357" s="14" t="n">
        <v>88.09999999999999</v>
      </c>
      <c r="H1357" s="14">
        <f>IF(D1357="","",D1357*'参数与说明'!$B$6/45.3592)</f>
        <v/>
      </c>
      <c r="I1357" s="15">
        <f>IFERROR(IF(D1357="","",D1357/INDEX($D:$D,MATCH(EDATE($A1357,-1),$A:$A,0))-1),"")</f>
        <v/>
      </c>
      <c r="J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141</v>
      </c>
      <c r="E1358" s="18" t="n">
        <v>144</v>
      </c>
      <c r="F1358" s="18" t="n">
        <v>183</v>
      </c>
      <c r="G1358" s="18" t="n">
        <v>86.7</v>
      </c>
      <c r="H1358" s="18">
        <f>IF(D1358="","",D1358*'参数与说明'!$B$6/45.3592)</f>
        <v/>
      </c>
      <c r="I1358" s="19">
        <f>IFERROR(IF(D1358="","",D1358/INDEX($D:$D,MATCH(EDATE($A1358,-1),$A:$A,0))-1),"")</f>
        <v/>
      </c>
      <c r="J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140</v>
      </c>
      <c r="E1359" s="14" t="n">
        <v>142</v>
      </c>
      <c r="F1359" s="14" t="n">
        <v>184</v>
      </c>
      <c r="G1359" s="14" t="n">
        <v>90.2</v>
      </c>
      <c r="H1359" s="14">
        <f>IF(D1359="","",D1359*'参数与说明'!$B$6/45.3592)</f>
        <v/>
      </c>
      <c r="I1359" s="15">
        <f>IFERROR(IF(D1359="","",D1359/INDEX($D:$D,MATCH(EDATE($A1359,-1),$A:$A,0))-1),"")</f>
        <v/>
      </c>
      <c r="J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142</v>
      </c>
      <c r="E1360" s="18" t="n">
        <v>144</v>
      </c>
      <c r="F1360" s="18" t="n">
        <v>186</v>
      </c>
      <c r="G1360" s="18" t="n">
        <v>90.59999999999999</v>
      </c>
      <c r="H1360" s="18">
        <f>IF(D1360="","",D1360*'参数与说明'!$B$6/45.3592)</f>
        <v/>
      </c>
      <c r="I1360" s="19">
        <f>IFERROR(IF(D1360="","",D1360/INDEX($D:$D,MATCH(EDATE($A1360,-1),$A:$A,0))-1),"")</f>
        <v/>
      </c>
      <c r="J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141</v>
      </c>
      <c r="E1361" s="14" t="n">
        <v>144</v>
      </c>
      <c r="F1361" s="14" t="n">
        <v>197</v>
      </c>
      <c r="G1361" s="14" t="n">
        <v>90.09999999999999</v>
      </c>
      <c r="H1361" s="14">
        <f>IF(D1361="","",D1361*'参数与说明'!$B$6/45.3592)</f>
        <v/>
      </c>
      <c r="I1361" s="15">
        <f>IFERROR(IF(D1361="","",D1361/INDEX($D:$D,MATCH(EDATE($A1361,-1),$A:$A,0))-1),"")</f>
        <v/>
      </c>
      <c r="J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143</v>
      </c>
      <c r="E1362" s="18" t="n">
        <v>145</v>
      </c>
      <c r="F1362" s="18" t="n">
        <v>195</v>
      </c>
      <c r="G1362" s="18" t="n">
        <v>91.2</v>
      </c>
      <c r="H1362" s="18">
        <f>IF(D1362="","",D1362*'参数与说明'!$B$6/45.3592)</f>
        <v/>
      </c>
      <c r="I1362" s="19">
        <f>IFERROR(IF(D1362="","",D1362/INDEX($D:$D,MATCH(EDATE($A1362,-1),$A:$A,0))-1),"")</f>
        <v/>
      </c>
      <c r="J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145</v>
      </c>
      <c r="E1363" s="14" t="n">
        <v>148</v>
      </c>
      <c r="F1363" s="14" t="n">
        <v>200</v>
      </c>
      <c r="G1363" s="14" t="n">
        <v>84.09999999999999</v>
      </c>
      <c r="H1363" s="14">
        <f>IF(D1363="","",D1363*'参数与说明'!$B$6/45.3592)</f>
        <v/>
      </c>
      <c r="I1363" s="15">
        <f>IFERROR(IF(D1363="","",D1363/INDEX($D:$D,MATCH(EDATE($A1363,-1),$A:$A,0))-1),"")</f>
        <v/>
      </c>
      <c r="J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151</v>
      </c>
      <c r="E1364" s="18" t="n">
        <v>154</v>
      </c>
      <c r="F1364" s="18" t="n">
        <v>203</v>
      </c>
      <c r="G1364" s="18" t="n">
        <v>78.40000000000001</v>
      </c>
      <c r="H1364" s="18">
        <f>IF(D1364="","",D1364*'参数与说明'!$B$6/45.3592)</f>
        <v/>
      </c>
      <c r="I1364" s="19">
        <f>IFERROR(IF(D1364="","",D1364/INDEX($D:$D,MATCH(EDATE($A1364,-1),$A:$A,0))-1),"")</f>
        <v/>
      </c>
      <c r="J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154</v>
      </c>
      <c r="E1365" s="14" t="n">
        <v>158</v>
      </c>
      <c r="F1365" s="14" t="n">
        <v>206</v>
      </c>
      <c r="G1365" s="14" t="n">
        <v>76.90000000000001</v>
      </c>
      <c r="H1365" s="14">
        <f>IF(D1365="","",D1365*'参数与说明'!$B$6/45.3592)</f>
        <v/>
      </c>
      <c r="I1365" s="15">
        <f>IFERROR(IF(D1365="","",D1365/INDEX($D:$D,MATCH(EDATE($A1365,-1),$A:$A,0))-1),"")</f>
        <v/>
      </c>
      <c r="J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156</v>
      </c>
      <c r="E1366" s="18" t="n">
        <v>160</v>
      </c>
      <c r="F1366" s="18" t="n">
        <v>209</v>
      </c>
      <c r="G1366" s="18" t="n">
        <v>81.7</v>
      </c>
      <c r="H1366" s="18">
        <f>IF(D1366="","",D1366*'参数与说明'!$B$6/45.3592)</f>
        <v/>
      </c>
      <c r="I1366" s="19">
        <f>IFERROR(IF(D1366="","",D1366/INDEX($D:$D,MATCH(EDATE($A1366,-1),$A:$A,0))-1),"")</f>
        <v/>
      </c>
      <c r="J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158</v>
      </c>
      <c r="E1367" s="14" t="n">
        <v>162</v>
      </c>
      <c r="F1367" s="14" t="n">
        <v>217</v>
      </c>
      <c r="G1367" s="14" t="n">
        <v>89.5</v>
      </c>
      <c r="H1367" s="14">
        <f>IF(D1367="","",D1367*'参数与说明'!$B$6/45.3592)</f>
        <v/>
      </c>
      <c r="I1367" s="15">
        <f>IFERROR(IF(D1367="","",D1367/INDEX($D:$D,MATCH(EDATE($A1367,-1),$A:$A,0))-1),"")</f>
        <v/>
      </c>
      <c r="J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164</v>
      </c>
      <c r="E1368" s="18" t="n">
        <v>167</v>
      </c>
      <c r="F1368" s="18" t="n">
        <v>230</v>
      </c>
      <c r="G1368" s="18" t="n">
        <v>95.7</v>
      </c>
      <c r="H1368" s="18">
        <f>IF(D1368="","",D1368*'参数与说明'!$B$6/45.3592)</f>
        <v/>
      </c>
      <c r="I1368" s="19">
        <f>IFERROR(IF(D1368="","",D1368/INDEX($D:$D,MATCH(EDATE($A1368,-1),$A:$A,0))-1),"")</f>
        <v/>
      </c>
      <c r="J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171</v>
      </c>
      <c r="E1369" s="14" t="n">
        <v>175</v>
      </c>
      <c r="F1369" s="14" t="n">
        <v>244</v>
      </c>
      <c r="G1369" s="14" t="n">
        <v>99.3</v>
      </c>
      <c r="H1369" s="14">
        <f>IF(D1369="","",D1369*'参数与说明'!$B$6/45.3592)</f>
        <v/>
      </c>
      <c r="I1369" s="15">
        <f>IFERROR(IF(D1369="","",D1369/INDEX($D:$D,MATCH(EDATE($A1369,-1),$A:$A,0))-1),"")</f>
        <v/>
      </c>
      <c r="J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173</v>
      </c>
      <c r="E1370" s="18" t="n">
        <v>177</v>
      </c>
      <c r="F1370" s="18" t="n">
        <v>251</v>
      </c>
      <c r="G1370" s="18" t="n">
        <v>103</v>
      </c>
      <c r="H1370" s="18">
        <f>IF(D1370="","",D1370*'参数与说明'!$B$6/45.3592)</f>
        <v/>
      </c>
      <c r="I1370" s="19">
        <f>IFERROR(IF(D1370="","",D1370/INDEX($D:$D,MATCH(EDATE($A1370,-1),$A:$A,0))-1),"")</f>
        <v/>
      </c>
      <c r="J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181</v>
      </c>
      <c r="E1371" s="14" t="n">
        <v>184</v>
      </c>
      <c r="F1371" s="14" t="n">
        <v>260</v>
      </c>
      <c r="G1371" s="14" t="n">
        <v>107</v>
      </c>
      <c r="H1371" s="14">
        <f>IF(D1371="","",D1371*'参数与说明'!$B$6/45.3592)</f>
        <v/>
      </c>
      <c r="I1371" s="15">
        <f>IFERROR(IF(D1371="","",D1371/INDEX($D:$D,MATCH(EDATE($A1371,-1),$A:$A,0))-1),"")</f>
        <v/>
      </c>
      <c r="J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181</v>
      </c>
      <c r="E1372" s="18" t="n">
        <v>184</v>
      </c>
      <c r="F1372" s="18" t="n">
        <v>262</v>
      </c>
      <c r="G1372" s="18" t="n">
        <v>111</v>
      </c>
      <c r="H1372" s="18">
        <f>IF(D1372="","",D1372*'参数与说明'!$B$6/45.3592)</f>
        <v/>
      </c>
      <c r="I1372" s="19">
        <f>IFERROR(IF(D1372="","",D1372/INDEX($D:$D,MATCH(EDATE($A1372,-1),$A:$A,0))-1),"")</f>
        <v/>
      </c>
      <c r="J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182</v>
      </c>
      <c r="E1373" s="14" t="n">
        <v>186</v>
      </c>
      <c r="F1373" s="14" t="n">
        <v>272</v>
      </c>
      <c r="G1373" s="14" t="n">
        <v>115</v>
      </c>
      <c r="H1373" s="14">
        <f>IF(D1373="","",D1373*'参数与说明'!$B$6/45.3592)</f>
        <v/>
      </c>
      <c r="I1373" s="15">
        <f>IFERROR(IF(D1373="","",D1373/INDEX($D:$D,MATCH(EDATE($A1373,-1),$A:$A,0))-1),"")</f>
        <v/>
      </c>
      <c r="J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181</v>
      </c>
      <c r="E1374" s="18" t="n">
        <v>184</v>
      </c>
      <c r="F1374" s="18" t="n">
        <v>279</v>
      </c>
      <c r="G1374" s="18" t="n">
        <v>114</v>
      </c>
      <c r="H1374" s="18">
        <f>IF(D1374="","",D1374*'参数与说明'!$B$6/45.3592)</f>
        <v/>
      </c>
      <c r="I1374" s="19">
        <f>IFERROR(IF(D1374="","",D1374/INDEX($D:$D,MATCH(EDATE($A1374,-1),$A:$A,0))-1),"")</f>
        <v/>
      </c>
      <c r="J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182</v>
      </c>
      <c r="E1375" s="14" t="n">
        <v>186</v>
      </c>
      <c r="F1375" s="14" t="n">
        <v>297</v>
      </c>
      <c r="G1375" s="14" t="n">
        <v>108</v>
      </c>
      <c r="H1375" s="14">
        <f>IF(D1375="","",D1375*'参数与说明'!$B$6/45.3592)</f>
        <v/>
      </c>
      <c r="I1375" s="15">
        <f>IFERROR(IF(D1375="","",D1375/INDEX($D:$D,MATCH(EDATE($A1375,-1),$A:$A,0))-1),"")</f>
        <v/>
      </c>
      <c r="J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180</v>
      </c>
      <c r="E1376" s="18" t="n">
        <v>184</v>
      </c>
      <c r="F1376" s="18" t="n">
        <v>290</v>
      </c>
      <c r="G1376" s="18" t="n">
        <v>104</v>
      </c>
      <c r="H1376" s="18">
        <f>IF(D1376="","",D1376*'参数与说明'!$B$6/45.3592)</f>
        <v/>
      </c>
      <c r="I1376" s="19">
        <f>IFERROR(IF(D1376="","",D1376/INDEX($D:$D,MATCH(EDATE($A1376,-1),$A:$A,0))-1),"")</f>
        <v/>
      </c>
      <c r="J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172</v>
      </c>
      <c r="E1377" s="14" t="n">
        <v>176</v>
      </c>
      <c r="F1377" s="14" t="n">
        <v>280</v>
      </c>
      <c r="G1377" s="14" t="n">
        <v>101</v>
      </c>
      <c r="H1377" s="14">
        <f>IF(D1377="","",D1377*'参数与说明'!$B$6/45.3592)</f>
        <v/>
      </c>
      <c r="I1377" s="15">
        <f>IFERROR(IF(D1377="","",D1377/INDEX($D:$D,MATCH(EDATE($A1377,-1),$A:$A,0))-1),"")</f>
        <v/>
      </c>
      <c r="J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172</v>
      </c>
      <c r="E1378" s="18" t="n">
        <v>176</v>
      </c>
      <c r="F1378" s="18" t="n">
        <v>300</v>
      </c>
      <c r="G1378" s="18" t="n">
        <v>103</v>
      </c>
      <c r="H1378" s="18">
        <f>IF(D1378="","",D1378*'参数与说明'!$B$6/45.3592)</f>
        <v/>
      </c>
      <c r="I1378" s="19">
        <f>IFERROR(IF(D1378="","",D1378/INDEX($D:$D,MATCH(EDATE($A1378,-1),$A:$A,0))-1),"")</f>
        <v/>
      </c>
      <c r="J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178</v>
      </c>
      <c r="E1379" s="14" t="n">
        <v>182</v>
      </c>
      <c r="F1379" s="14" t="n">
        <v>311</v>
      </c>
      <c r="G1379" s="14" t="n">
        <v>109</v>
      </c>
      <c r="H1379" s="14">
        <f>IF(D1379="","",D1379*'参数与说明'!$B$6/45.3592)</f>
        <v/>
      </c>
      <c r="I1379" s="15">
        <f>IFERROR(IF(D1379="","",D1379/INDEX($D:$D,MATCH(EDATE($A1379,-1),$A:$A,0))-1),"")</f>
        <v/>
      </c>
      <c r="J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185</v>
      </c>
      <c r="E1380" s="18" t="n">
        <v>188</v>
      </c>
      <c r="F1380" s="18" t="n">
        <v>328</v>
      </c>
      <c r="G1380" s="18" t="n">
        <v>119</v>
      </c>
      <c r="H1380" s="18">
        <f>IF(D1380="","",D1380*'参数与说明'!$B$6/45.3592)</f>
        <v/>
      </c>
      <c r="I1380" s="19">
        <f>IFERROR(IF(D1380="","",D1380/INDEX($D:$D,MATCH(EDATE($A1380,-1),$A:$A,0))-1),"")</f>
        <v/>
      </c>
      <c r="J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185</v>
      </c>
      <c r="E1381" s="14" t="n">
        <v>187</v>
      </c>
      <c r="F1381" s="14" t="n">
        <v>318</v>
      </c>
      <c r="G1381" s="14" t="n">
        <v>130</v>
      </c>
      <c r="H1381" s="14">
        <f>IF(D1381="","",D1381*'参数与说明'!$B$6/45.3592)</f>
        <v/>
      </c>
      <c r="I1381" s="15">
        <f>IFERROR(IF(D1381="","",D1381/INDEX($D:$D,MATCH(EDATE($A1381,-1),$A:$A,0))-1),"")</f>
        <v/>
      </c>
      <c r="J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186</v>
      </c>
      <c r="E1382" s="18" t="n">
        <v>188</v>
      </c>
      <c r="F1382" s="18" t="n">
        <v>323</v>
      </c>
      <c r="G1382" s="18" t="n">
        <v>132</v>
      </c>
      <c r="H1382" s="18">
        <f>IF(D1382="","",D1382*'参数与说明'!$B$6/45.3592)</f>
        <v/>
      </c>
      <c r="I1382" s="19">
        <f>IFERROR(IF(D1382="","",D1382/INDEX($D:$D,MATCH(EDATE($A1382,-1),$A:$A,0))-1),"")</f>
        <v/>
      </c>
      <c r="J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189</v>
      </c>
      <c r="E1383" s="14" t="n">
        <v>191</v>
      </c>
      <c r="F1383" s="14" t="n">
        <v>318</v>
      </c>
      <c r="G1383" s="14" t="n">
        <v>138</v>
      </c>
      <c r="H1383" s="14">
        <f>IF(D1383="","",D1383*'参数与说明'!$B$6/45.3592)</f>
        <v/>
      </c>
      <c r="I1383" s="15">
        <f>IFERROR(IF(D1383="","",D1383/INDEX($D:$D,MATCH(EDATE($A1383,-1),$A:$A,0))-1),"")</f>
        <v/>
      </c>
      <c r="J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193</v>
      </c>
      <c r="E1384" s="18" t="n">
        <v>195</v>
      </c>
      <c r="F1384" s="18" t="n">
        <v>306</v>
      </c>
      <c r="G1384" s="18" t="n">
        <v>142</v>
      </c>
      <c r="H1384" s="18">
        <f>IF(D1384="","",D1384*'参数与说明'!$B$6/45.3592)</f>
        <v/>
      </c>
      <c r="I1384" s="19">
        <f>IFERROR(IF(D1384="","",D1384/INDEX($D:$D,MATCH(EDATE($A1384,-1),$A:$A,0))-1),"")</f>
        <v/>
      </c>
      <c r="J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190</v>
      </c>
      <c r="E1385" s="14" t="n">
        <v>192</v>
      </c>
      <c r="F1385" s="14" t="n">
        <v>290</v>
      </c>
      <c r="G1385" s="14" t="n">
        <v>142</v>
      </c>
      <c r="H1385" s="14">
        <f>IF(D1385="","",D1385*'参数与说明'!$B$6/45.3592)</f>
        <v/>
      </c>
      <c r="I1385" s="15">
        <f>IFERROR(IF(D1385="","",D1385/INDEX($D:$D,MATCH(EDATE($A1385,-1),$A:$A,0))-1),"")</f>
        <v/>
      </c>
      <c r="J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183</v>
      </c>
      <c r="E1386" s="18" t="n">
        <v>185</v>
      </c>
      <c r="F1386" s="18" t="n">
        <v>289</v>
      </c>
      <c r="G1386" s="18" t="n">
        <v>136</v>
      </c>
      <c r="H1386" s="18">
        <f>IF(D1386="","",D1386*'参数与说明'!$B$6/45.3592)</f>
        <v/>
      </c>
      <c r="I1386" s="19">
        <f>IFERROR(IF(D1386="","",D1386/INDEX($D:$D,MATCH(EDATE($A1386,-1),$A:$A,0))-1),"")</f>
        <v/>
      </c>
      <c r="J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187</v>
      </c>
      <c r="E1387" s="14" t="n">
        <v>189</v>
      </c>
      <c r="F1387" s="14" t="n">
        <v>322</v>
      </c>
      <c r="G1387" s="14" t="n">
        <v>128</v>
      </c>
      <c r="H1387" s="14">
        <f>IF(D1387="","",D1387*'参数与说明'!$B$6/45.3592)</f>
        <v/>
      </c>
      <c r="I1387" s="15">
        <f>IFERROR(IF(D1387="","",D1387/INDEX($D:$D,MATCH(EDATE($A1387,-1),$A:$A,0))-1),"")</f>
        <v/>
      </c>
      <c r="J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188</v>
      </c>
      <c r="E1388" s="18" t="n">
        <v>190</v>
      </c>
      <c r="F1388" s="18" t="n">
        <v>334</v>
      </c>
      <c r="G1388" s="18" t="n">
        <v>124</v>
      </c>
      <c r="H1388" s="18">
        <f>IF(D1388="","",D1388*'参数与说明'!$B$6/45.3592)</f>
        <v/>
      </c>
      <c r="I1388" s="19">
        <f>IFERROR(IF(D1388="","",D1388/INDEX($D:$D,MATCH(EDATE($A1388,-1),$A:$A,0))-1),"")</f>
        <v/>
      </c>
      <c r="J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190</v>
      </c>
      <c r="E1389" s="14" t="n">
        <v>193</v>
      </c>
      <c r="F1389" s="14" t="n">
        <v>356</v>
      </c>
      <c r="G1389" s="14" t="n">
        <v>121</v>
      </c>
      <c r="H1389" s="14">
        <f>IF(D1389="","",D1389*'参数与说明'!$B$6/45.3592)</f>
        <v/>
      </c>
      <c r="I1389" s="15">
        <f>IFERROR(IF(D1389="","",D1389/INDEX($D:$D,MATCH(EDATE($A1389,-1),$A:$A,0))-1),"")</f>
        <v/>
      </c>
      <c r="J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199</v>
      </c>
      <c r="E1390" s="18" t="n">
        <v>202</v>
      </c>
      <c r="F1390" s="18" t="n">
        <v>367</v>
      </c>
      <c r="G1390" s="18" t="n">
        <v>126</v>
      </c>
      <c r="H1390" s="18">
        <f>IF(D1390="","",D1390*'参数与说明'!$B$6/45.3592)</f>
        <v/>
      </c>
      <c r="I1390" s="19">
        <f>IFERROR(IF(D1390="","",D1390/INDEX($D:$D,MATCH(EDATE($A1390,-1),$A:$A,0))-1),"")</f>
        <v/>
      </c>
      <c r="J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203</v>
      </c>
      <c r="E1391" s="14" t="n">
        <v>206</v>
      </c>
      <c r="F1391" s="14" t="n">
        <v>364</v>
      </c>
      <c r="G1391" s="14" t="n">
        <v>135</v>
      </c>
      <c r="H1391" s="14">
        <f>IF(D1391="","",D1391*'参数与说明'!$B$6/45.3592)</f>
        <v/>
      </c>
      <c r="I1391" s="15">
        <f>IFERROR(IF(D1391="","",D1391/INDEX($D:$D,MATCH(EDATE($A1391,-1),$A:$A,0))-1),"")</f>
        <v/>
      </c>
      <c r="J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202</v>
      </c>
      <c r="E1392" s="18" t="n">
        <v>204</v>
      </c>
      <c r="F1392" s="18" t="n">
        <v>378</v>
      </c>
      <c r="G1392" s="18" t="n">
        <v>140</v>
      </c>
      <c r="H1392" s="18">
        <f>IF(D1392="","",D1392*'参数与说明'!$B$6/45.3592)</f>
        <v/>
      </c>
      <c r="I1392" s="19">
        <f>IFERROR(IF(D1392="","",D1392/INDEX($D:$D,MATCH(EDATE($A1392,-1),$A:$A,0))-1),"")</f>
        <v/>
      </c>
      <c r="J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208</v>
      </c>
      <c r="E1393" s="14" t="n">
        <v>211</v>
      </c>
      <c r="F1393" s="14" t="n">
        <v>394</v>
      </c>
      <c r="G1393" s="14" t="n">
        <v>142</v>
      </c>
      <c r="H1393" s="14">
        <f>IF(D1393="","",D1393*'参数与说明'!$B$6/45.3592)</f>
        <v/>
      </c>
      <c r="I1393" s="15">
        <f>IFERROR(IF(D1393="","",D1393/INDEX($D:$D,MATCH(EDATE($A1393,-1),$A:$A,0))-1),"")</f>
        <v/>
      </c>
      <c r="J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219</v>
      </c>
      <c r="E1394" s="18" t="n">
        <v>221</v>
      </c>
      <c r="F1394" s="18" t="n">
        <v>405</v>
      </c>
      <c r="G1394" s="18" t="n">
        <v>147</v>
      </c>
      <c r="H1394" s="18">
        <f>IF(D1394="","",D1394*'参数与说明'!$B$6/45.3592)</f>
        <v/>
      </c>
      <c r="I1394" s="19">
        <f>IFERROR(IF(D1394="","",D1394/INDEX($D:$D,MATCH(EDATE($A1394,-1),$A:$A,0))-1),"")</f>
        <v/>
      </c>
      <c r="J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228</v>
      </c>
      <c r="E1395" s="14" t="n">
        <v>231</v>
      </c>
      <c r="F1395" s="14" t="n">
        <v>400</v>
      </c>
      <c r="G1395" s="14" t="n">
        <v>150</v>
      </c>
      <c r="H1395" s="14">
        <f>IF(D1395="","",D1395*'参数与说明'!$B$6/45.3592)</f>
        <v/>
      </c>
      <c r="I1395" s="15">
        <f>IFERROR(IF(D1395="","",D1395/INDEX($D:$D,MATCH(EDATE($A1395,-1),$A:$A,0))-1),"")</f>
        <v/>
      </c>
      <c r="J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229</v>
      </c>
      <c r="E1396" s="18" t="n">
        <v>232</v>
      </c>
      <c r="F1396" s="18" t="n">
        <v>408</v>
      </c>
      <c r="G1396" s="18" t="n">
        <v>157</v>
      </c>
      <c r="H1396" s="18">
        <f>IF(D1396="","",D1396*'参数与说明'!$B$6/45.3592)</f>
        <v/>
      </c>
      <c r="I1396" s="19">
        <f>IFERROR(IF(D1396="","",D1396/INDEX($D:$D,MATCH(EDATE($A1396,-1),$A:$A,0))-1),"")</f>
        <v/>
      </c>
      <c r="J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236</v>
      </c>
      <c r="E1397" s="14" t="n">
        <v>239</v>
      </c>
      <c r="F1397" s="14" t="n">
        <v>437</v>
      </c>
      <c r="G1397" s="14" t="n">
        <v>162</v>
      </c>
      <c r="H1397" s="14">
        <f>IF(D1397="","",D1397*'参数与说明'!$B$6/45.3592)</f>
        <v/>
      </c>
      <c r="I1397" s="15">
        <f>IFERROR(IF(D1397="","",D1397/INDEX($D:$D,MATCH(EDATE($A1397,-1),$A:$A,0))-1),"")</f>
        <v/>
      </c>
      <c r="J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238</v>
      </c>
      <c r="E1398" s="18" t="n">
        <v>241</v>
      </c>
      <c r="F1398" s="18" t="n">
        <v>447</v>
      </c>
      <c r="G1398" s="18" t="n">
        <v>164</v>
      </c>
      <c r="H1398" s="18">
        <f>IF(D1398="","",D1398*'参数与说明'!$B$6/45.3592)</f>
        <v/>
      </c>
      <c r="I1398" s="19">
        <f>IFERROR(IF(D1398="","",D1398/INDEX($D:$D,MATCH(EDATE($A1398,-1),$A:$A,0))-1),"")</f>
        <v/>
      </c>
      <c r="J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232</v>
      </c>
      <c r="E1399" s="14" t="n">
        <v>235</v>
      </c>
      <c r="F1399" s="14" t="n">
        <v>491</v>
      </c>
      <c r="G1399" s="14" t="n">
        <v>162</v>
      </c>
      <c r="H1399" s="14">
        <f>IF(D1399="","",D1399*'参数与说明'!$B$6/45.3592)</f>
        <v/>
      </c>
      <c r="I1399" s="15">
        <f>IFERROR(IF(D1399="","",D1399/INDEX($D:$D,MATCH(EDATE($A1399,-1),$A:$A,0))-1),"")</f>
        <v/>
      </c>
      <c r="J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226</v>
      </c>
      <c r="E1400" s="18" t="n">
        <v>228</v>
      </c>
      <c r="F1400" s="18" t="n">
        <v>452</v>
      </c>
      <c r="G1400" s="18" t="n">
        <v>159</v>
      </c>
      <c r="H1400" s="18">
        <f>IF(D1400="","",D1400*'参数与说明'!$B$6/45.3592)</f>
        <v/>
      </c>
      <c r="I1400" s="19">
        <f>IFERROR(IF(D1400="","",D1400/INDEX($D:$D,MATCH(EDATE($A1400,-1),$A:$A,0))-1),"")</f>
        <v/>
      </c>
      <c r="J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221</v>
      </c>
      <c r="E1401" s="14" t="n">
        <v>224</v>
      </c>
      <c r="F1401" s="14" t="n">
        <v>472</v>
      </c>
      <c r="G1401" s="14" t="n">
        <v>157</v>
      </c>
      <c r="H1401" s="14">
        <f>IF(D1401="","",D1401*'参数与说明'!$B$6/45.3592)</f>
        <v/>
      </c>
      <c r="I1401" s="15">
        <f>IFERROR(IF(D1401="","",D1401/INDEX($D:$D,MATCH(EDATE($A1401,-1),$A:$A,0))-1),"")</f>
        <v/>
      </c>
      <c r="J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230</v>
      </c>
      <c r="E1402" s="18" t="n">
        <v>233</v>
      </c>
      <c r="F1402" s="18" t="n">
        <v>505</v>
      </c>
      <c r="G1402" s="18" t="n">
        <v>158</v>
      </c>
      <c r="H1402" s="18">
        <f>IF(D1402="","",D1402*'参数与说明'!$B$6/45.3592)</f>
        <v/>
      </c>
      <c r="I1402" s="19">
        <f>IFERROR(IF(D1402="","",D1402/INDEX($D:$D,MATCH(EDATE($A1402,-1),$A:$A,0))-1),"")</f>
        <v/>
      </c>
      <c r="J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239</v>
      </c>
      <c r="E1403" s="14" t="n">
        <v>243</v>
      </c>
      <c r="F1403" s="14" t="n">
        <v>524</v>
      </c>
      <c r="G1403" s="14" t="n">
        <v>162</v>
      </c>
      <c r="H1403" s="14">
        <f>IF(D1403="","",D1403*'参数与说明'!$B$6/45.3592)</f>
        <v/>
      </c>
      <c r="I1403" s="15">
        <f>IFERROR(IF(D1403="","",D1403/INDEX($D:$D,MATCH(EDATE($A1403,-1),$A:$A,0))-1),"")</f>
        <v/>
      </c>
      <c r="J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236</v>
      </c>
      <c r="E1404" s="18" t="n">
        <v>240</v>
      </c>
      <c r="F1404" s="18" t="n">
        <v>512</v>
      </c>
      <c r="G1404" s="18" t="n">
        <v>164</v>
      </c>
      <c r="H1404" s="18">
        <f>IF(D1404="","",D1404*'参数与说明'!$B$6/45.3592)</f>
        <v/>
      </c>
      <c r="I1404" s="19">
        <f>IFERROR(IF(D1404="","",D1404/INDEX($D:$D,MATCH(EDATE($A1404,-1),$A:$A,0))-1),"")</f>
        <v/>
      </c>
      <c r="J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242</v>
      </c>
      <c r="E1405" s="14" t="n">
        <v>245</v>
      </c>
      <c r="F1405" s="14" t="n">
        <v>523</v>
      </c>
      <c r="G1405" s="14" t="n">
        <v>168</v>
      </c>
      <c r="H1405" s="14">
        <f>IF(D1405="","",D1405*'参数与说明'!$B$6/45.3592)</f>
        <v/>
      </c>
      <c r="I1405" s="15">
        <f>IFERROR(IF(D1405="","",D1405/INDEX($D:$D,MATCH(EDATE($A1405,-1),$A:$A,0))-1),"")</f>
        <v/>
      </c>
      <c r="J1405" s="15">
        <f>IFERROR(IF(D1405="","",D1405/INDEX($D:$D,MATCH(EDATE($A1405,-12),$A:$A,0))-1),"")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生猪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生猪(全部)
($ / CWT)</t>
        </is>
      </c>
      <c r="E4" s="11" t="inlineStr">
        <is>
          <t>阉公猪及后备母猪(育肥猪)
($ / CWT)</t>
        </is>
      </c>
      <c r="F4" s="11" t="inlineStr">
        <is>
          <t>母猪(Sows)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6.97</v>
      </c>
      <c r="E5" s="14" t="n"/>
      <c r="F5" s="14" t="n"/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7.18</v>
      </c>
      <c r="E6" s="18" t="n"/>
      <c r="F6" s="18" t="n"/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7.04</v>
      </c>
      <c r="E7" s="14" t="n"/>
      <c r="F7" s="14" t="n"/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7.23</v>
      </c>
      <c r="E8" s="18" t="n"/>
      <c r="F8" s="18" t="n"/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7.54</v>
      </c>
      <c r="E9" s="14" t="n"/>
      <c r="F9" s="14" t="n"/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7.84</v>
      </c>
      <c r="E10" s="18" t="n"/>
      <c r="F10" s="18" t="n"/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7.97</v>
      </c>
      <c r="E11" s="14" t="n"/>
      <c r="F11" s="14" t="n"/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9.289999999999999</v>
      </c>
      <c r="E12" s="18" t="n"/>
      <c r="F12" s="18" t="n"/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9.44</v>
      </c>
      <c r="E13" s="14" t="n"/>
      <c r="F13" s="14" t="n"/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8.65</v>
      </c>
      <c r="E14" s="18" t="n"/>
      <c r="F14" s="18" t="n"/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8.65</v>
      </c>
      <c r="E15" s="14" t="n"/>
      <c r="F15" s="14" t="n"/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8.199999999999999</v>
      </c>
      <c r="E16" s="18" t="n"/>
      <c r="F16" s="18" t="n"/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7.73</v>
      </c>
      <c r="E17" s="14" t="n"/>
      <c r="F17" s="14" t="n"/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8.380000000000001</v>
      </c>
      <c r="E18" s="18" t="n"/>
      <c r="F18" s="18" t="n"/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8.050000000000001</v>
      </c>
      <c r="E19" s="14" t="n"/>
      <c r="F19" s="14" t="n"/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7.14</v>
      </c>
      <c r="E20" s="18" t="n"/>
      <c r="F20" s="18" t="n"/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6.97</v>
      </c>
      <c r="E21" s="14" t="n"/>
      <c r="F21" s="14" t="n"/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7.38</v>
      </c>
      <c r="E22" s="18" t="n"/>
      <c r="F22" s="18" t="n"/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6.93</v>
      </c>
      <c r="E23" s="14" t="n"/>
      <c r="F23" s="14" t="n"/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6.5</v>
      </c>
      <c r="E24" s="18" t="n"/>
      <c r="F24" s="18" t="n"/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5.95</v>
      </c>
      <c r="E25" s="14" t="n"/>
      <c r="F25" s="14" t="n"/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5.52</v>
      </c>
      <c r="E26" s="18" t="n"/>
      <c r="F26" s="18" t="n"/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5.49</v>
      </c>
      <c r="E27" s="14" t="n"/>
      <c r="F27" s="14" t="n"/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5.86</v>
      </c>
      <c r="E28" s="18" t="n"/>
      <c r="F28" s="18" t="n"/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6.64</v>
      </c>
      <c r="E29" s="14" t="n"/>
      <c r="F29" s="14" t="n"/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6.55</v>
      </c>
      <c r="E30" s="18" t="n"/>
      <c r="F30" s="18" t="n"/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5.97</v>
      </c>
      <c r="E31" s="14" t="n"/>
      <c r="F31" s="14" t="n"/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5.74</v>
      </c>
      <c r="E32" s="18" t="n"/>
      <c r="F32" s="18" t="n"/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5.62</v>
      </c>
      <c r="E33" s="14" t="n"/>
      <c r="F33" s="14" t="n"/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5.69</v>
      </c>
      <c r="E34" s="18" t="n"/>
      <c r="F34" s="18" t="n"/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5.73</v>
      </c>
      <c r="E35" s="14" t="n"/>
      <c r="F35" s="14" t="n"/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5.95</v>
      </c>
      <c r="E36" s="18" t="n"/>
      <c r="F36" s="18" t="n"/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6.97</v>
      </c>
      <c r="E37" s="14" t="n"/>
      <c r="F37" s="14" t="n"/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6.96</v>
      </c>
      <c r="E38" s="18" t="n"/>
      <c r="F38" s="18" t="n"/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6.79</v>
      </c>
      <c r="E39" s="14" t="n"/>
      <c r="F39" s="14" t="n"/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6.78</v>
      </c>
      <c r="E40" s="18" t="n"/>
      <c r="F40" s="18" t="n"/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7.34</v>
      </c>
      <c r="E41" s="14" t="n"/>
      <c r="F41" s="14" t="n"/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7.7</v>
      </c>
      <c r="E42" s="18" t="n"/>
      <c r="F42" s="18" t="n"/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7.99</v>
      </c>
      <c r="E43" s="14" t="n"/>
      <c r="F43" s="14" t="n"/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7.17</v>
      </c>
      <c r="E44" s="18" t="n"/>
      <c r="F44" s="18" t="n"/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6.95</v>
      </c>
      <c r="E45" s="14" t="n"/>
      <c r="F45" s="14" t="n"/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6.83</v>
      </c>
      <c r="E46" s="18" t="n"/>
      <c r="F46" s="18" t="n"/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7.33</v>
      </c>
      <c r="E47" s="14" t="n"/>
      <c r="F47" s="14" t="n"/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7.89</v>
      </c>
      <c r="E48" s="18" t="n"/>
      <c r="F48" s="18" t="n"/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8.26</v>
      </c>
      <c r="E49" s="14" t="n"/>
      <c r="F49" s="14" t="n"/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7.63</v>
      </c>
      <c r="E50" s="18" t="n"/>
      <c r="F50" s="18" t="n"/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7.83</v>
      </c>
      <c r="E51" s="14" t="n"/>
      <c r="F51" s="14" t="n"/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8.07</v>
      </c>
      <c r="E52" s="18" t="n"/>
      <c r="F52" s="18" t="n"/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7.9</v>
      </c>
      <c r="E53" s="14" t="n"/>
      <c r="F53" s="14" t="n"/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7.75</v>
      </c>
      <c r="E54" s="18" t="n"/>
      <c r="F54" s="18" t="n"/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7.61</v>
      </c>
      <c r="E55" s="14" t="n"/>
      <c r="F55" s="14" t="n"/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7.27</v>
      </c>
      <c r="E56" s="18" t="n"/>
      <c r="F56" s="18" t="n"/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7.09</v>
      </c>
      <c r="E57" s="14" t="n"/>
      <c r="F57" s="14" t="n"/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7.49</v>
      </c>
      <c r="E58" s="18" t="n"/>
      <c r="F58" s="18" t="n"/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7.86</v>
      </c>
      <c r="E59" s="14" t="n"/>
      <c r="F59" s="14" t="n"/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7.93</v>
      </c>
      <c r="E60" s="18" t="n"/>
      <c r="F60" s="18" t="n"/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7.95</v>
      </c>
      <c r="E61" s="14" t="n"/>
      <c r="F61" s="14" t="n"/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7.72</v>
      </c>
      <c r="E62" s="18" t="n"/>
      <c r="F62" s="18" t="n"/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7.46</v>
      </c>
      <c r="E63" s="14" t="n"/>
      <c r="F63" s="14" t="n"/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7.84</v>
      </c>
      <c r="E64" s="18" t="n"/>
      <c r="F64" s="18" t="n"/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8.24</v>
      </c>
      <c r="E65" s="14" t="n"/>
      <c r="F65" s="14" t="n"/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8.19</v>
      </c>
      <c r="E66" s="18" t="n"/>
      <c r="F66" s="18" t="n"/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7.29</v>
      </c>
      <c r="E67" s="14" t="n"/>
      <c r="F67" s="14" t="n"/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6.86</v>
      </c>
      <c r="E68" s="18" t="n"/>
      <c r="F68" s="18" t="n"/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6.51</v>
      </c>
      <c r="E69" s="14" t="n"/>
      <c r="F69" s="14" t="n"/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6.42</v>
      </c>
      <c r="E70" s="18" t="n"/>
      <c r="F70" s="18" t="n"/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6.19</v>
      </c>
      <c r="E71" s="14" t="n"/>
      <c r="F71" s="14" t="n"/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6.21</v>
      </c>
      <c r="E72" s="18" t="n"/>
      <c r="F72" s="18" t="n"/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6.44</v>
      </c>
      <c r="E73" s="14" t="n"/>
      <c r="F73" s="14" t="n"/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6.8</v>
      </c>
      <c r="E74" s="18" t="n"/>
      <c r="F74" s="18" t="n"/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6.85</v>
      </c>
      <c r="E75" s="14" t="n"/>
      <c r="F75" s="14" t="n"/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6.85</v>
      </c>
      <c r="E76" s="18" t="n"/>
      <c r="F76" s="18" t="n"/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6.53</v>
      </c>
      <c r="E77" s="14" t="n"/>
      <c r="F77" s="14" t="n"/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6.76</v>
      </c>
      <c r="E78" s="18" t="n"/>
      <c r="F78" s="18" t="n"/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7.3</v>
      </c>
      <c r="E79" s="14" t="n"/>
      <c r="F79" s="14" t="n"/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6.2</v>
      </c>
      <c r="E80" s="18" t="n"/>
      <c r="F80" s="18" t="n"/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5.86</v>
      </c>
      <c r="E81" s="14" t="n"/>
      <c r="F81" s="14" t="n"/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6.24</v>
      </c>
      <c r="E82" s="18" t="n"/>
      <c r="F82" s="18" t="n"/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7.25</v>
      </c>
      <c r="E83" s="14" t="n"/>
      <c r="F83" s="14" t="n"/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8.58</v>
      </c>
      <c r="E84" s="18" t="n"/>
      <c r="F84" s="18" t="n"/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8.619999999999999</v>
      </c>
      <c r="E85" s="14" t="n"/>
      <c r="F85" s="14" t="n"/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8.77</v>
      </c>
      <c r="E86" s="18" t="n"/>
      <c r="F86" s="18" t="n"/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8.539999999999999</v>
      </c>
      <c r="E87" s="14" t="n"/>
      <c r="F87" s="14" t="n"/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8.800000000000001</v>
      </c>
      <c r="E88" s="18" t="n"/>
      <c r="F88" s="18" t="n"/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9.01</v>
      </c>
      <c r="E89" s="14" t="n"/>
      <c r="F89" s="14" t="n"/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9.65</v>
      </c>
      <c r="E90" s="18" t="n"/>
      <c r="F90" s="18" t="n"/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8.82</v>
      </c>
      <c r="E91" s="14" t="n"/>
      <c r="F91" s="14" t="n"/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8.9</v>
      </c>
      <c r="E92" s="18" t="n"/>
      <c r="F92" s="18" t="n"/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8.949999999999999</v>
      </c>
      <c r="E93" s="14" t="n"/>
      <c r="F93" s="14" t="n"/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9.52</v>
      </c>
      <c r="E94" s="18" t="n"/>
      <c r="F94" s="18" t="n"/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11</v>
      </c>
      <c r="E95" s="14" t="n"/>
      <c r="F95" s="14" t="n"/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13.3</v>
      </c>
      <c r="E96" s="18" t="n"/>
      <c r="F96" s="18" t="n"/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14.6</v>
      </c>
      <c r="E97" s="14" t="n"/>
      <c r="F97" s="14" t="n"/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14.6</v>
      </c>
      <c r="E98" s="18" t="n"/>
      <c r="F98" s="18" t="n"/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14.4</v>
      </c>
      <c r="E99" s="14" t="n"/>
      <c r="F99" s="14" t="n"/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14.1</v>
      </c>
      <c r="E100" s="18" t="n"/>
      <c r="F100" s="18" t="n"/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15.2</v>
      </c>
      <c r="E101" s="14" t="n"/>
      <c r="F101" s="14" t="n"/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16.5</v>
      </c>
      <c r="E102" s="18" t="n"/>
      <c r="F102" s="18" t="n"/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16.7</v>
      </c>
      <c r="E103" s="14" t="n"/>
      <c r="F103" s="14" t="n"/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15.6</v>
      </c>
      <c r="E104" s="18" t="n"/>
      <c r="F104" s="18" t="n"/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16</v>
      </c>
      <c r="E105" s="14" t="n"/>
      <c r="F105" s="14" t="n"/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15.4</v>
      </c>
      <c r="E106" s="18" t="n"/>
      <c r="F106" s="18" t="n"/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15.2</v>
      </c>
      <c r="E107" s="14" t="n"/>
      <c r="F107" s="14" t="n"/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15.9</v>
      </c>
      <c r="E108" s="18" t="n"/>
      <c r="F108" s="18" t="n"/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16.1</v>
      </c>
      <c r="E109" s="14" t="n"/>
      <c r="F109" s="14" t="n"/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16.3</v>
      </c>
      <c r="E110" s="18" t="n"/>
      <c r="F110" s="18" t="n"/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15.7</v>
      </c>
      <c r="E111" s="14" t="n"/>
      <c r="F111" s="14" t="n"/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16</v>
      </c>
      <c r="E112" s="18" t="n"/>
      <c r="F112" s="18" t="n"/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17.6</v>
      </c>
      <c r="E113" s="14" t="n"/>
      <c r="F113" s="14" t="n"/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18.2</v>
      </c>
      <c r="E114" s="18" t="n"/>
      <c r="F114" s="18" t="n"/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16.8</v>
      </c>
      <c r="E115" s="14" t="n"/>
      <c r="F115" s="14" t="n"/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16.1</v>
      </c>
      <c r="E116" s="18" t="n"/>
      <c r="F116" s="18" t="n"/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16.1</v>
      </c>
      <c r="E117" s="14" t="n"/>
      <c r="F117" s="14" t="n"/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16.1</v>
      </c>
      <c r="E118" s="18" t="n"/>
      <c r="F118" s="18" t="n"/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16</v>
      </c>
      <c r="E119" s="14" t="n"/>
      <c r="F119" s="14" t="n"/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16.8</v>
      </c>
      <c r="E120" s="18" t="n"/>
      <c r="F120" s="18" t="n"/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18.3</v>
      </c>
      <c r="E121" s="14" t="n"/>
      <c r="F121" s="14" t="n"/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18.9</v>
      </c>
      <c r="E122" s="18" t="n"/>
      <c r="F122" s="18" t="n"/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18.7</v>
      </c>
      <c r="E123" s="14" t="n"/>
      <c r="F123" s="14" t="n"/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20.1</v>
      </c>
      <c r="E124" s="18" t="n"/>
      <c r="F124" s="18" t="n"/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19.9</v>
      </c>
      <c r="E125" s="14" t="n"/>
      <c r="F125" s="14" t="n"/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15.8</v>
      </c>
      <c r="E126" s="18" t="n"/>
      <c r="F126" s="18" t="n"/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13.7</v>
      </c>
      <c r="E127" s="14" t="n"/>
      <c r="F127" s="14" t="n"/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13.3</v>
      </c>
      <c r="E128" s="18" t="n"/>
      <c r="F128" s="18" t="n"/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12.4</v>
      </c>
      <c r="E129" s="14" t="n"/>
      <c r="F129" s="14" t="n"/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13.3</v>
      </c>
      <c r="E130" s="18" t="n"/>
      <c r="F130" s="18" t="n"/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13.6</v>
      </c>
      <c r="E131" s="14" t="n"/>
      <c r="F131" s="14" t="n"/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13.7</v>
      </c>
      <c r="E132" s="18" t="n"/>
      <c r="F132" s="18" t="n"/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13.7</v>
      </c>
      <c r="E133" s="14" t="n"/>
      <c r="F133" s="14" t="n"/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13.4</v>
      </c>
      <c r="E134" s="18" t="n"/>
      <c r="F134" s="18" t="n"/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13.2</v>
      </c>
      <c r="E135" s="14" t="n"/>
      <c r="F135" s="14" t="n"/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13.8</v>
      </c>
      <c r="E136" s="18" t="n"/>
      <c r="F136" s="18" t="n"/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13.8</v>
      </c>
      <c r="E137" s="14" t="n"/>
      <c r="F137" s="14" t="n"/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14.3</v>
      </c>
      <c r="E138" s="18" t="n"/>
      <c r="F138" s="18" t="n"/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13.7</v>
      </c>
      <c r="E139" s="14" t="n"/>
      <c r="F139" s="14" t="n"/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11.6</v>
      </c>
      <c r="E140" s="18" t="n"/>
      <c r="F140" s="18" t="n"/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8.5</v>
      </c>
      <c r="E141" s="14" t="n"/>
      <c r="F141" s="14" t="n"/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8.380000000000001</v>
      </c>
      <c r="E142" s="18" t="n"/>
      <c r="F142" s="18" t="n"/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8.369999999999999</v>
      </c>
      <c r="E143" s="14" t="n"/>
      <c r="F143" s="14" t="n"/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9.16</v>
      </c>
      <c r="E144" s="18" t="n"/>
      <c r="F144" s="18" t="n"/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7.74</v>
      </c>
      <c r="E145" s="14" t="n"/>
      <c r="F145" s="14" t="n"/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7.47</v>
      </c>
      <c r="E146" s="18" t="n"/>
      <c r="F146" s="18" t="n"/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7.01</v>
      </c>
      <c r="E147" s="14" t="n"/>
      <c r="F147" s="14" t="n"/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8.16</v>
      </c>
      <c r="E148" s="18" t="n"/>
      <c r="F148" s="18" t="n"/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8.869999999999999</v>
      </c>
      <c r="E149" s="14" t="n"/>
      <c r="F149" s="14" t="n"/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7.24</v>
      </c>
      <c r="E150" s="18" t="n"/>
      <c r="F150" s="18" t="n"/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6.99</v>
      </c>
      <c r="E151" s="14" t="n"/>
      <c r="F151" s="14" t="n"/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6.28</v>
      </c>
      <c r="E152" s="18" t="n"/>
      <c r="F152" s="18" t="n"/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6.15</v>
      </c>
      <c r="E153" s="14" t="n"/>
      <c r="F153" s="14" t="n"/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6.78</v>
      </c>
      <c r="E154" s="18" t="n"/>
      <c r="F154" s="18" t="n"/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8.539999999999999</v>
      </c>
      <c r="E155" s="14" t="n"/>
      <c r="F155" s="14" t="n"/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9.4</v>
      </c>
      <c r="E156" s="18" t="n"/>
      <c r="F156" s="18" t="n"/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9.140000000000001</v>
      </c>
      <c r="E157" s="14" t="n"/>
      <c r="F157" s="14" t="n"/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9.35</v>
      </c>
      <c r="E158" s="18" t="n"/>
      <c r="F158" s="18" t="n"/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9.380000000000001</v>
      </c>
      <c r="E159" s="14" t="n"/>
      <c r="F159" s="14" t="n"/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9.31</v>
      </c>
      <c r="E160" s="18" t="n"/>
      <c r="F160" s="18" t="n"/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8.52</v>
      </c>
      <c r="E161" s="14" t="n"/>
      <c r="F161" s="14" t="n"/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8.119999999999999</v>
      </c>
      <c r="E162" s="18" t="n"/>
      <c r="F162" s="18" t="n"/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8.279999999999999</v>
      </c>
      <c r="E163" s="14" t="n"/>
      <c r="F163" s="14" t="n"/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7.53</v>
      </c>
      <c r="E164" s="18" t="n"/>
      <c r="F164" s="18" t="n"/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7.45</v>
      </c>
      <c r="E165" s="14" t="n"/>
      <c r="F165" s="14" t="n"/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7.68</v>
      </c>
      <c r="E166" s="18" t="n"/>
      <c r="F166" s="18" t="n"/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7.55</v>
      </c>
      <c r="E167" s="14" t="n"/>
      <c r="F167" s="14" t="n"/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7.44</v>
      </c>
      <c r="E168" s="18" t="n"/>
      <c r="F168" s="18" t="n"/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7.39</v>
      </c>
      <c r="E169" s="14" t="n"/>
      <c r="F169" s="14" t="n"/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6.99</v>
      </c>
      <c r="E170" s="18" t="n"/>
      <c r="F170" s="18" t="n"/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6.09</v>
      </c>
      <c r="E171" s="14" t="n"/>
      <c r="F171" s="14" t="n"/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6.45</v>
      </c>
      <c r="E172" s="18" t="n"/>
      <c r="F172" s="18" t="n"/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6.72</v>
      </c>
      <c r="E173" s="14" t="n"/>
      <c r="F173" s="14" t="n"/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7.81</v>
      </c>
      <c r="E174" s="18" t="n"/>
      <c r="F174" s="18" t="n"/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7.03</v>
      </c>
      <c r="E175" s="14" t="n"/>
      <c r="F175" s="14" t="n"/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6.34</v>
      </c>
      <c r="E176" s="18" t="n"/>
      <c r="F176" s="18" t="n"/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6.08</v>
      </c>
      <c r="E177" s="14" t="n"/>
      <c r="F177" s="14" t="n"/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6.42</v>
      </c>
      <c r="E178" s="18" t="n"/>
      <c r="F178" s="18" t="n"/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6.37</v>
      </c>
      <c r="E179" s="14" t="n"/>
      <c r="F179" s="14" t="n"/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6.5</v>
      </c>
      <c r="E180" s="18" t="n"/>
      <c r="F180" s="18" t="n"/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6.6</v>
      </c>
      <c r="E181" s="14" t="n"/>
      <c r="F181" s="14" t="n"/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6.59</v>
      </c>
      <c r="E182" s="18" t="n"/>
      <c r="F182" s="18" t="n"/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6.43</v>
      </c>
      <c r="E183" s="14" t="n"/>
      <c r="F183" s="14" t="n"/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6.5</v>
      </c>
      <c r="E184" s="18" t="n"/>
      <c r="F184" s="18" t="n"/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8.619999999999999</v>
      </c>
      <c r="E185" s="14" t="n"/>
      <c r="F185" s="14" t="n"/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8.57</v>
      </c>
      <c r="E186" s="18" t="n"/>
      <c r="F186" s="18" t="n"/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9.609999999999999</v>
      </c>
      <c r="E187" s="14" t="n"/>
      <c r="F187" s="14" t="n"/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8.539999999999999</v>
      </c>
      <c r="E188" s="18" t="n"/>
      <c r="F188" s="18" t="n"/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8.27</v>
      </c>
      <c r="E189" s="14" t="n"/>
      <c r="F189" s="14" t="n"/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9.32</v>
      </c>
      <c r="E190" s="18" t="n"/>
      <c r="F190" s="18" t="n"/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9.66</v>
      </c>
      <c r="E191" s="14" t="n"/>
      <c r="F191" s="14" t="n"/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12.2</v>
      </c>
      <c r="E192" s="18" t="n"/>
      <c r="F192" s="18" t="n"/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11.9</v>
      </c>
      <c r="E193" s="14" t="n"/>
      <c r="F193" s="14" t="n"/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10.9</v>
      </c>
      <c r="E194" s="18" t="n"/>
      <c r="F194" s="18" t="n"/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10.9</v>
      </c>
      <c r="E195" s="14" t="n"/>
      <c r="F195" s="14" t="n"/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12.3</v>
      </c>
      <c r="E196" s="18" t="n"/>
      <c r="F196" s="18" t="n"/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12.4</v>
      </c>
      <c r="E197" s="14" t="n"/>
      <c r="F197" s="14" t="n"/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11.6</v>
      </c>
      <c r="E198" s="18" t="n"/>
      <c r="F198" s="18" t="n"/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11.1</v>
      </c>
      <c r="E199" s="14" t="n"/>
      <c r="F199" s="14" t="n"/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10.5</v>
      </c>
      <c r="E200" s="18" t="n"/>
      <c r="F200" s="18" t="n"/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10.4</v>
      </c>
      <c r="E201" s="14" t="n"/>
      <c r="F201" s="14" t="n"/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11</v>
      </c>
      <c r="E202" s="18" t="n"/>
      <c r="F202" s="18" t="n"/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11.9</v>
      </c>
      <c r="E203" s="14" t="n"/>
      <c r="F203" s="14" t="n"/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11.8</v>
      </c>
      <c r="E204" s="18" t="n"/>
      <c r="F204" s="18" t="n"/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11.5</v>
      </c>
      <c r="E205" s="14" t="n"/>
      <c r="F205" s="14" t="n"/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12.1</v>
      </c>
      <c r="E206" s="18" t="n"/>
      <c r="F206" s="18" t="n"/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13</v>
      </c>
      <c r="E207" s="14" t="n"/>
      <c r="F207" s="14" t="n"/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12.8</v>
      </c>
      <c r="E208" s="18" t="n"/>
      <c r="F208" s="18" t="n"/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11.6</v>
      </c>
      <c r="E209" s="14" t="n"/>
      <c r="F209" s="14" t="n"/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12.1</v>
      </c>
      <c r="E210" s="18" t="n"/>
      <c r="F210" s="18" t="n"/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12.1</v>
      </c>
      <c r="E211" s="14" t="n"/>
      <c r="F211" s="14" t="n"/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11.4</v>
      </c>
      <c r="E212" s="18" t="n"/>
      <c r="F212" s="18" t="n"/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10.9</v>
      </c>
      <c r="E213" s="14" t="n"/>
      <c r="F213" s="14" t="n"/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11</v>
      </c>
      <c r="E214" s="18" t="n"/>
      <c r="F214" s="18" t="n"/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11.2</v>
      </c>
      <c r="E215" s="14" t="n"/>
      <c r="F215" s="14" t="n"/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10.9</v>
      </c>
      <c r="E216" s="18" t="n"/>
      <c r="F216" s="18" t="n"/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10.4</v>
      </c>
      <c r="E217" s="14" t="n"/>
      <c r="F217" s="14" t="n"/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9.35</v>
      </c>
      <c r="E218" s="18" t="n"/>
      <c r="F218" s="18" t="n"/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8.23</v>
      </c>
      <c r="E219" s="14" t="n"/>
      <c r="F219" s="14" t="n"/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8.449999999999999</v>
      </c>
      <c r="E220" s="18" t="n"/>
      <c r="F220" s="18" t="n"/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9.18</v>
      </c>
      <c r="E221" s="14" t="n"/>
      <c r="F221" s="14" t="n"/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9.779999999999999</v>
      </c>
      <c r="E222" s="18" t="n"/>
      <c r="F222" s="18" t="n"/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10.2</v>
      </c>
      <c r="E223" s="14" t="n"/>
      <c r="F223" s="14" t="n"/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8.9</v>
      </c>
      <c r="E224" s="18" t="n"/>
      <c r="F224" s="18" t="n"/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8.01</v>
      </c>
      <c r="E225" s="14" t="n"/>
      <c r="F225" s="14" t="n"/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7.72</v>
      </c>
      <c r="E226" s="18" t="n"/>
      <c r="F226" s="18" t="n"/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7.55</v>
      </c>
      <c r="E227" s="14" t="n"/>
      <c r="F227" s="14" t="n"/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7.45</v>
      </c>
      <c r="E228" s="18" t="n"/>
      <c r="F228" s="18" t="n"/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7.84</v>
      </c>
      <c r="E229" s="14" t="n"/>
      <c r="F229" s="14" t="n"/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8.949999999999999</v>
      </c>
      <c r="E230" s="18" t="n"/>
      <c r="F230" s="18" t="n"/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8.18</v>
      </c>
      <c r="E231" s="14" t="n"/>
      <c r="F231" s="14" t="n"/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9.81</v>
      </c>
      <c r="E232" s="18" t="n"/>
      <c r="F232" s="18" t="n"/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10.2</v>
      </c>
      <c r="E233" s="14" t="n"/>
      <c r="F233" s="14" t="n"/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11.4</v>
      </c>
      <c r="E234" s="18" t="n"/>
      <c r="F234" s="18" t="n"/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9.550000000000001</v>
      </c>
      <c r="E235" s="14" t="n"/>
      <c r="F235" s="14" t="n"/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8.460000000000001</v>
      </c>
      <c r="E236" s="18" t="n"/>
      <c r="F236" s="18" t="n"/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7.89</v>
      </c>
      <c r="E237" s="14" t="n"/>
      <c r="F237" s="14" t="n"/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8.18</v>
      </c>
      <c r="E238" s="18" t="n"/>
      <c r="F238" s="18" t="n"/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8.99</v>
      </c>
      <c r="E239" s="14" t="n"/>
      <c r="F239" s="14" t="n"/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10.3</v>
      </c>
      <c r="E240" s="18" t="n"/>
      <c r="F240" s="18" t="n"/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10.5</v>
      </c>
      <c r="E241" s="14" t="n"/>
      <c r="F241" s="14" t="n"/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10.1</v>
      </c>
      <c r="E242" s="18" t="n"/>
      <c r="F242" s="18" t="n"/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9.92</v>
      </c>
      <c r="E243" s="14" t="n"/>
      <c r="F243" s="14" t="n"/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10.5</v>
      </c>
      <c r="E244" s="18" t="n"/>
      <c r="F244" s="18" t="n"/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10.4</v>
      </c>
      <c r="E245" s="14" t="n"/>
      <c r="F245" s="14" t="n"/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9.56</v>
      </c>
      <c r="E246" s="18" t="n"/>
      <c r="F246" s="18" t="n"/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9.08</v>
      </c>
      <c r="E247" s="14" t="n"/>
      <c r="F247" s="14" t="n"/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8.48</v>
      </c>
      <c r="E248" s="18" t="n"/>
      <c r="F248" s="18" t="n"/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8.5</v>
      </c>
      <c r="E249" s="14" t="n"/>
      <c r="F249" s="14" t="n"/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8.84</v>
      </c>
      <c r="E250" s="18" t="n"/>
      <c r="F250" s="18" t="n"/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9.550000000000001</v>
      </c>
      <c r="E251" s="14" t="n"/>
      <c r="F251" s="14" t="n"/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9.710000000000001</v>
      </c>
      <c r="E252" s="18" t="n"/>
      <c r="F252" s="18" t="n"/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9.26</v>
      </c>
      <c r="E253" s="14" t="n"/>
      <c r="F253" s="14" t="n"/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9.06</v>
      </c>
      <c r="E254" s="18" t="n"/>
      <c r="F254" s="18" t="n"/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9.17</v>
      </c>
      <c r="E255" s="14" t="n"/>
      <c r="F255" s="14" t="n"/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8.380000000000001</v>
      </c>
      <c r="E256" s="18" t="n"/>
      <c r="F256" s="18" t="n"/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8.58</v>
      </c>
      <c r="E257" s="14" t="n"/>
      <c r="F257" s="14" t="n"/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9.550000000000001</v>
      </c>
      <c r="E258" s="18" t="n"/>
      <c r="F258" s="18" t="n"/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8.82</v>
      </c>
      <c r="E259" s="14" t="n"/>
      <c r="F259" s="14" t="n"/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8.17</v>
      </c>
      <c r="E260" s="18" t="n"/>
      <c r="F260" s="18" t="n"/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7.4</v>
      </c>
      <c r="E261" s="14" t="n"/>
      <c r="F261" s="14" t="n"/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7.21</v>
      </c>
      <c r="E262" s="18" t="n"/>
      <c r="F262" s="18" t="n"/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6.74</v>
      </c>
      <c r="E263" s="14" t="n"/>
      <c r="F263" s="14" t="n"/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6.91</v>
      </c>
      <c r="E264" s="18" t="n"/>
      <c r="F264" s="18" t="n"/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6.88</v>
      </c>
      <c r="E265" s="14" t="n"/>
      <c r="F265" s="14" t="n"/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6.26</v>
      </c>
      <c r="E266" s="18" t="n"/>
      <c r="F266" s="18" t="n"/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5.58</v>
      </c>
      <c r="E267" s="14" t="n"/>
      <c r="F267" s="14" t="n"/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6.16</v>
      </c>
      <c r="E268" s="18" t="n"/>
      <c r="F268" s="18" t="n"/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6.2</v>
      </c>
      <c r="E269" s="14" t="n"/>
      <c r="F269" s="14" t="n"/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5.35</v>
      </c>
      <c r="E270" s="18" t="n"/>
      <c r="F270" s="18" t="n"/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4.58</v>
      </c>
      <c r="E271" s="14" t="n"/>
      <c r="F271" s="14" t="n"/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4.21</v>
      </c>
      <c r="E272" s="18" t="n"/>
      <c r="F272" s="18" t="n"/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3.58</v>
      </c>
      <c r="E273" s="14" t="n"/>
      <c r="F273" s="14" t="n"/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3.61</v>
      </c>
      <c r="E274" s="18" t="n"/>
      <c r="F274" s="18" t="n"/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3.4</v>
      </c>
      <c r="E275" s="14" t="n"/>
      <c r="F275" s="14" t="n"/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3.87</v>
      </c>
      <c r="E276" s="18" t="n"/>
      <c r="F276" s="18" t="n"/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3.51</v>
      </c>
      <c r="E277" s="14" t="n"/>
      <c r="F277" s="14" t="n"/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2.83</v>
      </c>
      <c r="E278" s="18" t="n"/>
      <c r="F278" s="18" t="n"/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2.71</v>
      </c>
      <c r="E279" s="14" t="n"/>
      <c r="F279" s="14" t="n"/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4.27</v>
      </c>
      <c r="E280" s="18" t="n"/>
      <c r="F280" s="18" t="n"/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4.05</v>
      </c>
      <c r="E281" s="14" t="n"/>
      <c r="F281" s="14" t="n"/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3.73</v>
      </c>
      <c r="E282" s="18" t="n"/>
      <c r="F282" s="18" t="n"/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3.14</v>
      </c>
      <c r="E283" s="14" t="n"/>
      <c r="F283" s="14" t="n"/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2.55</v>
      </c>
      <c r="E284" s="18" t="n"/>
      <c r="F284" s="18" t="n"/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2.6</v>
      </c>
      <c r="E285" s="14" t="n"/>
      <c r="F285" s="14" t="n"/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2.59</v>
      </c>
      <c r="E286" s="18" t="n"/>
      <c r="F286" s="18" t="n"/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2.92</v>
      </c>
      <c r="E287" s="14" t="n"/>
      <c r="F287" s="14" t="n"/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3.21</v>
      </c>
      <c r="E288" s="18" t="n"/>
      <c r="F288" s="18" t="n"/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3.2</v>
      </c>
      <c r="E289" s="14" t="n"/>
      <c r="F289" s="14" t="n"/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3.94</v>
      </c>
      <c r="E290" s="18" t="n"/>
      <c r="F290" s="18" t="n"/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3.99</v>
      </c>
      <c r="E291" s="14" t="n"/>
      <c r="F291" s="14" t="n"/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</v>
      </c>
      <c r="E292" s="18" t="n"/>
      <c r="F292" s="18" t="n"/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3.77</v>
      </c>
      <c r="E293" s="14" t="n"/>
      <c r="F293" s="14" t="n"/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3.7</v>
      </c>
      <c r="E294" s="18" t="n"/>
      <c r="F294" s="18" t="n"/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4.19</v>
      </c>
      <c r="E295" s="14" t="n"/>
      <c r="F295" s="14" t="n"/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3.66</v>
      </c>
      <c r="E296" s="18" t="n"/>
      <c r="F296" s="18" t="n"/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2.7</v>
      </c>
      <c r="E297" s="14" t="n"/>
      <c r="F297" s="14" t="n"/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2.95</v>
      </c>
      <c r="E298" s="18" t="n"/>
      <c r="F298" s="18" t="n"/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/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3.85</v>
      </c>
      <c r="E300" s="18" t="n"/>
      <c r="F300" s="18" t="n"/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3.42</v>
      </c>
      <c r="E301" s="14" t="n"/>
      <c r="F301" s="14" t="n"/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3.06</v>
      </c>
      <c r="E302" s="18" t="n"/>
      <c r="F302" s="18" t="n"/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3.48</v>
      </c>
      <c r="E303" s="14" t="n"/>
      <c r="F303" s="14" t="n"/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3.98</v>
      </c>
      <c r="E304" s="18" t="n"/>
      <c r="F304" s="18" t="n"/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4.68</v>
      </c>
      <c r="E305" s="14" t="n"/>
      <c r="F305" s="14" t="n"/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6.1</v>
      </c>
      <c r="E306" s="18" t="n"/>
      <c r="F306" s="18" t="n"/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5.13</v>
      </c>
      <c r="E307" s="14" t="n"/>
      <c r="F307" s="14" t="n"/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4.98</v>
      </c>
      <c r="E308" s="18" t="n"/>
      <c r="F308" s="18" t="n"/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5.1</v>
      </c>
      <c r="E309" s="14" t="n"/>
      <c r="F309" s="14" t="n"/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7.05</v>
      </c>
      <c r="E310" s="18" t="n"/>
      <c r="F310" s="18" t="n"/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7.36</v>
      </c>
      <c r="E311" s="14" t="n"/>
      <c r="F311" s="14" t="n"/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8.460000000000001</v>
      </c>
      <c r="E312" s="18" t="n"/>
      <c r="F312" s="18" t="n"/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8.17</v>
      </c>
      <c r="E313" s="14" t="n"/>
      <c r="F313" s="14" t="n"/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8.23</v>
      </c>
      <c r="E314" s="18" t="n"/>
      <c r="F314" s="18" t="n"/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8.66</v>
      </c>
      <c r="E315" s="14" t="n"/>
      <c r="F315" s="14" t="n"/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8.720000000000001</v>
      </c>
      <c r="E316" s="18" t="n"/>
      <c r="F316" s="18" t="n"/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10.6</v>
      </c>
      <c r="E317" s="14" t="n"/>
      <c r="F317" s="14" t="n"/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10.6</v>
      </c>
      <c r="E318" s="18" t="n"/>
      <c r="F318" s="18" t="n"/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9.710000000000001</v>
      </c>
      <c r="E319" s="14" t="n"/>
      <c r="F319" s="14" t="n"/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8.57</v>
      </c>
      <c r="E320" s="18" t="n"/>
      <c r="F320" s="18" t="n"/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8.800000000000001</v>
      </c>
      <c r="E321" s="14" t="n"/>
      <c r="F321" s="14" t="n"/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9.09</v>
      </c>
      <c r="E322" s="18" t="n"/>
      <c r="F322" s="18" t="n"/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9.619999999999999</v>
      </c>
      <c r="E323" s="14" t="n"/>
      <c r="F323" s="14" t="n"/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9.44</v>
      </c>
      <c r="E324" s="18" t="n"/>
      <c r="F324" s="18" t="n"/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9.68</v>
      </c>
      <c r="E325" s="14" t="n"/>
      <c r="F325" s="14" t="n"/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8.710000000000001</v>
      </c>
      <c r="E326" s="18" t="n"/>
      <c r="F326" s="18" t="n"/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9.1</v>
      </c>
      <c r="E327" s="14" t="n"/>
      <c r="F327" s="14" t="n"/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9.84</v>
      </c>
      <c r="E328" s="18" t="n"/>
      <c r="F328" s="18" t="n"/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10.1</v>
      </c>
      <c r="E329" s="14" t="n"/>
      <c r="F329" s="14" t="n"/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9.84</v>
      </c>
      <c r="E330" s="18" t="n"/>
      <c r="F330" s="18" t="n"/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9.24</v>
      </c>
      <c r="E331" s="14" t="n"/>
      <c r="F331" s="14" t="n"/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8.779999999999999</v>
      </c>
      <c r="E332" s="18" t="n"/>
      <c r="F332" s="18" t="n"/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9.19</v>
      </c>
      <c r="E333" s="14" t="n"/>
      <c r="F333" s="14" t="n"/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9.58</v>
      </c>
      <c r="E334" s="18" t="n"/>
      <c r="F334" s="18" t="n"/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9.380000000000001</v>
      </c>
      <c r="E335" s="14" t="n"/>
      <c r="F335" s="14" t="n"/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9.380000000000001</v>
      </c>
      <c r="E336" s="18" t="n"/>
      <c r="F336" s="18" t="n"/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9.210000000000001</v>
      </c>
      <c r="E337" s="14" t="n"/>
      <c r="F337" s="14" t="n"/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9.630000000000001</v>
      </c>
      <c r="E338" s="18" t="n"/>
      <c r="F338" s="18" t="n"/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10.2</v>
      </c>
      <c r="E339" s="14" t="n"/>
      <c r="F339" s="14" t="n"/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11</v>
      </c>
      <c r="E340" s="18" t="n"/>
      <c r="F340" s="18" t="n"/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11.8</v>
      </c>
      <c r="E341" s="14" t="n"/>
      <c r="F341" s="14" t="n"/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10.8</v>
      </c>
      <c r="E342" s="18" t="n"/>
      <c r="F342" s="18" t="n"/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9.92</v>
      </c>
      <c r="E343" s="14" t="n"/>
      <c r="F343" s="14" t="n"/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8.26</v>
      </c>
      <c r="E344" s="18" t="n"/>
      <c r="F344" s="18" t="n"/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7.55</v>
      </c>
      <c r="E345" s="14" t="n"/>
      <c r="F345" s="14" t="n"/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7.66</v>
      </c>
      <c r="E346" s="18" t="n"/>
      <c r="F346" s="18" t="n"/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7.83</v>
      </c>
      <c r="E347" s="14" t="n"/>
      <c r="F347" s="14" t="n"/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8.529999999999999</v>
      </c>
      <c r="E348" s="18" t="n"/>
      <c r="F348" s="18" t="n"/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7.85</v>
      </c>
      <c r="E349" s="14" t="n"/>
      <c r="F349" s="14" t="n"/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7.43</v>
      </c>
      <c r="E350" s="18" t="n"/>
      <c r="F350" s="18" t="n"/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8.140000000000001</v>
      </c>
      <c r="E351" s="14" t="n"/>
      <c r="F351" s="14" t="n"/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8.710000000000001</v>
      </c>
      <c r="E352" s="18" t="n"/>
      <c r="F352" s="18" t="n"/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7.85</v>
      </c>
      <c r="E353" s="14" t="n"/>
      <c r="F353" s="14" t="n"/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8.19</v>
      </c>
      <c r="E354" s="18" t="n"/>
      <c r="F354" s="18" t="n"/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7.25</v>
      </c>
      <c r="E355" s="14" t="n"/>
      <c r="F355" s="14" t="n"/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7.27</v>
      </c>
      <c r="E356" s="18" t="n"/>
      <c r="F356" s="18" t="n"/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6.91</v>
      </c>
      <c r="E357" s="14" t="n"/>
      <c r="F357" s="14" t="n"/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/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7.3</v>
      </c>
      <c r="E359" s="14" t="n"/>
      <c r="F359" s="14" t="n"/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7.14</v>
      </c>
      <c r="E360" s="18" t="n"/>
      <c r="F360" s="18" t="n"/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6.59</v>
      </c>
      <c r="E361" s="14" t="n"/>
      <c r="F361" s="14" t="n"/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6.34</v>
      </c>
      <c r="E362" s="18" t="n"/>
      <c r="F362" s="18" t="n"/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5.91</v>
      </c>
      <c r="E363" s="14" t="n"/>
      <c r="F363" s="14" t="n"/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5.96</v>
      </c>
      <c r="E364" s="18" t="n"/>
      <c r="F364" s="18" t="n"/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5.3</v>
      </c>
      <c r="E365" s="14" t="n"/>
      <c r="F365" s="14" t="n"/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6.88</v>
      </c>
      <c r="E366" s="18" t="n"/>
      <c r="F366" s="18" t="n"/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6.5</v>
      </c>
      <c r="E367" s="14" t="n"/>
      <c r="F367" s="14" t="n"/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5.82</v>
      </c>
      <c r="E368" s="18" t="n"/>
      <c r="F368" s="18" t="n"/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4.97</v>
      </c>
      <c r="E369" s="14" t="n"/>
      <c r="F369" s="14" t="n"/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5.17</v>
      </c>
      <c r="E370" s="18" t="n"/>
      <c r="F370" s="18" t="n"/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4.96</v>
      </c>
      <c r="E371" s="14" t="n"/>
      <c r="F371" s="14" t="n"/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4.87</v>
      </c>
      <c r="E372" s="18" t="n"/>
      <c r="F372" s="18" t="n"/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4.91</v>
      </c>
      <c r="E373" s="14" t="n"/>
      <c r="F373" s="14" t="n"/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5.37</v>
      </c>
      <c r="E374" s="18" t="n"/>
      <c r="F374" s="18" t="n"/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4.78</v>
      </c>
      <c r="E375" s="14" t="n"/>
      <c r="F375" s="14" t="n"/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5.84</v>
      </c>
      <c r="E376" s="18" t="n"/>
      <c r="F376" s="18" t="n"/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5.9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6.2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5.85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5.61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5.61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7.47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7.29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7.16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8.16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8.31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9.119999999999999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10.3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10.5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11.2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10.1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9.699999999999999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10.3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10.7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11.9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12.5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13.5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13.3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13.4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13.8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14.1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13.6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14.1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13.4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13.3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14.1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14.6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14.7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14.3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13.9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13.6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13.2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13.7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14.1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14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12.9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12.8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12.8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12.9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12.9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13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12.7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12.6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12.7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13.5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13.6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13.8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13.5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13.4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13.8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14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14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14.1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14.1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14.1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14.1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14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14.1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14.1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14.2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14.2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14.1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14.2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14.2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14.2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14.3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14.3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17.2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20.8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16.1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22.2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23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22.8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21.9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24.3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26.5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23.9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22.2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22.1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22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23.6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26.7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27.1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24.3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25.2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26.6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21.6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20.3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19.9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22.9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26.9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27.4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24.7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21.8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20.9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19.6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19.3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18.3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17.9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18.8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18.6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17.6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15.6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14.8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15.1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16.6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16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15.7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18.3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18.2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20.9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21.7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21.3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19.2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17.8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17.8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20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21.9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21.2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20.6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20.4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20.9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20.5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20.9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19.8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20.2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18.1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17.6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17.3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17.1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16.6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16.4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19.2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19.4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19.7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20.6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19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18.5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16.6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16.1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17.9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19.3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20.2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21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23.1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22.8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23.7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23.3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23.9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21.3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20.3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23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24.7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25.3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25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26.4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24.7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21.5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20.4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21.1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19.7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18.4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18.5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17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16.8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16.3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15.5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16.6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16.4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17.7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16.4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15.7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14.5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12.1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10.6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12.1</v>
      </c>
      <c r="E563" s="14" t="n"/>
      <c r="F563" s="14" t="n"/>
      <c r="G563" s="14">
        <f>IF(D563="","",D563*'参数与说明'!$B$6/45.3592)</f>
        <v/>
      </c>
      <c r="H563" s="15">
        <f>IFERROR(IF(D563="","",D563/INDEX($D:$D,MATCH(EDATE($A563,-1),$A:$A,0))-1),"")</f>
        <v/>
      </c>
      <c r="I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12.4</v>
      </c>
      <c r="E564" s="18" t="n"/>
      <c r="F564" s="18" t="n"/>
      <c r="G564" s="18">
        <f>IF(D564="","",D564*'参数与说明'!$B$6/45.3592)</f>
        <v/>
      </c>
      <c r="H564" s="19">
        <f>IFERROR(IF(D564="","",D564/INDEX($D:$D,MATCH(EDATE($A564,-1),$A:$A,0))-1),"")</f>
        <v/>
      </c>
      <c r="I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14.4</v>
      </c>
      <c r="E565" s="14" t="n"/>
      <c r="F565" s="14" t="n"/>
      <c r="G565" s="14">
        <f>IF(D565="","",D565*'参数与说明'!$B$6/45.3592)</f>
        <v/>
      </c>
      <c r="H565" s="15">
        <f>IFERROR(IF(D565="","",D565/INDEX($D:$D,MATCH(EDATE($A565,-1),$A:$A,0))-1),"")</f>
        <v/>
      </c>
      <c r="I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15.4</v>
      </c>
      <c r="E566" s="18" t="n"/>
      <c r="F566" s="18" t="n"/>
      <c r="G566" s="18">
        <f>IF(D566="","",D566*'参数与说明'!$B$6/45.3592)</f>
        <v/>
      </c>
      <c r="H566" s="19">
        <f>IFERROR(IF(D566="","",D566/INDEX($D:$D,MATCH(EDATE($A566,-1),$A:$A,0))-1),"")</f>
        <v/>
      </c>
      <c r="I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15.7</v>
      </c>
      <c r="E567" s="14" t="n"/>
      <c r="F567" s="14" t="n"/>
      <c r="G567" s="14">
        <f>IF(D567="","",D567*'参数与说明'!$B$6/45.3592)</f>
        <v/>
      </c>
      <c r="H567" s="15">
        <f>IFERROR(IF(D567="","",D567/INDEX($D:$D,MATCH(EDATE($A567,-1),$A:$A,0))-1),"")</f>
        <v/>
      </c>
      <c r="I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/>
      <c r="F568" s="18" t="n"/>
      <c r="G568" s="18">
        <f>IF(D568="","",D568*'参数与说明'!$B$6/45.3592)</f>
        <v/>
      </c>
      <c r="H568" s="19">
        <f>IFERROR(IF(D568="","",D568/INDEX($D:$D,MATCH(EDATE($A568,-1),$A:$A,0))-1),"")</f>
        <v/>
      </c>
      <c r="I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16.2</v>
      </c>
      <c r="E569" s="14" t="n"/>
      <c r="F569" s="14" t="n"/>
      <c r="G569" s="14">
        <f>IF(D569="","",D569*'参数与说明'!$B$6/45.3592)</f>
        <v/>
      </c>
      <c r="H569" s="15">
        <f>IFERROR(IF(D569="","",D569/INDEX($D:$D,MATCH(EDATE($A569,-1),$A:$A,0))-1),"")</f>
        <v/>
      </c>
      <c r="I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15.7</v>
      </c>
      <c r="E570" s="18" t="n"/>
      <c r="F570" s="18" t="n"/>
      <c r="G570" s="18">
        <f>IF(D570="","",D570*'参数与说明'!$B$6/45.3592)</f>
        <v/>
      </c>
      <c r="H570" s="19">
        <f>IFERROR(IF(D570="","",D570/INDEX($D:$D,MATCH(EDATE($A570,-1),$A:$A,0))-1),"")</f>
        <v/>
      </c>
      <c r="I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15.5</v>
      </c>
      <c r="E571" s="14" t="n"/>
      <c r="F571" s="14" t="n"/>
      <c r="G571" s="14">
        <f>IF(D571="","",D571*'参数与说明'!$B$6/45.3592)</f>
        <v/>
      </c>
      <c r="H571" s="15">
        <f>IFERROR(IF(D571="","",D571/INDEX($D:$D,MATCH(EDATE($A571,-1),$A:$A,0))-1),"")</f>
        <v/>
      </c>
      <c r="I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14.3</v>
      </c>
      <c r="E572" s="18" t="n"/>
      <c r="F572" s="18" t="n"/>
      <c r="G572" s="18">
        <f>IF(D572="","",D572*'参数与说明'!$B$6/45.3592)</f>
        <v/>
      </c>
      <c r="H572" s="19">
        <f>IFERROR(IF(D572="","",D572/INDEX($D:$D,MATCH(EDATE($A572,-1),$A:$A,0))-1),"")</f>
        <v/>
      </c>
      <c r="I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16.2</v>
      </c>
      <c r="E573" s="14" t="n"/>
      <c r="F573" s="14" t="n"/>
      <c r="G573" s="14">
        <f>IF(D573="","",D573*'参数与说明'!$B$6/45.3592)</f>
        <v/>
      </c>
      <c r="H573" s="15">
        <f>IFERROR(IF(D573="","",D573/INDEX($D:$D,MATCH(EDATE($A573,-1),$A:$A,0))-1),"")</f>
        <v/>
      </c>
      <c r="I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17.3</v>
      </c>
      <c r="E574" s="18" t="n"/>
      <c r="F574" s="18" t="n"/>
      <c r="G574" s="18">
        <f>IF(D574="","",D574*'参数与说明'!$B$6/45.3592)</f>
        <v/>
      </c>
      <c r="H574" s="19">
        <f>IFERROR(IF(D574="","",D574/INDEX($D:$D,MATCH(EDATE($A574,-1),$A:$A,0))-1),"")</f>
        <v/>
      </c>
      <c r="I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16.8</v>
      </c>
      <c r="E575" s="14" t="n"/>
      <c r="F575" s="14" t="n"/>
      <c r="G575" s="14">
        <f>IF(D575="","",D575*'参数与说明'!$B$6/45.3592)</f>
        <v/>
      </c>
      <c r="H575" s="15">
        <f>IFERROR(IF(D575="","",D575/INDEX($D:$D,MATCH(EDATE($A575,-1),$A:$A,0))-1),"")</f>
        <v/>
      </c>
      <c r="I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16.9</v>
      </c>
      <c r="E576" s="18" t="n"/>
      <c r="F576" s="18" t="n"/>
      <c r="G576" s="18">
        <f>IF(D576="","",D576*'参数与说明'!$B$6/45.3592)</f>
        <v/>
      </c>
      <c r="H576" s="19">
        <f>IFERROR(IF(D576="","",D576/INDEX($D:$D,MATCH(EDATE($A576,-1),$A:$A,0))-1),"")</f>
        <v/>
      </c>
      <c r="I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17.4</v>
      </c>
      <c r="E577" s="14" t="n"/>
      <c r="F577" s="14" t="n"/>
      <c r="G577" s="14">
        <f>IF(D577="","",D577*'参数与说明'!$B$6/45.3592)</f>
        <v/>
      </c>
      <c r="H577" s="15">
        <f>IFERROR(IF(D577="","",D577/INDEX($D:$D,MATCH(EDATE($A577,-1),$A:$A,0))-1),"")</f>
        <v/>
      </c>
      <c r="I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17.4</v>
      </c>
      <c r="E578" s="18" t="n"/>
      <c r="F578" s="18" t="n"/>
      <c r="G578" s="18">
        <f>IF(D578="","",D578*'参数与说明'!$B$6/45.3592)</f>
        <v/>
      </c>
      <c r="H578" s="19">
        <f>IFERROR(IF(D578="","",D578/INDEX($D:$D,MATCH(EDATE($A578,-1),$A:$A,0))-1),"")</f>
        <v/>
      </c>
      <c r="I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18.4</v>
      </c>
      <c r="E579" s="14" t="n"/>
      <c r="F579" s="14" t="n"/>
      <c r="G579" s="14">
        <f>IF(D579="","",D579*'参数与说明'!$B$6/45.3592)</f>
        <v/>
      </c>
      <c r="H579" s="15">
        <f>IFERROR(IF(D579="","",D579/INDEX($D:$D,MATCH(EDATE($A579,-1),$A:$A,0))-1),"")</f>
        <v/>
      </c>
      <c r="I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19.3</v>
      </c>
      <c r="E580" s="18" t="n"/>
      <c r="F580" s="18" t="n"/>
      <c r="G580" s="18">
        <f>IF(D580="","",D580*'参数与说明'!$B$6/45.3592)</f>
        <v/>
      </c>
      <c r="H580" s="19">
        <f>IFERROR(IF(D580="","",D580/INDEX($D:$D,MATCH(EDATE($A580,-1),$A:$A,0))-1),"")</f>
        <v/>
      </c>
      <c r="I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20.2</v>
      </c>
      <c r="E581" s="14" t="n"/>
      <c r="F581" s="14" t="n"/>
      <c r="G581" s="14">
        <f>IF(D581="","",D581*'参数与说明'!$B$6/45.3592)</f>
        <v/>
      </c>
      <c r="H581" s="15">
        <f>IFERROR(IF(D581="","",D581/INDEX($D:$D,MATCH(EDATE($A581,-1),$A:$A,0))-1),"")</f>
        <v/>
      </c>
      <c r="I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19.1</v>
      </c>
      <c r="E582" s="18" t="n"/>
      <c r="F582" s="18" t="n"/>
      <c r="G582" s="18">
        <f>IF(D582="","",D582*'参数与说明'!$B$6/45.3592)</f>
        <v/>
      </c>
      <c r="H582" s="19">
        <f>IFERROR(IF(D582="","",D582/INDEX($D:$D,MATCH(EDATE($A582,-1),$A:$A,0))-1),"")</f>
        <v/>
      </c>
      <c r="I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</v>
      </c>
      <c r="E583" s="14" t="n"/>
      <c r="F583" s="14" t="n"/>
      <c r="G583" s="14">
        <f>IF(D583="","",D583*'参数与说明'!$B$6/45.3592)</f>
        <v/>
      </c>
      <c r="H583" s="15">
        <f>IFERROR(IF(D583="","",D583/INDEX($D:$D,MATCH(EDATE($A583,-1),$A:$A,0))-1),"")</f>
        <v/>
      </c>
      <c r="I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16.6</v>
      </c>
      <c r="E584" s="18" t="n"/>
      <c r="F584" s="18" t="n"/>
      <c r="G584" s="18">
        <f>IF(D584="","",D584*'参数与说明'!$B$6/45.3592)</f>
        <v/>
      </c>
      <c r="H584" s="19">
        <f>IFERROR(IF(D584="","",D584/INDEX($D:$D,MATCH(EDATE($A584,-1),$A:$A,0))-1),"")</f>
        <v/>
      </c>
      <c r="I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17.8</v>
      </c>
      <c r="E585" s="14" t="n"/>
      <c r="F585" s="14" t="n"/>
      <c r="G585" s="14">
        <f>IF(D585="","",D585*'参数与说明'!$B$6/45.3592)</f>
        <v/>
      </c>
      <c r="H585" s="15">
        <f>IFERROR(IF(D585="","",D585/INDEX($D:$D,MATCH(EDATE($A585,-1),$A:$A,0))-1),"")</f>
        <v/>
      </c>
      <c r="I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18.5</v>
      </c>
      <c r="E586" s="18" t="n"/>
      <c r="F586" s="18" t="n"/>
      <c r="G586" s="18">
        <f>IF(D586="","",D586*'参数与说明'!$B$6/45.3592)</f>
        <v/>
      </c>
      <c r="H586" s="19">
        <f>IFERROR(IF(D586="","",D586/INDEX($D:$D,MATCH(EDATE($A586,-1),$A:$A,0))-1),"")</f>
        <v/>
      </c>
      <c r="I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19.5</v>
      </c>
      <c r="E587" s="14" t="n"/>
      <c r="F587" s="14" t="n"/>
      <c r="G587" s="14">
        <f>IF(D587="","",D587*'参数与说明'!$B$6/45.3592)</f>
        <v/>
      </c>
      <c r="H587" s="15">
        <f>IFERROR(IF(D587="","",D587/INDEX($D:$D,MATCH(EDATE($A587,-1),$A:$A,0))-1),"")</f>
        <v/>
      </c>
      <c r="I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20.3</v>
      </c>
      <c r="E588" s="18" t="n"/>
      <c r="F588" s="18" t="n"/>
      <c r="G588" s="18">
        <f>IF(D588="","",D588*'参数与说明'!$B$6/45.3592)</f>
        <v/>
      </c>
      <c r="H588" s="19">
        <f>IFERROR(IF(D588="","",D588/INDEX($D:$D,MATCH(EDATE($A588,-1),$A:$A,0))-1),"")</f>
        <v/>
      </c>
      <c r="I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20.2</v>
      </c>
      <c r="E589" s="14" t="n"/>
      <c r="F589" s="14" t="n"/>
      <c r="G589" s="14">
        <f>IF(D589="","",D589*'参数与说明'!$B$6/45.3592)</f>
        <v/>
      </c>
      <c r="H589" s="15">
        <f>IFERROR(IF(D589="","",D589/INDEX($D:$D,MATCH(EDATE($A589,-1),$A:$A,0))-1),"")</f>
        <v/>
      </c>
      <c r="I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21.1</v>
      </c>
      <c r="E590" s="18" t="n"/>
      <c r="F590" s="18" t="n"/>
      <c r="G590" s="18">
        <f>IF(D590="","",D590*'参数与说明'!$B$6/45.3592)</f>
        <v/>
      </c>
      <c r="H590" s="19">
        <f>IFERROR(IF(D590="","",D590/INDEX($D:$D,MATCH(EDATE($A590,-1),$A:$A,0))-1),"")</f>
        <v/>
      </c>
      <c r="I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21.6</v>
      </c>
      <c r="E591" s="14" t="n"/>
      <c r="F591" s="14" t="n"/>
      <c r="G591" s="14">
        <f>IF(D591="","",D591*'参数与说明'!$B$6/45.3592)</f>
        <v/>
      </c>
      <c r="H591" s="15">
        <f>IFERROR(IF(D591="","",D591/INDEX($D:$D,MATCH(EDATE($A591,-1),$A:$A,0))-1),"")</f>
        <v/>
      </c>
      <c r="I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21.7</v>
      </c>
      <c r="E592" s="18" t="n"/>
      <c r="F592" s="18" t="n"/>
      <c r="G592" s="18">
        <f>IF(D592="","",D592*'参数与说明'!$B$6/45.3592)</f>
        <v/>
      </c>
      <c r="H592" s="19">
        <f>IFERROR(IF(D592="","",D592/INDEX($D:$D,MATCH(EDATE($A592,-1),$A:$A,0))-1),"")</f>
        <v/>
      </c>
      <c r="I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20.8</v>
      </c>
      <c r="E593" s="14" t="n"/>
      <c r="F593" s="14" t="n"/>
      <c r="G593" s="14">
        <f>IF(D593="","",D593*'参数与说明'!$B$6/45.3592)</f>
        <v/>
      </c>
      <c r="H593" s="15">
        <f>IFERROR(IF(D593="","",D593/INDEX($D:$D,MATCH(EDATE($A593,-1),$A:$A,0))-1),"")</f>
        <v/>
      </c>
      <c r="I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19.9</v>
      </c>
      <c r="E594" s="18" t="n"/>
      <c r="F594" s="18" t="n"/>
      <c r="G594" s="18">
        <f>IF(D594="","",D594*'参数与说明'!$B$6/45.3592)</f>
        <v/>
      </c>
      <c r="H594" s="19">
        <f>IFERROR(IF(D594="","",D594/INDEX($D:$D,MATCH(EDATE($A594,-1),$A:$A,0))-1),"")</f>
        <v/>
      </c>
      <c r="I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18.5</v>
      </c>
      <c r="E595" s="14" t="n"/>
      <c r="F595" s="14" t="n"/>
      <c r="G595" s="14">
        <f>IF(D595="","",D595*'参数与说明'!$B$6/45.3592)</f>
        <v/>
      </c>
      <c r="H595" s="15">
        <f>IFERROR(IF(D595="","",D595/INDEX($D:$D,MATCH(EDATE($A595,-1),$A:$A,0))-1),"")</f>
        <v/>
      </c>
      <c r="I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17.9</v>
      </c>
      <c r="E596" s="18" t="n"/>
      <c r="F596" s="18" t="n"/>
      <c r="G596" s="18">
        <f>IF(D596="","",D596*'参数与说明'!$B$6/45.3592)</f>
        <v/>
      </c>
      <c r="H596" s="19">
        <f>IFERROR(IF(D596="","",D596/INDEX($D:$D,MATCH(EDATE($A596,-1),$A:$A,0))-1),"")</f>
        <v/>
      </c>
      <c r="I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17.5</v>
      </c>
      <c r="E597" s="14" t="n"/>
      <c r="F597" s="14" t="n"/>
      <c r="G597" s="14">
        <f>IF(D597="","",D597*'参数与说明'!$B$6/45.3592)</f>
        <v/>
      </c>
      <c r="H597" s="15">
        <f>IFERROR(IF(D597="","",D597/INDEX($D:$D,MATCH(EDATE($A597,-1),$A:$A,0))-1),"")</f>
        <v/>
      </c>
      <c r="I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16.4</v>
      </c>
      <c r="E598" s="18" t="n"/>
      <c r="F598" s="18" t="n"/>
      <c r="G598" s="18">
        <f>IF(D598="","",D598*'参数与说明'!$B$6/45.3592)</f>
        <v/>
      </c>
      <c r="H598" s="19">
        <f>IFERROR(IF(D598="","",D598/INDEX($D:$D,MATCH(EDATE($A598,-1),$A:$A,0))-1),"")</f>
        <v/>
      </c>
      <c r="I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15.4</v>
      </c>
      <c r="E599" s="14" t="n"/>
      <c r="F599" s="14" t="n"/>
      <c r="G599" s="14">
        <f>IF(D599="","",D599*'参数与说明'!$B$6/45.3592)</f>
        <v/>
      </c>
      <c r="H599" s="15">
        <f>IFERROR(IF(D599="","",D599/INDEX($D:$D,MATCH(EDATE($A599,-1),$A:$A,0))-1),"")</f>
        <v/>
      </c>
      <c r="I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15.5</v>
      </c>
      <c r="E600" s="18" t="n"/>
      <c r="F600" s="18" t="n"/>
      <c r="G600" s="18">
        <f>IF(D600="","",D600*'参数与说明'!$B$6/45.3592)</f>
        <v/>
      </c>
      <c r="H600" s="19">
        <f>IFERROR(IF(D600="","",D600/INDEX($D:$D,MATCH(EDATE($A600,-1),$A:$A,0))-1),"")</f>
        <v/>
      </c>
      <c r="I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15.5</v>
      </c>
      <c r="E601" s="14" t="n"/>
      <c r="F601" s="14" t="n"/>
      <c r="G601" s="14">
        <f>IF(D601="","",D601*'参数与说明'!$B$6/45.3592)</f>
        <v/>
      </c>
      <c r="H601" s="15">
        <f>IFERROR(IF(D601="","",D601/INDEX($D:$D,MATCH(EDATE($A601,-1),$A:$A,0))-1),"")</f>
        <v/>
      </c>
      <c r="I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15.4</v>
      </c>
      <c r="E602" s="18" t="n"/>
      <c r="F602" s="18" t="n"/>
      <c r="G602" s="18">
        <f>IF(D602="","",D602*'参数与说明'!$B$6/45.3592)</f>
        <v/>
      </c>
      <c r="H602" s="19">
        <f>IFERROR(IF(D602="","",D602/INDEX($D:$D,MATCH(EDATE($A602,-1),$A:$A,0))-1),"")</f>
        <v/>
      </c>
      <c r="I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14.9</v>
      </c>
      <c r="E603" s="14" t="n"/>
      <c r="F603" s="14" t="n"/>
      <c r="G603" s="14">
        <f>IF(D603="","",D603*'参数与说明'!$B$6/45.3592)</f>
        <v/>
      </c>
      <c r="H603" s="15">
        <f>IFERROR(IF(D603="","",D603/INDEX($D:$D,MATCH(EDATE($A603,-1),$A:$A,0))-1),"")</f>
        <v/>
      </c>
      <c r="I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13.4</v>
      </c>
      <c r="E604" s="18" t="n"/>
      <c r="F604" s="18" t="n"/>
      <c r="G604" s="18">
        <f>IF(D604="","",D604*'参数与说明'!$B$6/45.3592)</f>
        <v/>
      </c>
      <c r="H604" s="19">
        <f>IFERROR(IF(D604="","",D604/INDEX($D:$D,MATCH(EDATE($A604,-1),$A:$A,0))-1),"")</f>
        <v/>
      </c>
      <c r="I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13.8</v>
      </c>
      <c r="E605" s="14" t="n"/>
      <c r="F605" s="14" t="n"/>
      <c r="G605" s="14">
        <f>IF(D605="","",D605*'参数与说明'!$B$6/45.3592)</f>
        <v/>
      </c>
      <c r="H605" s="15">
        <f>IFERROR(IF(D605="","",D605/INDEX($D:$D,MATCH(EDATE($A605,-1),$A:$A,0))-1),"")</f>
        <v/>
      </c>
      <c r="I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13.3</v>
      </c>
      <c r="E606" s="18" t="n"/>
      <c r="F606" s="18" t="n"/>
      <c r="G606" s="18">
        <f>IF(D606="","",D606*'参数与说明'!$B$6/45.3592)</f>
        <v/>
      </c>
      <c r="H606" s="19">
        <f>IFERROR(IF(D606="","",D606/INDEX($D:$D,MATCH(EDATE($A606,-1),$A:$A,0))-1),"")</f>
        <v/>
      </c>
      <c r="I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12.6</v>
      </c>
      <c r="E607" s="14" t="n"/>
      <c r="F607" s="14" t="n"/>
      <c r="G607" s="14">
        <f>IF(D607="","",D607*'参数与说明'!$B$6/45.3592)</f>
        <v/>
      </c>
      <c r="H607" s="15">
        <f>IFERROR(IF(D607="","",D607/INDEX($D:$D,MATCH(EDATE($A607,-1),$A:$A,0))-1),"")</f>
        <v/>
      </c>
      <c r="I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12.1</v>
      </c>
      <c r="E608" s="18" t="n"/>
      <c r="F608" s="18" t="n"/>
      <c r="G608" s="18">
        <f>IF(D608="","",D608*'参数与说明'!$B$6/45.3592)</f>
        <v/>
      </c>
      <c r="H608" s="19">
        <f>IFERROR(IF(D608="","",D608/INDEX($D:$D,MATCH(EDATE($A608,-1),$A:$A,0))-1),"")</f>
        <v/>
      </c>
      <c r="I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11.3</v>
      </c>
      <c r="E609" s="14" t="n"/>
      <c r="F609" s="14" t="n"/>
      <c r="G609" s="14">
        <f>IF(D609="","",D609*'参数与说明'!$B$6/45.3592)</f>
        <v/>
      </c>
      <c r="H609" s="15">
        <f>IFERROR(IF(D609="","",D609/INDEX($D:$D,MATCH(EDATE($A609,-1),$A:$A,0))-1),"")</f>
        <v/>
      </c>
      <c r="I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12.1</v>
      </c>
      <c r="E610" s="18" t="n"/>
      <c r="F610" s="18" t="n"/>
      <c r="G610" s="18">
        <f>IF(D610="","",D610*'参数与说明'!$B$6/45.3592)</f>
        <v/>
      </c>
      <c r="H610" s="19">
        <f>IFERROR(IF(D610="","",D610/INDEX($D:$D,MATCH(EDATE($A610,-1),$A:$A,0))-1),"")</f>
        <v/>
      </c>
      <c r="I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13</v>
      </c>
      <c r="E611" s="14" t="n"/>
      <c r="F611" s="14" t="n"/>
      <c r="G611" s="14">
        <f>IF(D611="","",D611*'参数与说明'!$B$6/45.3592)</f>
        <v/>
      </c>
      <c r="H611" s="15">
        <f>IFERROR(IF(D611="","",D611/INDEX($D:$D,MATCH(EDATE($A611,-1),$A:$A,0))-1),"")</f>
        <v/>
      </c>
      <c r="I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15</v>
      </c>
      <c r="E612" s="18" t="n"/>
      <c r="F612" s="18" t="n"/>
      <c r="G612" s="18">
        <f>IF(D612="","",D612*'参数与说明'!$B$6/45.3592)</f>
        <v/>
      </c>
      <c r="H612" s="19">
        <f>IFERROR(IF(D612="","",D612/INDEX($D:$D,MATCH(EDATE($A612,-1),$A:$A,0))-1),"")</f>
        <v/>
      </c>
      <c r="I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15.5</v>
      </c>
      <c r="E613" s="14" t="n"/>
      <c r="F613" s="14" t="n"/>
      <c r="G613" s="14">
        <f>IF(D613="","",D613*'参数与说明'!$B$6/45.3592)</f>
        <v/>
      </c>
      <c r="H613" s="15">
        <f>IFERROR(IF(D613="","",D613/INDEX($D:$D,MATCH(EDATE($A613,-1),$A:$A,0))-1),"")</f>
        <v/>
      </c>
      <c r="I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15.4</v>
      </c>
      <c r="E614" s="18" t="n"/>
      <c r="F614" s="18" t="n"/>
      <c r="G614" s="18">
        <f>IF(D614="","",D614*'参数与说明'!$B$6/45.3592)</f>
        <v/>
      </c>
      <c r="H614" s="19">
        <f>IFERROR(IF(D614="","",D614/INDEX($D:$D,MATCH(EDATE($A614,-1),$A:$A,0))-1),"")</f>
        <v/>
      </c>
      <c r="I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16</v>
      </c>
      <c r="E615" s="14" t="n"/>
      <c r="F615" s="14" t="n"/>
      <c r="G615" s="14">
        <f>IF(D615="","",D615*'参数与说明'!$B$6/45.3592)</f>
        <v/>
      </c>
      <c r="H615" s="15">
        <f>IFERROR(IF(D615="","",D615/INDEX($D:$D,MATCH(EDATE($A615,-1),$A:$A,0))-1),"")</f>
        <v/>
      </c>
      <c r="I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16.6</v>
      </c>
      <c r="E616" s="18" t="n"/>
      <c r="F616" s="18" t="n"/>
      <c r="G616" s="18">
        <f>IF(D616="","",D616*'参数与说明'!$B$6/45.3592)</f>
        <v/>
      </c>
      <c r="H616" s="19">
        <f>IFERROR(IF(D616="","",D616/INDEX($D:$D,MATCH(EDATE($A616,-1),$A:$A,0))-1),"")</f>
        <v/>
      </c>
      <c r="I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16.3</v>
      </c>
      <c r="E617" s="14" t="n"/>
      <c r="F617" s="14" t="n"/>
      <c r="G617" s="14">
        <f>IF(D617="","",D617*'参数与说明'!$B$6/45.3592)</f>
        <v/>
      </c>
      <c r="H617" s="15">
        <f>IFERROR(IF(D617="","",D617/INDEX($D:$D,MATCH(EDATE($A617,-1),$A:$A,0))-1),"")</f>
        <v/>
      </c>
      <c r="I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15.7</v>
      </c>
      <c r="E618" s="18" t="n"/>
      <c r="F618" s="18" t="n"/>
      <c r="G618" s="18">
        <f>IF(D618="","",D618*'参数与说明'!$B$6/45.3592)</f>
        <v/>
      </c>
      <c r="H618" s="19">
        <f>IFERROR(IF(D618="","",D618/INDEX($D:$D,MATCH(EDATE($A618,-1),$A:$A,0))-1),"")</f>
        <v/>
      </c>
      <c r="I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16.7</v>
      </c>
      <c r="E619" s="14" t="n"/>
      <c r="F619" s="14" t="n"/>
      <c r="G619" s="14">
        <f>IF(D619="","",D619*'参数与说明'!$B$6/45.3592)</f>
        <v/>
      </c>
      <c r="H619" s="15">
        <f>IFERROR(IF(D619="","",D619/INDEX($D:$D,MATCH(EDATE($A619,-1),$A:$A,0))-1),"")</f>
        <v/>
      </c>
      <c r="I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16.6</v>
      </c>
      <c r="E620" s="18" t="n"/>
      <c r="F620" s="18" t="n"/>
      <c r="G620" s="18">
        <f>IF(D620="","",D620*'参数与说明'!$B$6/45.3592)</f>
        <v/>
      </c>
      <c r="H620" s="19">
        <f>IFERROR(IF(D620="","",D620/INDEX($D:$D,MATCH(EDATE($A620,-1),$A:$A,0))-1),"")</f>
        <v/>
      </c>
      <c r="I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16.5</v>
      </c>
      <c r="E621" s="14" t="n"/>
      <c r="F621" s="14" t="n"/>
      <c r="G621" s="14">
        <f>IF(D621="","",D621*'参数与说明'!$B$6/45.3592)</f>
        <v/>
      </c>
      <c r="H621" s="15">
        <f>IFERROR(IF(D621="","",D621/INDEX($D:$D,MATCH(EDATE($A621,-1),$A:$A,0))-1),"")</f>
        <v/>
      </c>
      <c r="I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16.7</v>
      </c>
      <c r="E622" s="18" t="n"/>
      <c r="F622" s="18" t="n"/>
      <c r="G622" s="18">
        <f>IF(D622="","",D622*'参数与说明'!$B$6/45.3592)</f>
        <v/>
      </c>
      <c r="H622" s="19">
        <f>IFERROR(IF(D622="","",D622/INDEX($D:$D,MATCH(EDATE($A622,-1),$A:$A,0))-1),"")</f>
        <v/>
      </c>
      <c r="I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17.6</v>
      </c>
      <c r="E623" s="14" t="n"/>
      <c r="F623" s="14" t="n"/>
      <c r="G623" s="14">
        <f>IF(D623="","",D623*'参数与说明'!$B$6/45.3592)</f>
        <v/>
      </c>
      <c r="H623" s="15">
        <f>IFERROR(IF(D623="","",D623/INDEX($D:$D,MATCH(EDATE($A623,-1),$A:$A,0))-1),"")</f>
        <v/>
      </c>
      <c r="I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17.1</v>
      </c>
      <c r="E624" s="18" t="n"/>
      <c r="F624" s="18" t="n"/>
      <c r="G624" s="18">
        <f>IF(D624="","",D624*'参数与说明'!$B$6/45.3592)</f>
        <v/>
      </c>
      <c r="H624" s="19">
        <f>IFERROR(IF(D624="","",D624/INDEX($D:$D,MATCH(EDATE($A624,-1),$A:$A,0))-1),"")</f>
        <v/>
      </c>
      <c r="I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16.8</v>
      </c>
      <c r="E625" s="14" t="n"/>
      <c r="F625" s="14" t="n"/>
      <c r="G625" s="14">
        <f>IF(D625="","",D625*'参数与说明'!$B$6/45.3592)</f>
        <v/>
      </c>
      <c r="H625" s="15">
        <f>IFERROR(IF(D625="","",D625/INDEX($D:$D,MATCH(EDATE($A625,-1),$A:$A,0))-1),"")</f>
        <v/>
      </c>
      <c r="I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16.1</v>
      </c>
      <c r="E626" s="18" t="n"/>
      <c r="F626" s="18" t="n"/>
      <c r="G626" s="18">
        <f>IF(D626="","",D626*'参数与说明'!$B$6/45.3592)</f>
        <v/>
      </c>
      <c r="H626" s="19">
        <f>IFERROR(IF(D626="","",D626/INDEX($D:$D,MATCH(EDATE($A626,-1),$A:$A,0))-1),"")</f>
        <v/>
      </c>
      <c r="I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15.8</v>
      </c>
      <c r="E627" s="14" t="n"/>
      <c r="F627" s="14" t="n"/>
      <c r="G627" s="14">
        <f>IF(D627="","",D627*'参数与说明'!$B$6/45.3592)</f>
        <v/>
      </c>
      <c r="H627" s="15">
        <f>IFERROR(IF(D627="","",D627/INDEX($D:$D,MATCH(EDATE($A627,-1),$A:$A,0))-1),"")</f>
        <v/>
      </c>
      <c r="I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16.6</v>
      </c>
      <c r="E628" s="18" t="n"/>
      <c r="F628" s="18" t="n"/>
      <c r="G628" s="18">
        <f>IF(D628="","",D628*'参数与说明'!$B$6/45.3592)</f>
        <v/>
      </c>
      <c r="H628" s="19">
        <f>IFERROR(IF(D628="","",D628/INDEX($D:$D,MATCH(EDATE($A628,-1),$A:$A,0))-1),"")</f>
        <v/>
      </c>
      <c r="I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17.3</v>
      </c>
      <c r="E629" s="14" t="n"/>
      <c r="F629" s="14" t="n"/>
      <c r="G629" s="14">
        <f>IF(D629="","",D629*'参数与说明'!$B$6/45.3592)</f>
        <v/>
      </c>
      <c r="H629" s="15">
        <f>IFERROR(IF(D629="","",D629/INDEX($D:$D,MATCH(EDATE($A629,-1),$A:$A,0))-1),"")</f>
        <v/>
      </c>
      <c r="I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17.5</v>
      </c>
      <c r="E630" s="18" t="n"/>
      <c r="F630" s="18" t="n"/>
      <c r="G630" s="18">
        <f>IF(D630="","",D630*'参数与说明'!$B$6/45.3592)</f>
        <v/>
      </c>
      <c r="H630" s="19">
        <f>IFERROR(IF(D630="","",D630/INDEX($D:$D,MATCH(EDATE($A630,-1),$A:$A,0))-1),"")</f>
        <v/>
      </c>
      <c r="I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16.6</v>
      </c>
      <c r="E631" s="14" t="n"/>
      <c r="F631" s="14" t="n"/>
      <c r="G631" s="14">
        <f>IF(D631="","",D631*'参数与说明'!$B$6/45.3592)</f>
        <v/>
      </c>
      <c r="H631" s="15">
        <f>IFERROR(IF(D631="","",D631/INDEX($D:$D,MATCH(EDATE($A631,-1),$A:$A,0))-1),"")</f>
        <v/>
      </c>
      <c r="I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15.7</v>
      </c>
      <c r="E632" s="18" t="n"/>
      <c r="F632" s="18" t="n"/>
      <c r="G632" s="18">
        <f>IF(D632="","",D632*'参数与说明'!$B$6/45.3592)</f>
        <v/>
      </c>
      <c r="H632" s="19">
        <f>IFERROR(IF(D632="","",D632/INDEX($D:$D,MATCH(EDATE($A632,-1),$A:$A,0))-1),"")</f>
        <v/>
      </c>
      <c r="I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16.1</v>
      </c>
      <c r="E633" s="14" t="n"/>
      <c r="F633" s="14" t="n"/>
      <c r="G633" s="14">
        <f>IF(D633="","",D633*'参数与说明'!$B$6/45.3592)</f>
        <v/>
      </c>
      <c r="H633" s="15">
        <f>IFERROR(IF(D633="","",D633/INDEX($D:$D,MATCH(EDATE($A633,-1),$A:$A,0))-1),"")</f>
        <v/>
      </c>
      <c r="I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16.5</v>
      </c>
      <c r="E634" s="18" t="n"/>
      <c r="F634" s="18" t="n"/>
      <c r="G634" s="18">
        <f>IF(D634="","",D634*'参数与说明'!$B$6/45.3592)</f>
        <v/>
      </c>
      <c r="H634" s="19">
        <f>IFERROR(IF(D634="","",D634/INDEX($D:$D,MATCH(EDATE($A634,-1),$A:$A,0))-1),"")</f>
        <v/>
      </c>
      <c r="I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16.3</v>
      </c>
      <c r="E635" s="14" t="n"/>
      <c r="F635" s="14" t="n"/>
      <c r="G635" s="14">
        <f>IF(D635="","",D635*'参数与说明'!$B$6/45.3592)</f>
        <v/>
      </c>
      <c r="H635" s="15">
        <f>IFERROR(IF(D635="","",D635/INDEX($D:$D,MATCH(EDATE($A635,-1),$A:$A,0))-1),"")</f>
        <v/>
      </c>
      <c r="I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15.9</v>
      </c>
      <c r="E636" s="18" t="n"/>
      <c r="F636" s="18" t="n"/>
      <c r="G636" s="18">
        <f>IF(D636="","",D636*'参数与说明'!$B$6/45.3592)</f>
        <v/>
      </c>
      <c r="H636" s="19">
        <f>IFERROR(IF(D636="","",D636/INDEX($D:$D,MATCH(EDATE($A636,-1),$A:$A,0))-1),"")</f>
        <v/>
      </c>
      <c r="I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15.5</v>
      </c>
      <c r="E637" s="14" t="n"/>
      <c r="F637" s="14" t="n"/>
      <c r="G637" s="14">
        <f>IF(D637="","",D637*'参数与说明'!$B$6/45.3592)</f>
        <v/>
      </c>
      <c r="H637" s="15">
        <f>IFERROR(IF(D637="","",D637/INDEX($D:$D,MATCH(EDATE($A637,-1),$A:$A,0))-1),"")</f>
        <v/>
      </c>
      <c r="I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15.2</v>
      </c>
      <c r="E638" s="18" t="n"/>
      <c r="F638" s="18" t="n"/>
      <c r="G638" s="18">
        <f>IF(D638="","",D638*'参数与说明'!$B$6/45.3592)</f>
        <v/>
      </c>
      <c r="H638" s="19">
        <f>IFERROR(IF(D638="","",D638/INDEX($D:$D,MATCH(EDATE($A638,-1),$A:$A,0))-1),"")</f>
        <v/>
      </c>
      <c r="I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15.9</v>
      </c>
      <c r="E639" s="14" t="n"/>
      <c r="F639" s="14" t="n"/>
      <c r="G639" s="14">
        <f>IF(D639="","",D639*'参数与说明'!$B$6/45.3592)</f>
        <v/>
      </c>
      <c r="H639" s="15">
        <f>IFERROR(IF(D639="","",D639/INDEX($D:$D,MATCH(EDATE($A639,-1),$A:$A,0))-1),"")</f>
        <v/>
      </c>
      <c r="I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17</v>
      </c>
      <c r="E640" s="18" t="n"/>
      <c r="F640" s="18" t="n"/>
      <c r="G640" s="18">
        <f>IF(D640="","",D640*'参数与说明'!$B$6/45.3592)</f>
        <v/>
      </c>
      <c r="H640" s="19">
        <f>IFERROR(IF(D640="","",D640/INDEX($D:$D,MATCH(EDATE($A640,-1),$A:$A,0))-1),"")</f>
        <v/>
      </c>
      <c r="I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17.5</v>
      </c>
      <c r="E641" s="14" t="n"/>
      <c r="F641" s="14" t="n"/>
      <c r="G641" s="14">
        <f>IF(D641="","",D641*'参数与说明'!$B$6/45.3592)</f>
        <v/>
      </c>
      <c r="H641" s="15">
        <f>IFERROR(IF(D641="","",D641/INDEX($D:$D,MATCH(EDATE($A641,-1),$A:$A,0))-1),"")</f>
        <v/>
      </c>
      <c r="I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18.1</v>
      </c>
      <c r="E642" s="18" t="n"/>
      <c r="F642" s="18" t="n"/>
      <c r="G642" s="18">
        <f>IF(D642="","",D642*'参数与说明'!$B$6/45.3592)</f>
        <v/>
      </c>
      <c r="H642" s="19">
        <f>IFERROR(IF(D642="","",D642/INDEX($D:$D,MATCH(EDATE($A642,-1),$A:$A,0))-1),"")</f>
        <v/>
      </c>
      <c r="I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16.6</v>
      </c>
      <c r="E643" s="14" t="n"/>
      <c r="F643" s="14" t="n"/>
      <c r="G643" s="14">
        <f>IF(D643="","",D643*'参数与说明'!$B$6/45.3592)</f>
        <v/>
      </c>
      <c r="H643" s="15">
        <f>IFERROR(IF(D643="","",D643/INDEX($D:$D,MATCH(EDATE($A643,-1),$A:$A,0))-1),"")</f>
        <v/>
      </c>
      <c r="I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16.2</v>
      </c>
      <c r="E644" s="18" t="n"/>
      <c r="F644" s="18" t="n"/>
      <c r="G644" s="18">
        <f>IF(D644="","",D644*'参数与说明'!$B$6/45.3592)</f>
        <v/>
      </c>
      <c r="H644" s="19">
        <f>IFERROR(IF(D644="","",D644/INDEX($D:$D,MATCH(EDATE($A644,-1),$A:$A,0))-1),"")</f>
        <v/>
      </c>
      <c r="I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15.7</v>
      </c>
      <c r="E645" s="14" t="n"/>
      <c r="F645" s="14" t="n"/>
      <c r="G645" s="14">
        <f>IF(D645="","",D645*'参数与说明'!$B$6/45.3592)</f>
        <v/>
      </c>
      <c r="H645" s="15">
        <f>IFERROR(IF(D645="","",D645/INDEX($D:$D,MATCH(EDATE($A645,-1),$A:$A,0))-1),"")</f>
        <v/>
      </c>
      <c r="I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15.4</v>
      </c>
      <c r="E646" s="18" t="n"/>
      <c r="F646" s="18" t="n"/>
      <c r="G646" s="18">
        <f>IF(D646="","",D646*'参数与说明'!$B$6/45.3592)</f>
        <v/>
      </c>
      <c r="H646" s="19">
        <f>IFERROR(IF(D646="","",D646/INDEX($D:$D,MATCH(EDATE($A646,-1),$A:$A,0))-1),"")</f>
        <v/>
      </c>
      <c r="I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14.8</v>
      </c>
      <c r="E647" s="14" t="n"/>
      <c r="F647" s="14" t="n"/>
      <c r="G647" s="14">
        <f>IF(D647="","",D647*'参数与说明'!$B$6/45.3592)</f>
        <v/>
      </c>
      <c r="H647" s="15">
        <f>IFERROR(IF(D647="","",D647/INDEX($D:$D,MATCH(EDATE($A647,-1),$A:$A,0))-1),"")</f>
        <v/>
      </c>
      <c r="I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13.8</v>
      </c>
      <c r="E648" s="18" t="n"/>
      <c r="F648" s="18" t="n"/>
      <c r="G648" s="18">
        <f>IF(D648="","",D648*'参数与说明'!$B$6/45.3592)</f>
        <v/>
      </c>
      <c r="H648" s="19">
        <f>IFERROR(IF(D648="","",D648/INDEX($D:$D,MATCH(EDATE($A648,-1),$A:$A,0))-1),"")</f>
        <v/>
      </c>
      <c r="I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13.5</v>
      </c>
      <c r="E649" s="14" t="n"/>
      <c r="F649" s="14" t="n"/>
      <c r="G649" s="14">
        <f>IF(D649="","",D649*'参数与说明'!$B$6/45.3592)</f>
        <v/>
      </c>
      <c r="H649" s="15">
        <f>IFERROR(IF(D649="","",D649/INDEX($D:$D,MATCH(EDATE($A649,-1),$A:$A,0))-1),"")</f>
        <v/>
      </c>
      <c r="I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14.4</v>
      </c>
      <c r="E650" s="18" t="n"/>
      <c r="F650" s="18" t="n"/>
      <c r="G650" s="18">
        <f>IF(D650="","",D650*'参数与说明'!$B$6/45.3592)</f>
        <v/>
      </c>
      <c r="H650" s="19">
        <f>IFERROR(IF(D650="","",D650/INDEX($D:$D,MATCH(EDATE($A650,-1),$A:$A,0))-1),"")</f>
        <v/>
      </c>
      <c r="I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16.1</v>
      </c>
      <c r="E651" s="14" t="n"/>
      <c r="F651" s="14" t="n"/>
      <c r="G651" s="14">
        <f>IF(D651="","",D651*'参数与说明'!$B$6/45.3592)</f>
        <v/>
      </c>
      <c r="H651" s="15">
        <f>IFERROR(IF(D651="","",D651/INDEX($D:$D,MATCH(EDATE($A651,-1),$A:$A,0))-1),"")</f>
        <v/>
      </c>
      <c r="I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17.1</v>
      </c>
      <c r="E652" s="18" t="n"/>
      <c r="F652" s="18" t="n"/>
      <c r="G652" s="18">
        <f>IF(D652="","",D652*'参数与说明'!$B$6/45.3592)</f>
        <v/>
      </c>
      <c r="H652" s="19">
        <f>IFERROR(IF(D652="","",D652/INDEX($D:$D,MATCH(EDATE($A652,-1),$A:$A,0))-1),"")</f>
        <v/>
      </c>
      <c r="I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16.7</v>
      </c>
      <c r="E653" s="14" t="n"/>
      <c r="F653" s="14" t="n"/>
      <c r="G653" s="14">
        <f>IF(D653="","",D653*'参数与说明'!$B$6/45.3592)</f>
        <v/>
      </c>
      <c r="H653" s="15">
        <f>IFERROR(IF(D653="","",D653/INDEX($D:$D,MATCH(EDATE($A653,-1),$A:$A,0))-1),"")</f>
        <v/>
      </c>
      <c r="I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15.5</v>
      </c>
      <c r="E654" s="18" t="n"/>
      <c r="F654" s="18" t="n"/>
      <c r="G654" s="18">
        <f>IF(D654="","",D654*'参数与说明'!$B$6/45.3592)</f>
        <v/>
      </c>
      <c r="H654" s="19">
        <f>IFERROR(IF(D654="","",D654/INDEX($D:$D,MATCH(EDATE($A654,-1),$A:$A,0))-1),"")</f>
        <v/>
      </c>
      <c r="I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15.2</v>
      </c>
      <c r="E655" s="14" t="n"/>
      <c r="F655" s="14" t="n"/>
      <c r="G655" s="14">
        <f>IF(D655="","",D655*'参数与说明'!$B$6/45.3592)</f>
        <v/>
      </c>
      <c r="H655" s="15">
        <f>IFERROR(IF(D655="","",D655/INDEX($D:$D,MATCH(EDATE($A655,-1),$A:$A,0))-1),"")</f>
        <v/>
      </c>
      <c r="I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14.2</v>
      </c>
      <c r="E656" s="18" t="n"/>
      <c r="F656" s="18" t="n"/>
      <c r="G656" s="18">
        <f>IF(D656="","",D656*'参数与说明'!$B$6/45.3592)</f>
        <v/>
      </c>
      <c r="H656" s="19">
        <f>IFERROR(IF(D656="","",D656/INDEX($D:$D,MATCH(EDATE($A656,-1),$A:$A,0))-1),"")</f>
        <v/>
      </c>
      <c r="I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13.6</v>
      </c>
      <c r="E657" s="14" t="n"/>
      <c r="F657" s="14" t="n"/>
      <c r="G657" s="14">
        <f>IF(D657="","",D657*'参数与说明'!$B$6/45.3592)</f>
        <v/>
      </c>
      <c r="H657" s="15">
        <f>IFERROR(IF(D657="","",D657/INDEX($D:$D,MATCH(EDATE($A657,-1),$A:$A,0))-1),"")</f>
        <v/>
      </c>
      <c r="I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14.3</v>
      </c>
      <c r="E658" s="18" t="n"/>
      <c r="F658" s="18" t="n"/>
      <c r="G658" s="18">
        <f>IF(D658="","",D658*'参数与说明'!$B$6/45.3592)</f>
        <v/>
      </c>
      <c r="H658" s="19">
        <f>IFERROR(IF(D658="","",D658/INDEX($D:$D,MATCH(EDATE($A658,-1),$A:$A,0))-1),"")</f>
        <v/>
      </c>
      <c r="I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14.3</v>
      </c>
      <c r="E659" s="14" t="n"/>
      <c r="F659" s="14" t="n"/>
      <c r="G659" s="14">
        <f>IF(D659="","",D659*'参数与说明'!$B$6/45.3592)</f>
        <v/>
      </c>
      <c r="H659" s="15">
        <f>IFERROR(IF(D659="","",D659/INDEX($D:$D,MATCH(EDATE($A659,-1),$A:$A,0))-1),"")</f>
        <v/>
      </c>
      <c r="I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14.2</v>
      </c>
      <c r="E660" s="18" t="n"/>
      <c r="F660" s="18" t="n"/>
      <c r="G660" s="18">
        <f>IF(D660="","",D660*'参数与说明'!$B$6/45.3592)</f>
        <v/>
      </c>
      <c r="H660" s="19">
        <f>IFERROR(IF(D660="","",D660/INDEX($D:$D,MATCH(EDATE($A660,-1),$A:$A,0))-1),"")</f>
        <v/>
      </c>
      <c r="I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14</v>
      </c>
      <c r="E661" s="14" t="n"/>
      <c r="F661" s="14" t="n"/>
      <c r="G661" s="14">
        <f>IF(D661="","",D661*'参数与说明'!$B$6/45.3592)</f>
        <v/>
      </c>
      <c r="H661" s="15">
        <f>IFERROR(IF(D661="","",D661/INDEX($D:$D,MATCH(EDATE($A661,-1),$A:$A,0))-1),"")</f>
        <v/>
      </c>
      <c r="I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14.3</v>
      </c>
      <c r="E662" s="18" t="n"/>
      <c r="F662" s="18" t="n"/>
      <c r="G662" s="18">
        <f>IF(D662="","",D662*'参数与说明'!$B$6/45.3592)</f>
        <v/>
      </c>
      <c r="H662" s="19">
        <f>IFERROR(IF(D662="","",D662/INDEX($D:$D,MATCH(EDATE($A662,-1),$A:$A,0))-1),"")</f>
        <v/>
      </c>
      <c r="I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14.9</v>
      </c>
      <c r="E663" s="14" t="n"/>
      <c r="F663" s="14" t="n"/>
      <c r="G663" s="14">
        <f>IF(D663="","",D663*'参数与说明'!$B$6/45.3592)</f>
        <v/>
      </c>
      <c r="H663" s="15">
        <f>IFERROR(IF(D663="","",D663/INDEX($D:$D,MATCH(EDATE($A663,-1),$A:$A,0))-1),"")</f>
        <v/>
      </c>
      <c r="I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16</v>
      </c>
      <c r="E664" s="18" t="n"/>
      <c r="F664" s="18" t="n"/>
      <c r="G664" s="18">
        <f>IF(D664="","",D664*'参数与说明'!$B$6/45.3592)</f>
        <v/>
      </c>
      <c r="H664" s="19">
        <f>IFERROR(IF(D664="","",D664/INDEX($D:$D,MATCH(EDATE($A664,-1),$A:$A,0))-1),"")</f>
        <v/>
      </c>
      <c r="I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15.8</v>
      </c>
      <c r="E665" s="14" t="n"/>
      <c r="F665" s="14" t="n"/>
      <c r="G665" s="14">
        <f>IF(D665="","",D665*'参数与说明'!$B$6/45.3592)</f>
        <v/>
      </c>
      <c r="H665" s="15">
        <f>IFERROR(IF(D665="","",D665/INDEX($D:$D,MATCH(EDATE($A665,-1),$A:$A,0))-1),"")</f>
        <v/>
      </c>
      <c r="I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16.2</v>
      </c>
      <c r="E666" s="18" t="n"/>
      <c r="F666" s="18" t="n"/>
      <c r="G666" s="18">
        <f>IF(D666="","",D666*'参数与说明'!$B$6/45.3592)</f>
        <v/>
      </c>
      <c r="H666" s="19">
        <f>IFERROR(IF(D666="","",D666/INDEX($D:$D,MATCH(EDATE($A666,-1),$A:$A,0))-1),"")</f>
        <v/>
      </c>
      <c r="I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15.1</v>
      </c>
      <c r="E667" s="14" t="n"/>
      <c r="F667" s="14" t="n"/>
      <c r="G667" s="14">
        <f>IF(D667="","",D667*'参数与说明'!$B$6/45.3592)</f>
        <v/>
      </c>
      <c r="H667" s="15">
        <f>IFERROR(IF(D667="","",D667/INDEX($D:$D,MATCH(EDATE($A667,-1),$A:$A,0))-1),"")</f>
        <v/>
      </c>
      <c r="I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14</v>
      </c>
      <c r="E668" s="18" t="n"/>
      <c r="F668" s="18" t="n"/>
      <c r="G668" s="18">
        <f>IF(D668="","",D668*'参数与说明'!$B$6/45.3592)</f>
        <v/>
      </c>
      <c r="H668" s="19">
        <f>IFERROR(IF(D668="","",D668/INDEX($D:$D,MATCH(EDATE($A668,-1),$A:$A,0))-1),"")</f>
        <v/>
      </c>
      <c r="I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14.8</v>
      </c>
      <c r="E669" s="14" t="n"/>
      <c r="F669" s="14" t="n"/>
      <c r="G669" s="14">
        <f>IF(D669="","",D669*'参数与说明'!$B$6/45.3592)</f>
        <v/>
      </c>
      <c r="H669" s="15">
        <f>IFERROR(IF(D669="","",D669/INDEX($D:$D,MATCH(EDATE($A669,-1),$A:$A,0))-1),"")</f>
        <v/>
      </c>
      <c r="I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15.5</v>
      </c>
      <c r="E670" s="18" t="n"/>
      <c r="F670" s="18" t="n"/>
      <c r="G670" s="18">
        <f>IF(D670="","",D670*'参数与说明'!$B$6/45.3592)</f>
        <v/>
      </c>
      <c r="H670" s="19">
        <f>IFERROR(IF(D670="","",D670/INDEX($D:$D,MATCH(EDATE($A670,-1),$A:$A,0))-1),"")</f>
        <v/>
      </c>
      <c r="I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16.4</v>
      </c>
      <c r="E671" s="14" t="n"/>
      <c r="F671" s="14" t="n"/>
      <c r="G671" s="14">
        <f>IF(D671="","",D671*'参数与说明'!$B$6/45.3592)</f>
        <v/>
      </c>
      <c r="H671" s="15">
        <f>IFERROR(IF(D671="","",D671/INDEX($D:$D,MATCH(EDATE($A671,-1),$A:$A,0))-1),"")</f>
        <v/>
      </c>
      <c r="I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16.4</v>
      </c>
      <c r="E672" s="18" t="n"/>
      <c r="F672" s="18" t="n"/>
      <c r="G672" s="18">
        <f>IF(D672="","",D672*'参数与说明'!$B$6/45.3592)</f>
        <v/>
      </c>
      <c r="H672" s="19">
        <f>IFERROR(IF(D672="","",D672/INDEX($D:$D,MATCH(EDATE($A672,-1),$A:$A,0))-1),"")</f>
        <v/>
      </c>
      <c r="I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16.9</v>
      </c>
      <c r="E673" s="14" t="n"/>
      <c r="F673" s="14" t="n"/>
      <c r="G673" s="14">
        <f>IF(D673="","",D673*'参数与说明'!$B$6/45.3592)</f>
        <v/>
      </c>
      <c r="H673" s="15">
        <f>IFERROR(IF(D673="","",D673/INDEX($D:$D,MATCH(EDATE($A673,-1),$A:$A,0))-1),"")</f>
        <v/>
      </c>
      <c r="I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19.7</v>
      </c>
      <c r="E674" s="18" t="n"/>
      <c r="F674" s="18" t="n"/>
      <c r="G674" s="18">
        <f>IF(D674="","",D674*'参数与说明'!$B$6/45.3592)</f>
        <v/>
      </c>
      <c r="H674" s="19">
        <f>IFERROR(IF(D674="","",D674/INDEX($D:$D,MATCH(EDATE($A674,-1),$A:$A,0))-1),"")</f>
        <v/>
      </c>
      <c r="I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22.4</v>
      </c>
      <c r="E675" s="14" t="n"/>
      <c r="F675" s="14" t="n"/>
      <c r="G675" s="14">
        <f>IF(D675="","",D675*'参数与说明'!$B$6/45.3592)</f>
        <v/>
      </c>
      <c r="H675" s="15">
        <f>IFERROR(IF(D675="","",D675/INDEX($D:$D,MATCH(EDATE($A675,-1),$A:$A,0))-1),"")</f>
        <v/>
      </c>
      <c r="I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23.2</v>
      </c>
      <c r="E676" s="18" t="n"/>
      <c r="F676" s="18" t="n"/>
      <c r="G676" s="18">
        <f>IF(D676="","",D676*'参数与说明'!$B$6/45.3592)</f>
        <v/>
      </c>
      <c r="H676" s="19">
        <f>IFERROR(IF(D676="","",D676/INDEX($D:$D,MATCH(EDATE($A676,-1),$A:$A,0))-1),"")</f>
        <v/>
      </c>
      <c r="I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23.7</v>
      </c>
      <c r="E677" s="14" t="n"/>
      <c r="F677" s="14" t="n"/>
      <c r="G677" s="14">
        <f>IF(D677="","",D677*'参数与说明'!$B$6/45.3592)</f>
        <v/>
      </c>
      <c r="H677" s="15">
        <f>IFERROR(IF(D677="","",D677/INDEX($D:$D,MATCH(EDATE($A677,-1),$A:$A,0))-1),"")</f>
        <v/>
      </c>
      <c r="I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22.1</v>
      </c>
      <c r="E678" s="18" t="n"/>
      <c r="F678" s="18" t="n"/>
      <c r="G678" s="18">
        <f>IF(D678="","",D678*'参数与说明'!$B$6/45.3592)</f>
        <v/>
      </c>
      <c r="H678" s="19">
        <f>IFERROR(IF(D678="","",D678/INDEX($D:$D,MATCH(EDATE($A678,-1),$A:$A,0))-1),"")</f>
        <v/>
      </c>
      <c r="I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22.9</v>
      </c>
      <c r="E679" s="14" t="n"/>
      <c r="F679" s="14" t="n"/>
      <c r="G679" s="14">
        <f>IF(D679="","",D679*'参数与说明'!$B$6/45.3592)</f>
        <v/>
      </c>
      <c r="H679" s="15">
        <f>IFERROR(IF(D679="","",D679/INDEX($D:$D,MATCH(EDATE($A679,-1),$A:$A,0))-1),"")</f>
        <v/>
      </c>
      <c r="I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23.5</v>
      </c>
      <c r="E680" s="18" t="n"/>
      <c r="F680" s="18" t="n"/>
      <c r="G680" s="18">
        <f>IF(D680="","",D680*'参数与说明'!$B$6/45.3592)</f>
        <v/>
      </c>
      <c r="H680" s="19">
        <f>IFERROR(IF(D680="","",D680/INDEX($D:$D,MATCH(EDATE($A680,-1),$A:$A,0))-1),"")</f>
        <v/>
      </c>
      <c r="I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26.9</v>
      </c>
      <c r="E681" s="14" t="n"/>
      <c r="F681" s="14" t="n"/>
      <c r="G681" s="14">
        <f>IF(D681="","",D681*'参数与说明'!$B$6/45.3592)</f>
        <v/>
      </c>
      <c r="H681" s="15">
        <f>IFERROR(IF(D681="","",D681/INDEX($D:$D,MATCH(EDATE($A681,-1),$A:$A,0))-1),"")</f>
        <v/>
      </c>
      <c r="I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27.3</v>
      </c>
      <c r="E682" s="18" t="n"/>
      <c r="F682" s="18" t="n"/>
      <c r="G682" s="18">
        <f>IF(D682="","",D682*'参数与说明'!$B$6/45.3592)</f>
        <v/>
      </c>
      <c r="H682" s="19">
        <f>IFERROR(IF(D682="","",D682/INDEX($D:$D,MATCH(EDATE($A682,-1),$A:$A,0))-1),"")</f>
        <v/>
      </c>
      <c r="I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27.2</v>
      </c>
      <c r="E683" s="14" t="n"/>
      <c r="F683" s="14" t="n"/>
      <c r="G683" s="14">
        <f>IF(D683="","",D683*'参数与说明'!$B$6/45.3592)</f>
        <v/>
      </c>
      <c r="H683" s="15">
        <f>IFERROR(IF(D683="","",D683/INDEX($D:$D,MATCH(EDATE($A683,-1),$A:$A,0))-1),"")</f>
        <v/>
      </c>
      <c r="I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24</v>
      </c>
      <c r="E684" s="18" t="n"/>
      <c r="F684" s="18" t="n"/>
      <c r="G684" s="18">
        <f>IF(D684="","",D684*'参数与说明'!$B$6/45.3592)</f>
        <v/>
      </c>
      <c r="H684" s="19">
        <f>IFERROR(IF(D684="","",D684/INDEX($D:$D,MATCH(EDATE($A684,-1),$A:$A,0))-1),"")</f>
        <v/>
      </c>
      <c r="I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22.1</v>
      </c>
      <c r="E685" s="14" t="n"/>
      <c r="F685" s="14" t="n"/>
      <c r="G685" s="14">
        <f>IF(D685="","",D685*'参数与说明'!$B$6/45.3592)</f>
        <v/>
      </c>
      <c r="H685" s="15">
        <f>IFERROR(IF(D685="","",D685/INDEX($D:$D,MATCH(EDATE($A685,-1),$A:$A,0))-1),"")</f>
        <v/>
      </c>
      <c r="I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22.3</v>
      </c>
      <c r="E686" s="18" t="n"/>
      <c r="F686" s="18" t="n"/>
      <c r="G686" s="18">
        <f>IF(D686="","",D686*'参数与说明'!$B$6/45.3592)</f>
        <v/>
      </c>
      <c r="H686" s="19">
        <f>IFERROR(IF(D686="","",D686/INDEX($D:$D,MATCH(EDATE($A686,-1),$A:$A,0))-1),"")</f>
        <v/>
      </c>
      <c r="I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23.2</v>
      </c>
      <c r="E687" s="14" t="n"/>
      <c r="F687" s="14" t="n"/>
      <c r="G687" s="14">
        <f>IF(D687="","",D687*'参数与说明'!$B$6/45.3592)</f>
        <v/>
      </c>
      <c r="H687" s="15">
        <f>IFERROR(IF(D687="","",D687/INDEX($D:$D,MATCH(EDATE($A687,-1),$A:$A,0))-1),"")</f>
        <v/>
      </c>
      <c r="I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23.2</v>
      </c>
      <c r="E688" s="18" t="n"/>
      <c r="F688" s="18" t="n"/>
      <c r="G688" s="18">
        <f>IF(D688="","",D688*'参数与说明'!$B$6/45.3592)</f>
        <v/>
      </c>
      <c r="H688" s="19">
        <f>IFERROR(IF(D688="","",D688/INDEX($D:$D,MATCH(EDATE($A688,-1),$A:$A,0))-1),"")</f>
        <v/>
      </c>
      <c r="I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24.5</v>
      </c>
      <c r="E689" s="14" t="n"/>
      <c r="F689" s="14" t="n"/>
      <c r="G689" s="14">
        <f>IF(D689="","",D689*'参数与说明'!$B$6/45.3592)</f>
        <v/>
      </c>
      <c r="H689" s="15">
        <f>IFERROR(IF(D689="","",D689/INDEX($D:$D,MATCH(EDATE($A689,-1),$A:$A,0))-1),"")</f>
        <v/>
      </c>
      <c r="I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22.3</v>
      </c>
      <c r="E690" s="18" t="n"/>
      <c r="F690" s="18" t="n"/>
      <c r="G690" s="18">
        <f>IF(D690="","",D690*'参数与说明'!$B$6/45.3592)</f>
        <v/>
      </c>
      <c r="H690" s="19">
        <f>IFERROR(IF(D690="","",D690/INDEX($D:$D,MATCH(EDATE($A690,-1),$A:$A,0))-1),"")</f>
        <v/>
      </c>
      <c r="I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21.2</v>
      </c>
      <c r="E691" s="14" t="n"/>
      <c r="F691" s="14" t="n"/>
      <c r="G691" s="14">
        <f>IF(D691="","",D691*'参数与说明'!$B$6/45.3592)</f>
        <v/>
      </c>
      <c r="H691" s="15">
        <f>IFERROR(IF(D691="","",D691/INDEX($D:$D,MATCH(EDATE($A691,-1),$A:$A,0))-1),"")</f>
        <v/>
      </c>
      <c r="I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19.3</v>
      </c>
      <c r="E692" s="18" t="n"/>
      <c r="F692" s="18" t="n"/>
      <c r="G692" s="18">
        <f>IF(D692="","",D692*'参数与说明'!$B$6/45.3592)</f>
        <v/>
      </c>
      <c r="H692" s="19">
        <f>IFERROR(IF(D692="","",D692/INDEX($D:$D,MATCH(EDATE($A692,-1),$A:$A,0))-1),"")</f>
        <v/>
      </c>
      <c r="I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18.9</v>
      </c>
      <c r="E693" s="14" t="n"/>
      <c r="F693" s="14" t="n"/>
      <c r="G693" s="14">
        <f>IF(D693="","",D693*'参数与说明'!$B$6/45.3592)</f>
        <v/>
      </c>
      <c r="H693" s="15">
        <f>IFERROR(IF(D693="","",D693/INDEX($D:$D,MATCH(EDATE($A693,-1),$A:$A,0))-1),"")</f>
        <v/>
      </c>
      <c r="I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19</v>
      </c>
      <c r="E694" s="18" t="n"/>
      <c r="F694" s="18" t="n"/>
      <c r="G694" s="18">
        <f>IF(D694="","",D694*'参数与说明'!$B$6/45.3592)</f>
        <v/>
      </c>
      <c r="H694" s="19">
        <f>IFERROR(IF(D694="","",D694/INDEX($D:$D,MATCH(EDATE($A694,-1),$A:$A,0))-1),"")</f>
        <v/>
      </c>
      <c r="I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18.9</v>
      </c>
      <c r="E695" s="14" t="n"/>
      <c r="F695" s="14" t="n"/>
      <c r="G695" s="14">
        <f>IF(D695="","",D695*'参数与说明'!$B$6/45.3592)</f>
        <v/>
      </c>
      <c r="H695" s="15">
        <f>IFERROR(IF(D695="","",D695/INDEX($D:$D,MATCH(EDATE($A695,-1),$A:$A,0))-1),"")</f>
        <v/>
      </c>
      <c r="I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17.9</v>
      </c>
      <c r="E696" s="18" t="n"/>
      <c r="F696" s="18" t="n"/>
      <c r="G696" s="18">
        <f>IF(D696="","",D696*'参数与说明'!$B$6/45.3592)</f>
        <v/>
      </c>
      <c r="H696" s="19">
        <f>IFERROR(IF(D696="","",D696/INDEX($D:$D,MATCH(EDATE($A696,-1),$A:$A,0))-1),"")</f>
        <v/>
      </c>
      <c r="I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17</v>
      </c>
      <c r="E697" s="14" t="n"/>
      <c r="F697" s="14" t="n"/>
      <c r="G697" s="14">
        <f>IF(D697="","",D697*'参数与说明'!$B$6/45.3592)</f>
        <v/>
      </c>
      <c r="H697" s="15">
        <f>IFERROR(IF(D697="","",D697/INDEX($D:$D,MATCH(EDATE($A697,-1),$A:$A,0))-1),"")</f>
        <v/>
      </c>
      <c r="I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21.5</v>
      </c>
      <c r="E698" s="18" t="n"/>
      <c r="F698" s="18" t="n"/>
      <c r="G698" s="18">
        <f>IF(D698="","",D698*'参数与说明'!$B$6/45.3592)</f>
        <v/>
      </c>
      <c r="H698" s="19">
        <f>IFERROR(IF(D698="","",D698/INDEX($D:$D,MATCH(EDATE($A698,-1),$A:$A,0))-1),"")</f>
        <v/>
      </c>
      <c r="I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21.1</v>
      </c>
      <c r="E699" s="14" t="n"/>
      <c r="F699" s="14" t="n"/>
      <c r="G699" s="14">
        <f>IF(D699="","",D699*'参数与说明'!$B$6/45.3592)</f>
        <v/>
      </c>
      <c r="H699" s="15">
        <f>IFERROR(IF(D699="","",D699/INDEX($D:$D,MATCH(EDATE($A699,-1),$A:$A,0))-1),"")</f>
        <v/>
      </c>
      <c r="I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21.5</v>
      </c>
      <c r="E700" s="18" t="n"/>
      <c r="F700" s="18" t="n"/>
      <c r="G700" s="18">
        <f>IF(D700="","",D700*'参数与说明'!$B$6/45.3592)</f>
        <v/>
      </c>
      <c r="H700" s="19">
        <f>IFERROR(IF(D700="","",D700/INDEX($D:$D,MATCH(EDATE($A700,-1),$A:$A,0))-1),"")</f>
        <v/>
      </c>
      <c r="I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20.4</v>
      </c>
      <c r="E701" s="14" t="n"/>
      <c r="F701" s="14" t="n"/>
      <c r="G701" s="14">
        <f>IF(D701="","",D701*'参数与说明'!$B$6/45.3592)</f>
        <v/>
      </c>
      <c r="H701" s="15">
        <f>IFERROR(IF(D701="","",D701/INDEX($D:$D,MATCH(EDATE($A701,-1),$A:$A,0))-1),"")</f>
        <v/>
      </c>
      <c r="I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19.1</v>
      </c>
      <c r="E702" s="18" t="n"/>
      <c r="F702" s="18" t="n"/>
      <c r="G702" s="18">
        <f>IF(D702="","",D702*'参数与说明'!$B$6/45.3592)</f>
        <v/>
      </c>
      <c r="H702" s="19">
        <f>IFERROR(IF(D702="","",D702/INDEX($D:$D,MATCH(EDATE($A702,-1),$A:$A,0))-1),"")</f>
        <v/>
      </c>
      <c r="I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18</v>
      </c>
      <c r="E703" s="14" t="n"/>
      <c r="F703" s="14" t="n"/>
      <c r="G703" s="14">
        <f>IF(D703="","",D703*'参数与说明'!$B$6/45.3592)</f>
        <v/>
      </c>
      <c r="H703" s="15">
        <f>IFERROR(IF(D703="","",D703/INDEX($D:$D,MATCH(EDATE($A703,-1),$A:$A,0))-1),"")</f>
        <v/>
      </c>
      <c r="I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17.1</v>
      </c>
      <c r="E704" s="18" t="n"/>
      <c r="F704" s="18" t="n"/>
      <c r="G704" s="18">
        <f>IF(D704="","",D704*'参数与说明'!$B$6/45.3592)</f>
        <v/>
      </c>
      <c r="H704" s="19">
        <f>IFERROR(IF(D704="","",D704/INDEX($D:$D,MATCH(EDATE($A704,-1),$A:$A,0))-1),"")</f>
        <v/>
      </c>
      <c r="I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16.7</v>
      </c>
      <c r="E705" s="14" t="n"/>
      <c r="F705" s="14" t="n"/>
      <c r="G705" s="14">
        <f>IF(D705="","",D705*'参数与说明'!$B$6/45.3592)</f>
        <v/>
      </c>
      <c r="H705" s="15">
        <f>IFERROR(IF(D705="","",D705/INDEX($D:$D,MATCH(EDATE($A705,-1),$A:$A,0))-1),"")</f>
        <v/>
      </c>
      <c r="I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17.6</v>
      </c>
      <c r="E706" s="18" t="n"/>
      <c r="F706" s="18" t="n"/>
      <c r="G706" s="18">
        <f>IF(D706="","",D706*'参数与说明'!$B$6/45.3592)</f>
        <v/>
      </c>
      <c r="H706" s="19">
        <f>IFERROR(IF(D706="","",D706/INDEX($D:$D,MATCH(EDATE($A706,-1),$A:$A,0))-1),"")</f>
        <v/>
      </c>
      <c r="I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18.9</v>
      </c>
      <c r="E707" s="14" t="n"/>
      <c r="F707" s="14" t="n"/>
      <c r="G707" s="14">
        <f>IF(D707="","",D707*'参数与说明'!$B$6/45.3592)</f>
        <v/>
      </c>
      <c r="H707" s="15">
        <f>IFERROR(IF(D707="","",D707/INDEX($D:$D,MATCH(EDATE($A707,-1),$A:$A,0))-1),"")</f>
        <v/>
      </c>
      <c r="I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18.6</v>
      </c>
      <c r="E708" s="18" t="n"/>
      <c r="F708" s="18" t="n"/>
      <c r="G708" s="18">
        <f>IF(D708="","",D708*'参数与说明'!$B$6/45.3592)</f>
        <v/>
      </c>
      <c r="H708" s="19">
        <f>IFERROR(IF(D708="","",D708/INDEX($D:$D,MATCH(EDATE($A708,-1),$A:$A,0))-1),"")</f>
        <v/>
      </c>
      <c r="I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18.5</v>
      </c>
      <c r="E709" s="14" t="n"/>
      <c r="F709" s="14" t="n"/>
      <c r="G709" s="14">
        <f>IF(D709="","",D709*'参数与说明'!$B$6/45.3592)</f>
        <v/>
      </c>
      <c r="H709" s="15">
        <f>IFERROR(IF(D709="","",D709/INDEX($D:$D,MATCH(EDATE($A709,-1),$A:$A,0))-1),"")</f>
        <v/>
      </c>
      <c r="I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18.3</v>
      </c>
      <c r="E710" s="18" t="n"/>
      <c r="F710" s="18" t="n"/>
      <c r="G710" s="18">
        <f>IF(D710="","",D710*'参数与说明'!$B$6/45.3592)</f>
        <v/>
      </c>
      <c r="H710" s="19">
        <f>IFERROR(IF(D710="","",D710/INDEX($D:$D,MATCH(EDATE($A710,-1),$A:$A,0))-1),"")</f>
        <v/>
      </c>
      <c r="I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19.4</v>
      </c>
      <c r="E711" s="14" t="n"/>
      <c r="F711" s="14" t="n"/>
      <c r="G711" s="14">
        <f>IF(D711="","",D711*'参数与说明'!$B$6/45.3592)</f>
        <v/>
      </c>
      <c r="H711" s="15">
        <f>IFERROR(IF(D711="","",D711/INDEX($D:$D,MATCH(EDATE($A711,-1),$A:$A,0))-1),"")</f>
        <v/>
      </c>
      <c r="I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20.8</v>
      </c>
      <c r="E712" s="18" t="n"/>
      <c r="F712" s="18" t="n"/>
      <c r="G712" s="18">
        <f>IF(D712="","",D712*'参数与说明'!$B$6/45.3592)</f>
        <v/>
      </c>
      <c r="H712" s="19">
        <f>IFERROR(IF(D712="","",D712/INDEX($D:$D,MATCH(EDATE($A712,-1),$A:$A,0))-1),"")</f>
        <v/>
      </c>
      <c r="I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19.2</v>
      </c>
      <c r="E713" s="14" t="n"/>
      <c r="F713" s="14" t="n"/>
      <c r="G713" s="14">
        <f>IF(D713="","",D713*'参数与说明'!$B$6/45.3592)</f>
        <v/>
      </c>
      <c r="H713" s="15">
        <f>IFERROR(IF(D713="","",D713/INDEX($D:$D,MATCH(EDATE($A713,-1),$A:$A,0))-1),"")</f>
        <v/>
      </c>
      <c r="I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19.5</v>
      </c>
      <c r="E714" s="18" t="n"/>
      <c r="F714" s="18" t="n"/>
      <c r="G714" s="18">
        <f>IF(D714="","",D714*'参数与说明'!$B$6/45.3592)</f>
        <v/>
      </c>
      <c r="H714" s="19">
        <f>IFERROR(IF(D714="","",D714/INDEX($D:$D,MATCH(EDATE($A714,-1),$A:$A,0))-1),"")</f>
        <v/>
      </c>
      <c r="I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17.9</v>
      </c>
      <c r="E715" s="14" t="n"/>
      <c r="F715" s="14" t="n"/>
      <c r="G715" s="14">
        <f>IF(D715="","",D715*'参数与说明'!$B$6/45.3592)</f>
        <v/>
      </c>
      <c r="H715" s="15">
        <f>IFERROR(IF(D715="","",D715/INDEX($D:$D,MATCH(EDATE($A715,-1),$A:$A,0))-1),"")</f>
        <v/>
      </c>
      <c r="I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17.5</v>
      </c>
      <c r="E716" s="18" t="n"/>
      <c r="F716" s="18" t="n"/>
      <c r="G716" s="18">
        <f>IF(D716="","",D716*'参数与说明'!$B$6/45.3592)</f>
        <v/>
      </c>
      <c r="H716" s="19">
        <f>IFERROR(IF(D716="","",D716/INDEX($D:$D,MATCH(EDATE($A716,-1),$A:$A,0))-1),"")</f>
        <v/>
      </c>
      <c r="I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17.8</v>
      </c>
      <c r="E717" s="14" t="n"/>
      <c r="F717" s="14" t="n"/>
      <c r="G717" s="14">
        <f>IF(D717="","",D717*'参数与说明'!$B$6/45.3592)</f>
        <v/>
      </c>
      <c r="H717" s="15">
        <f>IFERROR(IF(D717="","",D717/INDEX($D:$D,MATCH(EDATE($A717,-1),$A:$A,0))-1),"")</f>
        <v/>
      </c>
      <c r="I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18.7</v>
      </c>
      <c r="E718" s="18" t="n"/>
      <c r="F718" s="18" t="n"/>
      <c r="G718" s="18">
        <f>IF(D718="","",D718*'参数与说明'!$B$6/45.3592)</f>
        <v/>
      </c>
      <c r="H718" s="19">
        <f>IFERROR(IF(D718="","",D718/INDEX($D:$D,MATCH(EDATE($A718,-1),$A:$A,0))-1),"")</f>
        <v/>
      </c>
      <c r="I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19.6</v>
      </c>
      <c r="E719" s="14" t="n"/>
      <c r="F719" s="14" t="n"/>
      <c r="G719" s="14">
        <f>IF(D719="","",D719*'参数与说明'!$B$6/45.3592)</f>
        <v/>
      </c>
      <c r="H719" s="15">
        <f>IFERROR(IF(D719="","",D719/INDEX($D:$D,MATCH(EDATE($A719,-1),$A:$A,0))-1),"")</f>
        <v/>
      </c>
      <c r="I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20</v>
      </c>
      <c r="E720" s="18" t="n"/>
      <c r="F720" s="18" t="n"/>
      <c r="G720" s="18">
        <f>IF(D720="","",D720*'参数与说明'!$B$6/45.3592)</f>
        <v/>
      </c>
      <c r="H720" s="19">
        <f>IFERROR(IF(D720="","",D720/INDEX($D:$D,MATCH(EDATE($A720,-1),$A:$A,0))-1),"")</f>
        <v/>
      </c>
      <c r="I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19.7</v>
      </c>
      <c r="E721" s="14" t="n"/>
      <c r="F721" s="14" t="n"/>
      <c r="G721" s="14">
        <f>IF(D721="","",D721*'参数与说明'!$B$6/45.3592)</f>
        <v/>
      </c>
      <c r="H721" s="15">
        <f>IFERROR(IF(D721="","",D721/INDEX($D:$D,MATCH(EDATE($A721,-1),$A:$A,0))-1),"")</f>
        <v/>
      </c>
      <c r="I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22.3</v>
      </c>
      <c r="E722" s="18" t="n"/>
      <c r="F722" s="18" t="n"/>
      <c r="G722" s="18">
        <f>IF(D722="","",D722*'参数与说明'!$B$6/45.3592)</f>
        <v/>
      </c>
      <c r="H722" s="19">
        <f>IFERROR(IF(D722="","",D722/INDEX($D:$D,MATCH(EDATE($A722,-1),$A:$A,0))-1),"")</f>
        <v/>
      </c>
      <c r="I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24</v>
      </c>
      <c r="E723" s="14" t="n"/>
      <c r="F723" s="14" t="n"/>
      <c r="G723" s="14">
        <f>IF(D723="","",D723*'参数与说明'!$B$6/45.3592)</f>
        <v/>
      </c>
      <c r="H723" s="15">
        <f>IFERROR(IF(D723="","",D723/INDEX($D:$D,MATCH(EDATE($A723,-1),$A:$A,0))-1),"")</f>
        <v/>
      </c>
      <c r="I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24.9</v>
      </c>
      <c r="E724" s="18" t="n"/>
      <c r="F724" s="18" t="n"/>
      <c r="G724" s="18">
        <f>IF(D724="","",D724*'参数与说明'!$B$6/45.3592)</f>
        <v/>
      </c>
      <c r="H724" s="19">
        <f>IFERROR(IF(D724="","",D724/INDEX($D:$D,MATCH(EDATE($A724,-1),$A:$A,0))-1),"")</f>
        <v/>
      </c>
      <c r="I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25.9</v>
      </c>
      <c r="E725" s="14" t="n"/>
      <c r="F725" s="14" t="n"/>
      <c r="G725" s="14">
        <f>IF(D725="","",D725*'参数与说明'!$B$6/45.3592)</f>
        <v/>
      </c>
      <c r="H725" s="15">
        <f>IFERROR(IF(D725="","",D725/INDEX($D:$D,MATCH(EDATE($A725,-1),$A:$A,0))-1),"")</f>
        <v/>
      </c>
      <c r="I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24.9</v>
      </c>
      <c r="E726" s="18" t="n"/>
      <c r="F726" s="18" t="n"/>
      <c r="G726" s="18">
        <f>IF(D726="","",D726*'参数与说明'!$B$6/45.3592)</f>
        <v/>
      </c>
      <c r="H726" s="19">
        <f>IFERROR(IF(D726="","",D726/INDEX($D:$D,MATCH(EDATE($A726,-1),$A:$A,0))-1),"")</f>
        <v/>
      </c>
      <c r="I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24.8</v>
      </c>
      <c r="E727" s="14" t="n"/>
      <c r="F727" s="14" t="n"/>
      <c r="G727" s="14">
        <f>IF(D727="","",D727*'参数与说明'!$B$6/45.3592)</f>
        <v/>
      </c>
      <c r="H727" s="15">
        <f>IFERROR(IF(D727="","",D727/INDEX($D:$D,MATCH(EDATE($A727,-1),$A:$A,0))-1),"")</f>
        <v/>
      </c>
      <c r="I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25</v>
      </c>
      <c r="E728" s="18" t="n"/>
      <c r="F728" s="18" t="n"/>
      <c r="G728" s="18">
        <f>IF(D728="","",D728*'参数与说明'!$B$6/45.3592)</f>
        <v/>
      </c>
      <c r="H728" s="19">
        <f>IFERROR(IF(D728="","",D728/INDEX($D:$D,MATCH(EDATE($A728,-1),$A:$A,0))-1),"")</f>
        <v/>
      </c>
      <c r="I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25.8</v>
      </c>
      <c r="E729" s="14" t="n"/>
      <c r="F729" s="14" t="n"/>
      <c r="G729" s="14">
        <f>IF(D729="","",D729*'参数与说明'!$B$6/45.3592)</f>
        <v/>
      </c>
      <c r="H729" s="15">
        <f>IFERROR(IF(D729="","",D729/INDEX($D:$D,MATCH(EDATE($A729,-1),$A:$A,0))-1),"")</f>
        <v/>
      </c>
      <c r="I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/>
      <c r="F730" s="18" t="n"/>
      <c r="G730" s="18">
        <f>IF(D730="","",D730*'参数与说明'!$B$6/45.3592)</f>
        <v/>
      </c>
      <c r="H730" s="19">
        <f>IFERROR(IF(D730="","",D730/INDEX($D:$D,MATCH(EDATE($A730,-1),$A:$A,0))-1),"")</f>
        <v/>
      </c>
      <c r="I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27.5</v>
      </c>
      <c r="E731" s="14" t="n"/>
      <c r="F731" s="14" t="n"/>
      <c r="G731" s="14">
        <f>IF(D731="","",D731*'参数与说明'!$B$6/45.3592)</f>
        <v/>
      </c>
      <c r="H731" s="15">
        <f>IFERROR(IF(D731="","",D731/INDEX($D:$D,MATCH(EDATE($A731,-1),$A:$A,0))-1),"")</f>
        <v/>
      </c>
      <c r="I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25.6</v>
      </c>
      <c r="E732" s="18" t="n"/>
      <c r="F732" s="18" t="n"/>
      <c r="G732" s="18">
        <f>IF(D732="","",D732*'参数与说明'!$B$6/45.3592)</f>
        <v/>
      </c>
      <c r="H732" s="19">
        <f>IFERROR(IF(D732="","",D732/INDEX($D:$D,MATCH(EDATE($A732,-1),$A:$A,0))-1),"")</f>
        <v/>
      </c>
      <c r="I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23.8</v>
      </c>
      <c r="E733" s="14" t="n"/>
      <c r="F733" s="14" t="n"/>
      <c r="G733" s="14">
        <f>IF(D733="","",D733*'参数与说明'!$B$6/45.3592)</f>
        <v/>
      </c>
      <c r="H733" s="15">
        <f>IFERROR(IF(D733="","",D733/INDEX($D:$D,MATCH(EDATE($A733,-1),$A:$A,0))-1),"")</f>
        <v/>
      </c>
      <c r="I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23</v>
      </c>
      <c r="E734" s="18" t="n"/>
      <c r="F734" s="18" t="n"/>
      <c r="G734" s="18">
        <f>IF(D734="","",D734*'参数与说明'!$B$6/45.3592)</f>
        <v/>
      </c>
      <c r="H734" s="19">
        <f>IFERROR(IF(D734="","",D734/INDEX($D:$D,MATCH(EDATE($A734,-1),$A:$A,0))-1),"")</f>
        <v/>
      </c>
      <c r="I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23.2</v>
      </c>
      <c r="E735" s="14" t="n"/>
      <c r="F735" s="14" t="n"/>
      <c r="G735" s="14">
        <f>IF(D735="","",D735*'参数与说明'!$B$6/45.3592)</f>
        <v/>
      </c>
      <c r="H735" s="15">
        <f>IFERROR(IF(D735="","",D735/INDEX($D:$D,MATCH(EDATE($A735,-1),$A:$A,0))-1),"")</f>
        <v/>
      </c>
      <c r="I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23.8</v>
      </c>
      <c r="E736" s="18" t="n"/>
      <c r="F736" s="18" t="n"/>
      <c r="G736" s="18">
        <f>IF(D736="","",D736*'参数与说明'!$B$6/45.3592)</f>
        <v/>
      </c>
      <c r="H736" s="19">
        <f>IFERROR(IF(D736="","",D736/INDEX($D:$D,MATCH(EDATE($A736,-1),$A:$A,0))-1),"")</f>
        <v/>
      </c>
      <c r="I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21.6</v>
      </c>
      <c r="E737" s="14" t="n"/>
      <c r="F737" s="14" t="n"/>
      <c r="G737" s="14">
        <f>IF(D737="","",D737*'参数与说明'!$B$6/45.3592)</f>
        <v/>
      </c>
      <c r="H737" s="15">
        <f>IFERROR(IF(D737="","",D737/INDEX($D:$D,MATCH(EDATE($A737,-1),$A:$A,0))-1),"")</f>
        <v/>
      </c>
      <c r="I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19.7</v>
      </c>
      <c r="E738" s="18" t="n"/>
      <c r="F738" s="18" t="n"/>
      <c r="G738" s="18">
        <f>IF(D738="","",D738*'参数与说明'!$B$6/45.3592)</f>
        <v/>
      </c>
      <c r="H738" s="19">
        <f>IFERROR(IF(D738="","",D738/INDEX($D:$D,MATCH(EDATE($A738,-1),$A:$A,0))-1),"")</f>
        <v/>
      </c>
      <c r="I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17.9</v>
      </c>
      <c r="E739" s="14" t="n"/>
      <c r="F739" s="14" t="n"/>
      <c r="G739" s="14">
        <f>IF(D739="","",D739*'参数与说明'!$B$6/45.3592)</f>
        <v/>
      </c>
      <c r="H739" s="15">
        <f>IFERROR(IF(D739="","",D739/INDEX($D:$D,MATCH(EDATE($A739,-1),$A:$A,0))-1),"")</f>
        <v/>
      </c>
      <c r="I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15.4</v>
      </c>
      <c r="E740" s="18" t="n"/>
      <c r="F740" s="18" t="n"/>
      <c r="G740" s="18">
        <f>IF(D740="","",D740*'参数与说明'!$B$6/45.3592)</f>
        <v/>
      </c>
      <c r="H740" s="19">
        <f>IFERROR(IF(D740="","",D740/INDEX($D:$D,MATCH(EDATE($A740,-1),$A:$A,0))-1),"")</f>
        <v/>
      </c>
      <c r="I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15.1</v>
      </c>
      <c r="E741" s="14" t="n"/>
      <c r="F741" s="14" t="n"/>
      <c r="G741" s="14">
        <f>IF(D741="","",D741*'参数与说明'!$B$6/45.3592)</f>
        <v/>
      </c>
      <c r="H741" s="15">
        <f>IFERROR(IF(D741="","",D741/INDEX($D:$D,MATCH(EDATE($A741,-1),$A:$A,0))-1),"")</f>
        <v/>
      </c>
      <c r="I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15.3</v>
      </c>
      <c r="E742" s="18" t="n"/>
      <c r="F742" s="18" t="n"/>
      <c r="G742" s="18">
        <f>IF(D742="","",D742*'参数与说明'!$B$6/45.3592)</f>
        <v/>
      </c>
      <c r="H742" s="19">
        <f>IFERROR(IF(D742="","",D742/INDEX($D:$D,MATCH(EDATE($A742,-1),$A:$A,0))-1),"")</f>
        <v/>
      </c>
      <c r="I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19.1</v>
      </c>
      <c r="E743" s="14" t="n"/>
      <c r="F743" s="14" t="n"/>
      <c r="G743" s="14">
        <f>IF(D743="","",D743*'参数与说明'!$B$6/45.3592)</f>
        <v/>
      </c>
      <c r="H743" s="15">
        <f>IFERROR(IF(D743="","",D743/INDEX($D:$D,MATCH(EDATE($A743,-1),$A:$A,0))-1),"")</f>
        <v/>
      </c>
      <c r="I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16.9</v>
      </c>
      <c r="E744" s="18" t="n"/>
      <c r="F744" s="18" t="n"/>
      <c r="G744" s="18">
        <f>IF(D744="","",D744*'参数与说明'!$B$6/45.3592)</f>
        <v/>
      </c>
      <c r="H744" s="19">
        <f>IFERROR(IF(D744="","",D744/INDEX($D:$D,MATCH(EDATE($A744,-1),$A:$A,0))-1),"")</f>
        <v/>
      </c>
      <c r="I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15.9</v>
      </c>
      <c r="E745" s="14" t="n"/>
      <c r="F745" s="14" t="n"/>
      <c r="G745" s="14">
        <f>IF(D745="","",D745*'参数与说明'!$B$6/45.3592)</f>
        <v/>
      </c>
      <c r="H745" s="15">
        <f>IFERROR(IF(D745="","",D745/INDEX($D:$D,MATCH(EDATE($A745,-1),$A:$A,0))-1),"")</f>
        <v/>
      </c>
      <c r="I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17</v>
      </c>
      <c r="E746" s="18" t="n"/>
      <c r="F746" s="18" t="n"/>
      <c r="G746" s="18">
        <f>IF(D746="","",D746*'参数与说明'!$B$6/45.3592)</f>
        <v/>
      </c>
      <c r="H746" s="19">
        <f>IFERROR(IF(D746="","",D746/INDEX($D:$D,MATCH(EDATE($A746,-1),$A:$A,0))-1),"")</f>
        <v/>
      </c>
      <c r="I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17.5</v>
      </c>
      <c r="E747" s="14" t="n"/>
      <c r="F747" s="14" t="n"/>
      <c r="G747" s="14">
        <f>IF(D747="","",D747*'参数与说明'!$B$6/45.3592)</f>
        <v/>
      </c>
      <c r="H747" s="15">
        <f>IFERROR(IF(D747="","",D747/INDEX($D:$D,MATCH(EDATE($A747,-1),$A:$A,0))-1),"")</f>
        <v/>
      </c>
      <c r="I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19</v>
      </c>
      <c r="E748" s="18" t="n"/>
      <c r="F748" s="18" t="n"/>
      <c r="G748" s="18">
        <f>IF(D748="","",D748*'参数与说明'!$B$6/45.3592)</f>
        <v/>
      </c>
      <c r="H748" s="19">
        <f>IFERROR(IF(D748="","",D748/INDEX($D:$D,MATCH(EDATE($A748,-1),$A:$A,0))-1),"")</f>
        <v/>
      </c>
      <c r="I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18.5</v>
      </c>
      <c r="E749" s="14" t="n"/>
      <c r="F749" s="14" t="n"/>
      <c r="G749" s="14">
        <f>IF(D749="","",D749*'参数与说明'!$B$6/45.3592)</f>
        <v/>
      </c>
      <c r="H749" s="15">
        <f>IFERROR(IF(D749="","",D749/INDEX($D:$D,MATCH(EDATE($A749,-1),$A:$A,0))-1),"")</f>
        <v/>
      </c>
      <c r="I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17.9</v>
      </c>
      <c r="E750" s="18" t="n"/>
      <c r="F750" s="18" t="n"/>
      <c r="G750" s="18">
        <f>IF(D750="","",D750*'参数与说明'!$B$6/45.3592)</f>
        <v/>
      </c>
      <c r="H750" s="19">
        <f>IFERROR(IF(D750="","",D750/INDEX($D:$D,MATCH(EDATE($A750,-1),$A:$A,0))-1),"")</f>
        <v/>
      </c>
      <c r="I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19.5</v>
      </c>
      <c r="E751" s="14" t="n"/>
      <c r="F751" s="14" t="n"/>
      <c r="G751" s="14">
        <f>IF(D751="","",D751*'参数与说明'!$B$6/45.3592)</f>
        <v/>
      </c>
      <c r="H751" s="15">
        <f>IFERROR(IF(D751="","",D751/INDEX($D:$D,MATCH(EDATE($A751,-1),$A:$A,0))-1),"")</f>
        <v/>
      </c>
      <c r="I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18.8</v>
      </c>
      <c r="E752" s="18" t="n"/>
      <c r="F752" s="18" t="n"/>
      <c r="G752" s="18">
        <f>IF(D752="","",D752*'参数与说明'!$B$6/45.3592)</f>
        <v/>
      </c>
      <c r="H752" s="19">
        <f>IFERROR(IF(D752="","",D752/INDEX($D:$D,MATCH(EDATE($A752,-1),$A:$A,0))-1),"")</f>
        <v/>
      </c>
      <c r="I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19.7</v>
      </c>
      <c r="E753" s="14" t="n"/>
      <c r="F753" s="14" t="n"/>
      <c r="G753" s="14">
        <f>IF(D753="","",D753*'参数与说明'!$B$6/45.3592)</f>
        <v/>
      </c>
      <c r="H753" s="15">
        <f>IFERROR(IF(D753="","",D753/INDEX($D:$D,MATCH(EDATE($A753,-1),$A:$A,0))-1),"")</f>
        <v/>
      </c>
      <c r="I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22.8</v>
      </c>
      <c r="E754" s="18" t="n"/>
      <c r="F754" s="18" t="n"/>
      <c r="G754" s="18">
        <f>IF(D754="","",D754*'参数与说明'!$B$6/45.3592)</f>
        <v/>
      </c>
      <c r="H754" s="19">
        <f>IFERROR(IF(D754="","",D754/INDEX($D:$D,MATCH(EDATE($A754,-1),$A:$A,0))-1),"")</f>
        <v/>
      </c>
      <c r="I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25.6</v>
      </c>
      <c r="E755" s="14" t="n"/>
      <c r="F755" s="14" t="n"/>
      <c r="G755" s="14">
        <f>IF(D755="","",D755*'参数与说明'!$B$6/45.3592)</f>
        <v/>
      </c>
      <c r="H755" s="15">
        <f>IFERROR(IF(D755="","",D755/INDEX($D:$D,MATCH(EDATE($A755,-1),$A:$A,0))-1),"")</f>
        <v/>
      </c>
      <c r="I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23.3</v>
      </c>
      <c r="E756" s="18" t="n"/>
      <c r="F756" s="18" t="n"/>
      <c r="G756" s="18">
        <f>IF(D756="","",D756*'参数与说明'!$B$6/45.3592)</f>
        <v/>
      </c>
      <c r="H756" s="19">
        <f>IFERROR(IF(D756="","",D756/INDEX($D:$D,MATCH(EDATE($A756,-1),$A:$A,0))-1),"")</f>
        <v/>
      </c>
      <c r="I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22.5</v>
      </c>
      <c r="E757" s="14" t="n"/>
      <c r="F757" s="14" t="n"/>
      <c r="G757" s="14">
        <f>IF(D757="","",D757*'参数与说明'!$B$6/45.3592)</f>
        <v/>
      </c>
      <c r="H757" s="15">
        <f>IFERROR(IF(D757="","",D757/INDEX($D:$D,MATCH(EDATE($A757,-1),$A:$A,0))-1),"")</f>
        <v/>
      </c>
      <c r="I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24.9</v>
      </c>
      <c r="E758" s="18" t="n"/>
      <c r="F758" s="18" t="n"/>
      <c r="G758" s="18">
        <f>IF(D758="","",D758*'参数与说明'!$B$6/45.3592)</f>
        <v/>
      </c>
      <c r="H758" s="19">
        <f>IFERROR(IF(D758="","",D758/INDEX($D:$D,MATCH(EDATE($A758,-1),$A:$A,0))-1),"")</f>
        <v/>
      </c>
      <c r="I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25.6</v>
      </c>
      <c r="E759" s="14" t="n"/>
      <c r="F759" s="14" t="n"/>
      <c r="G759" s="14">
        <f>IF(D759="","",D759*'参数与说明'!$B$6/45.3592)</f>
        <v/>
      </c>
      <c r="H759" s="15">
        <f>IFERROR(IF(D759="","",D759/INDEX($D:$D,MATCH(EDATE($A759,-1),$A:$A,0))-1),"")</f>
        <v/>
      </c>
      <c r="I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27.5</v>
      </c>
      <c r="E760" s="18" t="n"/>
      <c r="F760" s="18" t="n"/>
      <c r="G760" s="18">
        <f>IF(D760="","",D760*'参数与说明'!$B$6/45.3592)</f>
        <v/>
      </c>
      <c r="H760" s="19">
        <f>IFERROR(IF(D760="","",D760/INDEX($D:$D,MATCH(EDATE($A760,-1),$A:$A,0))-1),"")</f>
        <v/>
      </c>
      <c r="I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28</v>
      </c>
      <c r="E761" s="14" t="n"/>
      <c r="F761" s="14" t="n"/>
      <c r="G761" s="14">
        <f>IF(D761="","",D761*'参数与说明'!$B$6/45.3592)</f>
        <v/>
      </c>
      <c r="H761" s="15">
        <f>IFERROR(IF(D761="","",D761/INDEX($D:$D,MATCH(EDATE($A761,-1),$A:$A,0))-1),"")</f>
        <v/>
      </c>
      <c r="I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28.1</v>
      </c>
      <c r="E762" s="18" t="n"/>
      <c r="F762" s="18" t="n"/>
      <c r="G762" s="18">
        <f>IF(D762="","",D762*'参数与说明'!$B$6/45.3592)</f>
        <v/>
      </c>
      <c r="H762" s="19">
        <f>IFERROR(IF(D762="","",D762/INDEX($D:$D,MATCH(EDATE($A762,-1),$A:$A,0))-1),"")</f>
        <v/>
      </c>
      <c r="I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27.4</v>
      </c>
      <c r="E763" s="14" t="n"/>
      <c r="F763" s="14" t="n"/>
      <c r="G763" s="14">
        <f>IF(D763="","",D763*'参数与说明'!$B$6/45.3592)</f>
        <v/>
      </c>
      <c r="H763" s="15">
        <f>IFERROR(IF(D763="","",D763/INDEX($D:$D,MATCH(EDATE($A763,-1),$A:$A,0))-1),"")</f>
        <v/>
      </c>
      <c r="I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26.8</v>
      </c>
      <c r="E764" s="18" t="n"/>
      <c r="F764" s="18" t="n"/>
      <c r="G764" s="18">
        <f>IF(D764="","",D764*'参数与说明'!$B$6/45.3592)</f>
        <v/>
      </c>
      <c r="H764" s="19">
        <f>IFERROR(IF(D764="","",D764/INDEX($D:$D,MATCH(EDATE($A764,-1),$A:$A,0))-1),"")</f>
        <v/>
      </c>
      <c r="I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29.6</v>
      </c>
      <c r="E765" s="14" t="n"/>
      <c r="F765" s="14" t="n"/>
      <c r="G765" s="14">
        <f>IF(D765="","",D765*'参数与说明'!$B$6/45.3592)</f>
        <v/>
      </c>
      <c r="H765" s="15">
        <f>IFERROR(IF(D765="","",D765/INDEX($D:$D,MATCH(EDATE($A765,-1),$A:$A,0))-1),"")</f>
        <v/>
      </c>
      <c r="I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31</v>
      </c>
      <c r="E766" s="18" t="n"/>
      <c r="F766" s="18" t="n"/>
      <c r="G766" s="18">
        <f>IF(D766="","",D766*'参数与说明'!$B$6/45.3592)</f>
        <v/>
      </c>
      <c r="H766" s="19">
        <f>IFERROR(IF(D766="","",D766/INDEX($D:$D,MATCH(EDATE($A766,-1),$A:$A,0))-1),"")</f>
        <v/>
      </c>
      <c r="I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34.3</v>
      </c>
      <c r="E767" s="14" t="n"/>
      <c r="F767" s="14" t="n"/>
      <c r="G767" s="14">
        <f>IF(D767="","",D767*'参数与说明'!$B$6/45.3592)</f>
        <v/>
      </c>
      <c r="H767" s="15">
        <f>IFERROR(IF(D767="","",D767/INDEX($D:$D,MATCH(EDATE($A767,-1),$A:$A,0))-1),"")</f>
        <v/>
      </c>
      <c r="I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38.2</v>
      </c>
      <c r="E768" s="18" t="n"/>
      <c r="F768" s="18" t="n"/>
      <c r="G768" s="18">
        <f>IF(D768="","",D768*'参数与说明'!$B$6/45.3592)</f>
        <v/>
      </c>
      <c r="H768" s="19">
        <f>IFERROR(IF(D768="","",D768/INDEX($D:$D,MATCH(EDATE($A768,-1),$A:$A,0))-1),"")</f>
        <v/>
      </c>
      <c r="I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35.1</v>
      </c>
      <c r="E769" s="14" t="n"/>
      <c r="F769" s="14" t="n"/>
      <c r="G769" s="14">
        <f>IF(D769="","",D769*'参数与说明'!$B$6/45.3592)</f>
        <v/>
      </c>
      <c r="H769" s="15">
        <f>IFERROR(IF(D769="","",D769/INDEX($D:$D,MATCH(EDATE($A769,-1),$A:$A,0))-1),"")</f>
        <v/>
      </c>
      <c r="I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35.3</v>
      </c>
      <c r="E770" s="18" t="n"/>
      <c r="F770" s="18" t="n"/>
      <c r="G770" s="18">
        <f>IF(D770="","",D770*'参数与说明'!$B$6/45.3592)</f>
        <v/>
      </c>
      <c r="H770" s="19">
        <f>IFERROR(IF(D770="","",D770/INDEX($D:$D,MATCH(EDATE($A770,-1),$A:$A,0))-1),"")</f>
        <v/>
      </c>
      <c r="I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37.3</v>
      </c>
      <c r="E771" s="14" t="n"/>
      <c r="F771" s="14" t="n"/>
      <c r="G771" s="14">
        <f>IF(D771="","",D771*'参数与说明'!$B$6/45.3592)</f>
        <v/>
      </c>
      <c r="H771" s="15">
        <f>IFERROR(IF(D771="","",D771/INDEX($D:$D,MATCH(EDATE($A771,-1),$A:$A,0))-1),"")</f>
        <v/>
      </c>
      <c r="I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41.3</v>
      </c>
      <c r="E772" s="18" t="n"/>
      <c r="F772" s="18" t="n"/>
      <c r="G772" s="18">
        <f>IF(D772="","",D772*'参数与说明'!$B$6/45.3592)</f>
        <v/>
      </c>
      <c r="H772" s="19">
        <f>IFERROR(IF(D772="","",D772/INDEX($D:$D,MATCH(EDATE($A772,-1),$A:$A,0))-1),"")</f>
        <v/>
      </c>
      <c r="I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56.3</v>
      </c>
      <c r="E773" s="14" t="n"/>
      <c r="F773" s="14" t="n"/>
      <c r="G773" s="14">
        <f>IF(D773="","",D773*'参数与说明'!$B$6/45.3592)</f>
        <v/>
      </c>
      <c r="H773" s="15">
        <f>IFERROR(IF(D773="","",D773/INDEX($D:$D,MATCH(EDATE($A773,-1),$A:$A,0))-1),"")</f>
        <v/>
      </c>
      <c r="I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43.8</v>
      </c>
      <c r="E774" s="18" t="n"/>
      <c r="F774" s="18" t="n"/>
      <c r="G774" s="18">
        <f>IF(D774="","",D774*'参数与说明'!$B$6/45.3592)</f>
        <v/>
      </c>
      <c r="H774" s="19">
        <f>IFERROR(IF(D774="","",D774/INDEX($D:$D,MATCH(EDATE($A774,-1),$A:$A,0))-1),"")</f>
        <v/>
      </c>
      <c r="I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40.9</v>
      </c>
      <c r="E775" s="14" t="n"/>
      <c r="F775" s="14" t="n"/>
      <c r="G775" s="14">
        <f>IF(D775="","",D775*'参数与说明'!$B$6/45.3592)</f>
        <v/>
      </c>
      <c r="H775" s="15">
        <f>IFERROR(IF(D775="","",D775/INDEX($D:$D,MATCH(EDATE($A775,-1),$A:$A,0))-1),"")</f>
        <v/>
      </c>
      <c r="I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40.5</v>
      </c>
      <c r="E776" s="18" t="n"/>
      <c r="F776" s="18" t="n"/>
      <c r="G776" s="18">
        <f>IF(D776="","",D776*'参数与说明'!$B$6/45.3592)</f>
        <v/>
      </c>
      <c r="H776" s="19">
        <f>IFERROR(IF(D776="","",D776/INDEX($D:$D,MATCH(EDATE($A776,-1),$A:$A,0))-1),"")</f>
        <v/>
      </c>
      <c r="I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38.2</v>
      </c>
      <c r="E777" s="14" t="n"/>
      <c r="F777" s="14" t="n"/>
      <c r="G777" s="14">
        <f>IF(D777="","",D777*'参数与说明'!$B$6/45.3592)</f>
        <v/>
      </c>
      <c r="H777" s="15">
        <f>IFERROR(IF(D777="","",D777/INDEX($D:$D,MATCH(EDATE($A777,-1),$A:$A,0))-1),"")</f>
        <v/>
      </c>
      <c r="I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40.1</v>
      </c>
      <c r="E778" s="18" t="n"/>
      <c r="F778" s="18" t="n"/>
      <c r="G778" s="18">
        <f>IF(D778="","",D778*'参数与说明'!$B$6/45.3592)</f>
        <v/>
      </c>
      <c r="H778" s="19">
        <f>IFERROR(IF(D778="","",D778/INDEX($D:$D,MATCH(EDATE($A778,-1),$A:$A,0))-1),"")</f>
        <v/>
      </c>
      <c r="I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39.3</v>
      </c>
      <c r="E779" s="14" t="n"/>
      <c r="F779" s="14" t="n"/>
      <c r="G779" s="14">
        <f>IF(D779="","",D779*'参数与说明'!$B$6/45.3592)</f>
        <v/>
      </c>
      <c r="H779" s="15">
        <f>IFERROR(IF(D779="","",D779/INDEX($D:$D,MATCH(EDATE($A779,-1),$A:$A,0))-1),"")</f>
        <v/>
      </c>
      <c r="I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35</v>
      </c>
      <c r="E780" s="18" t="n"/>
      <c r="F780" s="18" t="n"/>
      <c r="G780" s="18">
        <f>IF(D780="","",D780*'参数与说明'!$B$6/45.3592)</f>
        <v/>
      </c>
      <c r="H780" s="19">
        <f>IFERROR(IF(D780="","",D780/INDEX($D:$D,MATCH(EDATE($A780,-1),$A:$A,0))-1),"")</f>
        <v/>
      </c>
      <c r="I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30.6</v>
      </c>
      <c r="E781" s="14" t="n"/>
      <c r="F781" s="14" t="n"/>
      <c r="G781" s="14">
        <f>IF(D781="","",D781*'参数与说明'!$B$6/45.3592)</f>
        <v/>
      </c>
      <c r="H781" s="15">
        <f>IFERROR(IF(D781="","",D781/INDEX($D:$D,MATCH(EDATE($A781,-1),$A:$A,0))-1),"")</f>
        <v/>
      </c>
      <c r="I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26.3</v>
      </c>
      <c r="E782" s="18" t="n"/>
      <c r="F782" s="18" t="n"/>
      <c r="G782" s="18">
        <f>IF(D782="","",D782*'参数与说明'!$B$6/45.3592)</f>
        <v/>
      </c>
      <c r="H782" s="19">
        <f>IFERROR(IF(D782="","",D782/INDEX($D:$D,MATCH(EDATE($A782,-1),$A:$A,0))-1),"")</f>
        <v/>
      </c>
      <c r="I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24.2</v>
      </c>
      <c r="E783" s="14" t="n"/>
      <c r="F783" s="14" t="n"/>
      <c r="G783" s="14">
        <f>IF(D783="","",D783*'参数与说明'!$B$6/45.3592)</f>
        <v/>
      </c>
      <c r="H783" s="15">
        <f>IFERROR(IF(D783="","",D783/INDEX($D:$D,MATCH(EDATE($A783,-1),$A:$A,0))-1),"")</f>
        <v/>
      </c>
      <c r="I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34.3</v>
      </c>
      <c r="E784" s="18" t="n"/>
      <c r="F784" s="18" t="n"/>
      <c r="G784" s="18">
        <f>IF(D784="","",D784*'参数与说明'!$B$6/45.3592)</f>
        <v/>
      </c>
      <c r="H784" s="19">
        <f>IFERROR(IF(D784="","",D784/INDEX($D:$D,MATCH(EDATE($A784,-1),$A:$A,0))-1),"")</f>
        <v/>
      </c>
      <c r="I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36</v>
      </c>
      <c r="E785" s="14" t="n"/>
      <c r="F785" s="14" t="n"/>
      <c r="G785" s="14">
        <f>IF(D785="","",D785*'参数与说明'!$B$6/45.3592)</f>
        <v/>
      </c>
      <c r="H785" s="15">
        <f>IFERROR(IF(D785="","",D785/INDEX($D:$D,MATCH(EDATE($A785,-1),$A:$A,0))-1),"")</f>
        <v/>
      </c>
      <c r="I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33.7</v>
      </c>
      <c r="E786" s="18" t="n"/>
      <c r="F786" s="18" t="n"/>
      <c r="G786" s="18">
        <f>IF(D786="","",D786*'参数与说明'!$B$6/45.3592)</f>
        <v/>
      </c>
      <c r="H786" s="19">
        <f>IFERROR(IF(D786="","",D786/INDEX($D:$D,MATCH(EDATE($A786,-1),$A:$A,0))-1),"")</f>
        <v/>
      </c>
      <c r="I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37.1</v>
      </c>
      <c r="E787" s="14" t="n"/>
      <c r="F787" s="14" t="n"/>
      <c r="G787" s="14">
        <f>IF(D787="","",D787*'参数与说明'!$B$6/45.3592)</f>
        <v/>
      </c>
      <c r="H787" s="15">
        <f>IFERROR(IF(D787="","",D787/INDEX($D:$D,MATCH(EDATE($A787,-1),$A:$A,0))-1),"")</f>
        <v/>
      </c>
      <c r="I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36.8</v>
      </c>
      <c r="E788" s="18" t="n"/>
      <c r="F788" s="18" t="n"/>
      <c r="G788" s="18">
        <f>IF(D788="","",D788*'参数与说明'!$B$6/45.3592)</f>
        <v/>
      </c>
      <c r="H788" s="19">
        <f>IFERROR(IF(D788="","",D788/INDEX($D:$D,MATCH(EDATE($A788,-1),$A:$A,0))-1),"")</f>
        <v/>
      </c>
      <c r="I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38.4</v>
      </c>
      <c r="E789" s="14" t="n"/>
      <c r="F789" s="14" t="n"/>
      <c r="G789" s="14">
        <f>IF(D789="","",D789*'参数与说明'!$B$6/45.3592)</f>
        <v/>
      </c>
      <c r="H789" s="15">
        <f>IFERROR(IF(D789="","",D789/INDEX($D:$D,MATCH(EDATE($A789,-1),$A:$A,0))-1),"")</f>
        <v/>
      </c>
      <c r="I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38.2</v>
      </c>
      <c r="E790" s="18" t="n"/>
      <c r="F790" s="18" t="n"/>
      <c r="G790" s="18">
        <f>IF(D790="","",D790*'参数与说明'!$B$6/45.3592)</f>
        <v/>
      </c>
      <c r="H790" s="19">
        <f>IFERROR(IF(D790="","",D790/INDEX($D:$D,MATCH(EDATE($A790,-1),$A:$A,0))-1),"")</f>
        <v/>
      </c>
      <c r="I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38.5</v>
      </c>
      <c r="E791" s="14" t="n"/>
      <c r="F791" s="14" t="n"/>
      <c r="G791" s="14">
        <f>IF(D791="","",D791*'参数与说明'!$B$6/45.3592)</f>
        <v/>
      </c>
      <c r="H791" s="15">
        <f>IFERROR(IF(D791="","",D791/INDEX($D:$D,MATCH(EDATE($A791,-1),$A:$A,0))-1),"")</f>
        <v/>
      </c>
      <c r="I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38.6</v>
      </c>
      <c r="E792" s="18" t="n"/>
      <c r="F792" s="18" t="n"/>
      <c r="G792" s="18">
        <f>IF(D792="","",D792*'参数与说明'!$B$6/45.3592)</f>
        <v/>
      </c>
      <c r="H792" s="19">
        <f>IFERROR(IF(D792="","",D792/INDEX($D:$D,MATCH(EDATE($A792,-1),$A:$A,0))-1),"")</f>
        <v/>
      </c>
      <c r="I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39.3</v>
      </c>
      <c r="E793" s="14" t="n"/>
      <c r="F793" s="14" t="n"/>
      <c r="G793" s="14">
        <f>IF(D793="","",D793*'参数与说明'!$B$6/45.3592)</f>
        <v/>
      </c>
      <c r="H793" s="15">
        <f>IFERROR(IF(D793="","",D793/INDEX($D:$D,MATCH(EDATE($A793,-1),$A:$A,0))-1),"")</f>
        <v/>
      </c>
      <c r="I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45.1</v>
      </c>
      <c r="E794" s="18" t="n"/>
      <c r="F794" s="18" t="n"/>
      <c r="G794" s="18">
        <f>IF(D794="","",D794*'参数与说明'!$B$6/45.3592)</f>
        <v/>
      </c>
      <c r="H794" s="19">
        <f>IFERROR(IF(D794="","",D794/INDEX($D:$D,MATCH(EDATE($A794,-1),$A:$A,0))-1),"")</f>
        <v/>
      </c>
      <c r="I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47.4</v>
      </c>
      <c r="E795" s="14" t="n"/>
      <c r="F795" s="14" t="n"/>
      <c r="G795" s="14">
        <f>IF(D795="","",D795*'参数与说明'!$B$6/45.3592)</f>
        <v/>
      </c>
      <c r="H795" s="15">
        <f>IFERROR(IF(D795="","",D795/INDEX($D:$D,MATCH(EDATE($A795,-1),$A:$A,0))-1),"")</f>
        <v/>
      </c>
      <c r="I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53.9</v>
      </c>
      <c r="E796" s="18" t="n"/>
      <c r="F796" s="18" t="n"/>
      <c r="G796" s="18">
        <f>IF(D796="","",D796*'参数与说明'!$B$6/45.3592)</f>
        <v/>
      </c>
      <c r="H796" s="19">
        <f>IFERROR(IF(D796="","",D796/INDEX($D:$D,MATCH(EDATE($A796,-1),$A:$A,0))-1),"")</f>
        <v/>
      </c>
      <c r="I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56.1</v>
      </c>
      <c r="E797" s="14" t="n"/>
      <c r="F797" s="14" t="n"/>
      <c r="G797" s="14">
        <f>IF(D797="","",D797*'参数与说明'!$B$6/45.3592)</f>
        <v/>
      </c>
      <c r="H797" s="15">
        <f>IFERROR(IF(D797="","",D797/INDEX($D:$D,MATCH(EDATE($A797,-1),$A:$A,0))-1),"")</f>
        <v/>
      </c>
      <c r="I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58.6</v>
      </c>
      <c r="E798" s="18" t="n"/>
      <c r="F798" s="18" t="n"/>
      <c r="G798" s="18">
        <f>IF(D798="","",D798*'参数与说明'!$B$6/45.3592)</f>
        <v/>
      </c>
      <c r="H798" s="19">
        <f>IFERROR(IF(D798="","",D798/INDEX($D:$D,MATCH(EDATE($A798,-1),$A:$A,0))-1),"")</f>
        <v/>
      </c>
      <c r="I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58.3</v>
      </c>
      <c r="E799" s="14" t="n"/>
      <c r="F799" s="14" t="n"/>
      <c r="G799" s="14">
        <f>IF(D799="","",D799*'参数与说明'!$B$6/45.3592)</f>
        <v/>
      </c>
      <c r="H799" s="15">
        <f>IFERROR(IF(D799="","",D799/INDEX($D:$D,MATCH(EDATE($A799,-1),$A:$A,0))-1),"")</f>
        <v/>
      </c>
      <c r="I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49.1</v>
      </c>
      <c r="E800" s="18" t="n"/>
      <c r="F800" s="18" t="n"/>
      <c r="G800" s="18">
        <f>IF(D800="","",D800*'参数与说明'!$B$6/45.3592)</f>
        <v/>
      </c>
      <c r="H800" s="19">
        <f>IFERROR(IF(D800="","",D800/INDEX($D:$D,MATCH(EDATE($A800,-1),$A:$A,0))-1),"")</f>
        <v/>
      </c>
      <c r="I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47.6</v>
      </c>
      <c r="E801" s="14" t="n"/>
      <c r="F801" s="14" t="n"/>
      <c r="G801" s="14">
        <f>IF(D801="","",D801*'参数与说明'!$B$6/45.3592)</f>
        <v/>
      </c>
      <c r="H801" s="15">
        <f>IFERROR(IF(D801="","",D801/INDEX($D:$D,MATCH(EDATE($A801,-1),$A:$A,0))-1),"")</f>
        <v/>
      </c>
      <c r="I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47.7</v>
      </c>
      <c r="E802" s="18" t="n"/>
      <c r="F802" s="18" t="n"/>
      <c r="G802" s="18">
        <f>IF(D802="","",D802*'参数与说明'!$B$6/45.3592)</f>
        <v/>
      </c>
      <c r="H802" s="19">
        <f>IFERROR(IF(D802="","",D802/INDEX($D:$D,MATCH(EDATE($A802,-1),$A:$A,0))-1),"")</f>
        <v/>
      </c>
      <c r="I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48</v>
      </c>
      <c r="E803" s="14" t="n"/>
      <c r="F803" s="14" t="n"/>
      <c r="G803" s="14">
        <f>IF(D803="","",D803*'参数与说明'!$B$6/45.3592)</f>
        <v/>
      </c>
      <c r="H803" s="15">
        <f>IFERROR(IF(D803="","",D803/INDEX($D:$D,MATCH(EDATE($A803,-1),$A:$A,0))-1),"")</f>
        <v/>
      </c>
      <c r="I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45.6</v>
      </c>
      <c r="E804" s="18" t="n"/>
      <c r="F804" s="18" t="n"/>
      <c r="G804" s="18">
        <f>IF(D804="","",D804*'参数与说明'!$B$6/45.3592)</f>
        <v/>
      </c>
      <c r="H804" s="19">
        <f>IFERROR(IF(D804="","",D804/INDEX($D:$D,MATCH(EDATE($A804,-1),$A:$A,0))-1),"")</f>
        <v/>
      </c>
      <c r="I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47</v>
      </c>
      <c r="E805" s="14" t="n"/>
      <c r="F805" s="14" t="n"/>
      <c r="G805" s="14">
        <f>IF(D805="","",D805*'参数与说明'!$B$6/45.3592)</f>
        <v/>
      </c>
      <c r="H805" s="15">
        <f>IFERROR(IF(D805="","",D805/INDEX($D:$D,MATCH(EDATE($A805,-1),$A:$A,0))-1),"")</f>
        <v/>
      </c>
      <c r="I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47.6</v>
      </c>
      <c r="E806" s="18" t="n"/>
      <c r="F806" s="18" t="n"/>
      <c r="G806" s="18">
        <f>IF(D806="","",D806*'参数与说明'!$B$6/45.3592)</f>
        <v/>
      </c>
      <c r="H806" s="19">
        <f>IFERROR(IF(D806="","",D806/INDEX($D:$D,MATCH(EDATE($A806,-1),$A:$A,0))-1),"")</f>
        <v/>
      </c>
      <c r="I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49.2</v>
      </c>
      <c r="E807" s="14" t="n"/>
      <c r="F807" s="14" t="n"/>
      <c r="G807" s="14">
        <f>IF(D807="","",D807*'参数与说明'!$B$6/45.3592)</f>
        <v/>
      </c>
      <c r="H807" s="15">
        <f>IFERROR(IF(D807="","",D807/INDEX($D:$D,MATCH(EDATE($A807,-1),$A:$A,0))-1),"")</f>
        <v/>
      </c>
      <c r="I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47.6</v>
      </c>
      <c r="E808" s="18" t="n"/>
      <c r="F808" s="18" t="n"/>
      <c r="G808" s="18">
        <f>IF(D808="","",D808*'参数与说明'!$B$6/45.3592)</f>
        <v/>
      </c>
      <c r="H808" s="19">
        <f>IFERROR(IF(D808="","",D808/INDEX($D:$D,MATCH(EDATE($A808,-1),$A:$A,0))-1),"")</f>
        <v/>
      </c>
      <c r="I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42.6</v>
      </c>
      <c r="E809" s="14" t="n"/>
      <c r="F809" s="14" t="n"/>
      <c r="G809" s="14">
        <f>IF(D809="","",D809*'参数与说明'!$B$6/45.3592)</f>
        <v/>
      </c>
      <c r="H809" s="15">
        <f>IFERROR(IF(D809="","",D809/INDEX($D:$D,MATCH(EDATE($A809,-1),$A:$A,0))-1),"")</f>
        <v/>
      </c>
      <c r="I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39.7</v>
      </c>
      <c r="E810" s="18" t="n"/>
      <c r="F810" s="18" t="n"/>
      <c r="G810" s="18">
        <f>IF(D810="","",D810*'参数与说明'!$B$6/45.3592)</f>
        <v/>
      </c>
      <c r="H810" s="19">
        <f>IFERROR(IF(D810="","",D810/INDEX($D:$D,MATCH(EDATE($A810,-1),$A:$A,0))-1),"")</f>
        <v/>
      </c>
      <c r="I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32.9</v>
      </c>
      <c r="E811" s="14" t="n"/>
      <c r="F811" s="14" t="n"/>
      <c r="G811" s="14">
        <f>IF(D811="","",D811*'参数与说明'!$B$6/45.3592)</f>
        <v/>
      </c>
      <c r="H811" s="15">
        <f>IFERROR(IF(D811="","",D811/INDEX($D:$D,MATCH(EDATE($A811,-1),$A:$A,0))-1),"")</f>
        <v/>
      </c>
      <c r="I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/>
      <c r="F812" s="18" t="n"/>
      <c r="G812" s="18">
        <f>IF(D812="","",D812*'参数与说明'!$B$6/45.3592)</f>
        <v/>
      </c>
      <c r="H812" s="19">
        <f>IFERROR(IF(D812="","",D812/INDEX($D:$D,MATCH(EDATE($A812,-1),$A:$A,0))-1),"")</f>
        <v/>
      </c>
      <c r="I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36.6</v>
      </c>
      <c r="E813" s="14" t="n"/>
      <c r="F813" s="14" t="n"/>
      <c r="G813" s="14">
        <f>IF(D813="","",D813*'参数与说明'!$B$6/45.3592)</f>
        <v/>
      </c>
      <c r="H813" s="15">
        <f>IFERROR(IF(D813="","",D813/INDEX($D:$D,MATCH(EDATE($A813,-1),$A:$A,0))-1),"")</f>
        <v/>
      </c>
      <c r="I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38.1</v>
      </c>
      <c r="E814" s="18" t="n"/>
      <c r="F814" s="18" t="n"/>
      <c r="G814" s="18">
        <f>IF(D814="","",D814*'参数与说明'!$B$6/45.3592)</f>
        <v/>
      </c>
      <c r="H814" s="19">
        <f>IFERROR(IF(D814="","",D814/INDEX($D:$D,MATCH(EDATE($A814,-1),$A:$A,0))-1),"")</f>
        <v/>
      </c>
      <c r="I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39.4</v>
      </c>
      <c r="E815" s="14" t="n"/>
      <c r="F815" s="14" t="n"/>
      <c r="G815" s="14">
        <f>IF(D815="","",D815*'参数与说明'!$B$6/45.3592)</f>
        <v/>
      </c>
      <c r="H815" s="15">
        <f>IFERROR(IF(D815="","",D815/INDEX($D:$D,MATCH(EDATE($A815,-1),$A:$A,0))-1),"")</f>
        <v/>
      </c>
      <c r="I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37.2</v>
      </c>
      <c r="E816" s="18" t="n"/>
      <c r="F816" s="18" t="n"/>
      <c r="G816" s="18">
        <f>IF(D816="","",D816*'参数与说明'!$B$6/45.3592)</f>
        <v/>
      </c>
      <c r="H816" s="19">
        <f>IFERROR(IF(D816="","",D816/INDEX($D:$D,MATCH(EDATE($A816,-1),$A:$A,0))-1),"")</f>
        <v/>
      </c>
      <c r="I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36</v>
      </c>
      <c r="E817" s="14" t="n"/>
      <c r="F817" s="14" t="n"/>
      <c r="G817" s="14">
        <f>IF(D817="","",D817*'参数与说明'!$B$6/45.3592)</f>
        <v/>
      </c>
      <c r="H817" s="15">
        <f>IFERROR(IF(D817="","",D817/INDEX($D:$D,MATCH(EDATE($A817,-1),$A:$A,0))-1),"")</f>
        <v/>
      </c>
      <c r="I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40.7</v>
      </c>
      <c r="E818" s="18" t="n"/>
      <c r="F818" s="18" t="n"/>
      <c r="G818" s="18">
        <f>IF(D818="","",D818*'参数与说明'!$B$6/45.3592)</f>
        <v/>
      </c>
      <c r="H818" s="19">
        <f>IFERROR(IF(D818="","",D818/INDEX($D:$D,MATCH(EDATE($A818,-1),$A:$A,0))-1),"")</f>
        <v/>
      </c>
      <c r="I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42</v>
      </c>
      <c r="E819" s="14" t="n"/>
      <c r="F819" s="14" t="n"/>
      <c r="G819" s="14">
        <f>IF(D819="","",D819*'参数与说明'!$B$6/45.3592)</f>
        <v/>
      </c>
      <c r="H819" s="15">
        <f>IFERROR(IF(D819="","",D819/INDEX($D:$D,MATCH(EDATE($A819,-1),$A:$A,0))-1),"")</f>
        <v/>
      </c>
      <c r="I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44.8</v>
      </c>
      <c r="E820" s="18" t="n"/>
      <c r="F820" s="18" t="n"/>
      <c r="G820" s="18">
        <f>IF(D820="","",D820*'参数与说明'!$B$6/45.3592)</f>
        <v/>
      </c>
      <c r="H820" s="19">
        <f>IFERROR(IF(D820="","",D820/INDEX($D:$D,MATCH(EDATE($A820,-1),$A:$A,0))-1),"")</f>
        <v/>
      </c>
      <c r="I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42.8</v>
      </c>
      <c r="E821" s="14" t="n"/>
      <c r="F821" s="14" t="n"/>
      <c r="G821" s="14">
        <f>IF(D821="","",D821*'参数与说明'!$B$6/45.3592)</f>
        <v/>
      </c>
      <c r="H821" s="15">
        <f>IFERROR(IF(D821="","",D821/INDEX($D:$D,MATCH(EDATE($A821,-1),$A:$A,0))-1),"")</f>
        <v/>
      </c>
      <c r="I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40.3</v>
      </c>
      <c r="E822" s="18" t="n"/>
      <c r="F822" s="18" t="n"/>
      <c r="G822" s="18">
        <f>IF(D822="","",D822*'参数与说明'!$B$6/45.3592)</f>
        <v/>
      </c>
      <c r="H822" s="19">
        <f>IFERROR(IF(D822="","",D822/INDEX($D:$D,MATCH(EDATE($A822,-1),$A:$A,0))-1),"")</f>
        <v/>
      </c>
      <c r="I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39.9</v>
      </c>
      <c r="E823" s="14" t="n"/>
      <c r="F823" s="14" t="n"/>
      <c r="G823" s="14">
        <f>IF(D823="","",D823*'参数与说明'!$B$6/45.3592)</f>
        <v/>
      </c>
      <c r="H823" s="15">
        <f>IFERROR(IF(D823="","",D823/INDEX($D:$D,MATCH(EDATE($A823,-1),$A:$A,0))-1),"")</f>
        <v/>
      </c>
      <c r="I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37.8</v>
      </c>
      <c r="E824" s="18" t="n"/>
      <c r="F824" s="18" t="n"/>
      <c r="G824" s="18">
        <f>IF(D824="","",D824*'参数与说明'!$B$6/45.3592)</f>
        <v/>
      </c>
      <c r="H824" s="19">
        <f>IFERROR(IF(D824="","",D824/INDEX($D:$D,MATCH(EDATE($A824,-1),$A:$A,0))-1),"")</f>
        <v/>
      </c>
      <c r="I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41.8</v>
      </c>
      <c r="E825" s="14" t="n"/>
      <c r="F825" s="14" t="n"/>
      <c r="G825" s="14">
        <f>IF(D825="","",D825*'参数与说明'!$B$6/45.3592)</f>
        <v/>
      </c>
      <c r="H825" s="15">
        <f>IFERROR(IF(D825="","",D825/INDEX($D:$D,MATCH(EDATE($A825,-1),$A:$A,0))-1),"")</f>
        <v/>
      </c>
      <c r="I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43.9</v>
      </c>
      <c r="E826" s="18" t="n"/>
      <c r="F826" s="18" t="n"/>
      <c r="G826" s="18">
        <f>IF(D826="","",D826*'参数与说明'!$B$6/45.3592)</f>
        <v/>
      </c>
      <c r="H826" s="19">
        <f>IFERROR(IF(D826="","",D826/INDEX($D:$D,MATCH(EDATE($A826,-1),$A:$A,0))-1),"")</f>
        <v/>
      </c>
      <c r="I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47.4</v>
      </c>
      <c r="E827" s="14" t="n"/>
      <c r="F827" s="14" t="n"/>
      <c r="G827" s="14">
        <f>IF(D827="","",D827*'参数与说明'!$B$6/45.3592)</f>
        <v/>
      </c>
      <c r="H827" s="15">
        <f>IFERROR(IF(D827="","",D827/INDEX($D:$D,MATCH(EDATE($A827,-1),$A:$A,0))-1),"")</f>
        <v/>
      </c>
      <c r="I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46.4</v>
      </c>
      <c r="E828" s="18" t="n"/>
      <c r="F828" s="18" t="n"/>
      <c r="G828" s="18">
        <f>IF(D828="","",D828*'参数与说明'!$B$6/45.3592)</f>
        <v/>
      </c>
      <c r="H828" s="19">
        <f>IFERROR(IF(D828="","",D828/INDEX($D:$D,MATCH(EDATE($A828,-1),$A:$A,0))-1),"")</f>
        <v/>
      </c>
      <c r="I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45</v>
      </c>
      <c r="E829" s="14" t="n"/>
      <c r="F829" s="14" t="n"/>
      <c r="G829" s="14">
        <f>IF(D829="","",D829*'参数与说明'!$B$6/45.3592)</f>
        <v/>
      </c>
      <c r="H829" s="15">
        <f>IFERROR(IF(D829="","",D829/INDEX($D:$D,MATCH(EDATE($A829,-1),$A:$A,0))-1),"")</f>
        <v/>
      </c>
      <c r="I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47.9</v>
      </c>
      <c r="E830" s="18" t="n"/>
      <c r="F830" s="18" t="n"/>
      <c r="G830" s="18">
        <f>IF(D830="","",D830*'参数与说明'!$B$6/45.3592)</f>
        <v/>
      </c>
      <c r="H830" s="19">
        <f>IFERROR(IF(D830="","",D830/INDEX($D:$D,MATCH(EDATE($A830,-1),$A:$A,0))-1),"")</f>
        <v/>
      </c>
      <c r="I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47.6</v>
      </c>
      <c r="E831" s="14" t="n"/>
      <c r="F831" s="14" t="n"/>
      <c r="G831" s="14">
        <f>IF(D831="","",D831*'参数与说明'!$B$6/45.3592)</f>
        <v/>
      </c>
      <c r="H831" s="15">
        <f>IFERROR(IF(D831="","",D831/INDEX($D:$D,MATCH(EDATE($A831,-1),$A:$A,0))-1),"")</f>
        <v/>
      </c>
      <c r="I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45.4</v>
      </c>
      <c r="E832" s="18" t="n"/>
      <c r="F832" s="18" t="n"/>
      <c r="G832" s="18">
        <f>IF(D832="","",D832*'参数与说明'!$B$6/45.3592)</f>
        <v/>
      </c>
      <c r="H832" s="19">
        <f>IFERROR(IF(D832="","",D832/INDEX($D:$D,MATCH(EDATE($A832,-1),$A:$A,0))-1),"")</f>
        <v/>
      </c>
      <c r="I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47.4</v>
      </c>
      <c r="E833" s="14" t="n"/>
      <c r="F833" s="14" t="n"/>
      <c r="G833" s="14">
        <f>IF(D833="","",D833*'参数与说明'!$B$6/45.3592)</f>
        <v/>
      </c>
      <c r="H833" s="15">
        <f>IFERROR(IF(D833="","",D833/INDEX($D:$D,MATCH(EDATE($A833,-1),$A:$A,0))-1),"")</f>
        <v/>
      </c>
      <c r="I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48</v>
      </c>
      <c r="E834" s="18" t="n"/>
      <c r="F834" s="18" t="n"/>
      <c r="G834" s="18">
        <f>IF(D834="","",D834*'参数与说明'!$B$6/45.3592)</f>
        <v/>
      </c>
      <c r="H834" s="19">
        <f>IFERROR(IF(D834="","",D834/INDEX($D:$D,MATCH(EDATE($A834,-1),$A:$A,0))-1),"")</f>
        <v/>
      </c>
      <c r="I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50.8</v>
      </c>
      <c r="E835" s="14" t="n"/>
      <c r="F835" s="14" t="n"/>
      <c r="G835" s="14">
        <f>IF(D835="","",D835*'参数与说明'!$B$6/45.3592)</f>
        <v/>
      </c>
      <c r="H835" s="15">
        <f>IFERROR(IF(D835="","",D835/INDEX($D:$D,MATCH(EDATE($A835,-1),$A:$A,0))-1),"")</f>
        <v/>
      </c>
      <c r="I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47.3</v>
      </c>
      <c r="E836" s="18" t="n"/>
      <c r="F836" s="18" t="n"/>
      <c r="G836" s="18">
        <f>IF(D836="","",D836*'参数与说明'!$B$6/45.3592)</f>
        <v/>
      </c>
      <c r="H836" s="19">
        <f>IFERROR(IF(D836="","",D836/INDEX($D:$D,MATCH(EDATE($A836,-1),$A:$A,0))-1),"")</f>
        <v/>
      </c>
      <c r="I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48</v>
      </c>
      <c r="E837" s="14" t="n"/>
      <c r="F837" s="14" t="n"/>
      <c r="G837" s="14">
        <f>IF(D837="","",D837*'参数与说明'!$B$6/45.3592)</f>
        <v/>
      </c>
      <c r="H837" s="15">
        <f>IFERROR(IF(D837="","",D837/INDEX($D:$D,MATCH(EDATE($A837,-1),$A:$A,0))-1),"")</f>
        <v/>
      </c>
      <c r="I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50.7</v>
      </c>
      <c r="E838" s="18" t="n"/>
      <c r="F838" s="18" t="n"/>
      <c r="G838" s="18">
        <f>IF(D838="","",D838*'参数与说明'!$B$6/45.3592)</f>
        <v/>
      </c>
      <c r="H838" s="19">
        <f>IFERROR(IF(D838="","",D838/INDEX($D:$D,MATCH(EDATE($A838,-1),$A:$A,0))-1),"")</f>
        <v/>
      </c>
      <c r="I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52.6</v>
      </c>
      <c r="E839" s="14" t="n"/>
      <c r="F839" s="14" t="n"/>
      <c r="G839" s="14">
        <f>IF(D839="","",D839*'参数与说明'!$B$6/45.3592)</f>
        <v/>
      </c>
      <c r="H839" s="15">
        <f>IFERROR(IF(D839="","",D839/INDEX($D:$D,MATCH(EDATE($A839,-1),$A:$A,0))-1),"")</f>
        <v/>
      </c>
      <c r="I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48.3</v>
      </c>
      <c r="E840" s="18" t="n"/>
      <c r="F840" s="18" t="n"/>
      <c r="G840" s="18">
        <f>IF(D840="","",D840*'参数与说明'!$B$6/45.3592)</f>
        <v/>
      </c>
      <c r="H840" s="19">
        <f>IFERROR(IF(D840="","",D840/INDEX($D:$D,MATCH(EDATE($A840,-1),$A:$A,0))-1),"")</f>
        <v/>
      </c>
      <c r="I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44.1</v>
      </c>
      <c r="E841" s="14" t="n"/>
      <c r="F841" s="14" t="n"/>
      <c r="G841" s="14">
        <f>IF(D841="","",D841*'参数与说明'!$B$6/45.3592)</f>
        <v/>
      </c>
      <c r="H841" s="15">
        <f>IFERROR(IF(D841="","",D841/INDEX($D:$D,MATCH(EDATE($A841,-1),$A:$A,0))-1),"")</f>
        <v/>
      </c>
      <c r="I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43.2</v>
      </c>
      <c r="E842" s="18" t="n"/>
      <c r="F842" s="18" t="n"/>
      <c r="G842" s="18">
        <f>IF(D842="","",D842*'参数与说明'!$B$6/45.3592)</f>
        <v/>
      </c>
      <c r="H842" s="19">
        <f>IFERROR(IF(D842="","",D842/INDEX($D:$D,MATCH(EDATE($A842,-1),$A:$A,0))-1),"")</f>
        <v/>
      </c>
      <c r="I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39.6</v>
      </c>
      <c r="E843" s="14" t="n"/>
      <c r="F843" s="14" t="n"/>
      <c r="G843" s="14">
        <f>IF(D843="","",D843*'参数与说明'!$B$6/45.3592)</f>
        <v/>
      </c>
      <c r="H843" s="15">
        <f>IFERROR(IF(D843="","",D843/INDEX($D:$D,MATCH(EDATE($A843,-1),$A:$A,0))-1),"")</f>
        <v/>
      </c>
      <c r="I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37.9</v>
      </c>
      <c r="E844" s="18" t="n"/>
      <c r="F844" s="18" t="n"/>
      <c r="G844" s="18">
        <f>IF(D844="","",D844*'参数与说明'!$B$6/45.3592)</f>
        <v/>
      </c>
      <c r="H844" s="19">
        <f>IFERROR(IF(D844="","",D844/INDEX($D:$D,MATCH(EDATE($A844,-1),$A:$A,0))-1),"")</f>
        <v/>
      </c>
      <c r="I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36.2</v>
      </c>
      <c r="E845" s="14" t="n"/>
      <c r="F845" s="14" t="n"/>
      <c r="G845" s="14">
        <f>IF(D845="","",D845*'参数与说明'!$B$6/45.3592)</f>
        <v/>
      </c>
      <c r="H845" s="15">
        <f>IFERROR(IF(D845="","",D845/INDEX($D:$D,MATCH(EDATE($A845,-1),$A:$A,0))-1),"")</f>
        <v/>
      </c>
      <c r="I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37.2</v>
      </c>
      <c r="E846" s="18" t="n"/>
      <c r="F846" s="18" t="n"/>
      <c r="G846" s="18">
        <f>IF(D846="","",D846*'参数与说明'!$B$6/45.3592)</f>
        <v/>
      </c>
      <c r="H846" s="19">
        <f>IFERROR(IF(D846="","",D846/INDEX($D:$D,MATCH(EDATE($A846,-1),$A:$A,0))-1),"")</f>
        <v/>
      </c>
      <c r="I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33.8</v>
      </c>
      <c r="E847" s="14" t="n"/>
      <c r="F847" s="14" t="n"/>
      <c r="G847" s="14">
        <f>IF(D847="","",D847*'参数与说明'!$B$6/45.3592)</f>
        <v/>
      </c>
      <c r="H847" s="15">
        <f>IFERROR(IF(D847="","",D847/INDEX($D:$D,MATCH(EDATE($A847,-1),$A:$A,0))-1),"")</f>
        <v/>
      </c>
      <c r="I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34.5</v>
      </c>
      <c r="E848" s="18" t="n"/>
      <c r="F848" s="18" t="n"/>
      <c r="G848" s="18">
        <f>IF(D848="","",D848*'参数与说明'!$B$6/45.3592)</f>
        <v/>
      </c>
      <c r="H848" s="19">
        <f>IFERROR(IF(D848="","",D848/INDEX($D:$D,MATCH(EDATE($A848,-1),$A:$A,0))-1),"")</f>
        <v/>
      </c>
      <c r="I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36.9</v>
      </c>
      <c r="E849" s="14" t="n"/>
      <c r="F849" s="14" t="n"/>
      <c r="G849" s="14">
        <f>IF(D849="","",D849*'参数与说明'!$B$6/45.3592)</f>
        <v/>
      </c>
      <c r="H849" s="15">
        <f>IFERROR(IF(D849="","",D849/INDEX($D:$D,MATCH(EDATE($A849,-1),$A:$A,0))-1),"")</f>
        <v/>
      </c>
      <c r="I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36.2</v>
      </c>
      <c r="E850" s="18" t="n"/>
      <c r="F850" s="18" t="n"/>
      <c r="G850" s="18">
        <f>IF(D850="","",D850*'参数与说明'!$B$6/45.3592)</f>
        <v/>
      </c>
      <c r="H850" s="19">
        <f>IFERROR(IF(D850="","",D850/INDEX($D:$D,MATCH(EDATE($A850,-1),$A:$A,0))-1),"")</f>
        <v/>
      </c>
      <c r="I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36.7</v>
      </c>
      <c r="E851" s="14" t="n"/>
      <c r="F851" s="14" t="n"/>
      <c r="G851" s="14">
        <f>IF(D851="","",D851*'参数与说明'!$B$6/45.3592)</f>
        <v/>
      </c>
      <c r="H851" s="15">
        <f>IFERROR(IF(D851="","",D851/INDEX($D:$D,MATCH(EDATE($A851,-1),$A:$A,0))-1),"")</f>
        <v/>
      </c>
      <c r="I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33.4</v>
      </c>
      <c r="E852" s="18" t="n"/>
      <c r="F852" s="18" t="n"/>
      <c r="G852" s="18">
        <f>IF(D852="","",D852*'参数与说明'!$B$6/45.3592)</f>
        <v/>
      </c>
      <c r="H852" s="19">
        <f>IFERROR(IF(D852="","",D852/INDEX($D:$D,MATCH(EDATE($A852,-1),$A:$A,0))-1),"")</f>
        <v/>
      </c>
      <c r="I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28</v>
      </c>
      <c r="E853" s="14" t="n"/>
      <c r="F853" s="14" t="n"/>
      <c r="G853" s="14">
        <f>IF(D853="","",D853*'参数与说明'!$B$6/45.3592)</f>
        <v/>
      </c>
      <c r="H853" s="15">
        <f>IFERROR(IF(D853="","",D853/INDEX($D:$D,MATCH(EDATE($A853,-1),$A:$A,0))-1),"")</f>
        <v/>
      </c>
      <c r="I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28.6</v>
      </c>
      <c r="E854" s="18" t="n"/>
      <c r="F854" s="18" t="n"/>
      <c r="G854" s="18">
        <f>IF(D854="","",D854*'参数与说明'!$B$6/45.3592)</f>
        <v/>
      </c>
      <c r="H854" s="19">
        <f>IFERROR(IF(D854="","",D854/INDEX($D:$D,MATCH(EDATE($A854,-1),$A:$A,0))-1),"")</f>
        <v/>
      </c>
      <c r="I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33.1</v>
      </c>
      <c r="E855" s="14" t="n"/>
      <c r="F855" s="14" t="n"/>
      <c r="G855" s="14">
        <f>IF(D855="","",D855*'参数与说明'!$B$6/45.3592)</f>
        <v/>
      </c>
      <c r="H855" s="15">
        <f>IFERROR(IF(D855="","",D855/INDEX($D:$D,MATCH(EDATE($A855,-1),$A:$A,0))-1),"")</f>
        <v/>
      </c>
      <c r="I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41.2</v>
      </c>
      <c r="E856" s="18" t="n"/>
      <c r="F856" s="18" t="n"/>
      <c r="G856" s="18">
        <f>IF(D856="","",D856*'参数与说明'!$B$6/45.3592)</f>
        <v/>
      </c>
      <c r="H856" s="19">
        <f>IFERROR(IF(D856="","",D856/INDEX($D:$D,MATCH(EDATE($A856,-1),$A:$A,0))-1),"")</f>
        <v/>
      </c>
      <c r="I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46.2</v>
      </c>
      <c r="E857" s="14" t="n"/>
      <c r="F857" s="14" t="n"/>
      <c r="G857" s="14">
        <f>IF(D857="","",D857*'参数与说明'!$B$6/45.3592)</f>
        <v/>
      </c>
      <c r="H857" s="15">
        <f>IFERROR(IF(D857="","",D857/INDEX($D:$D,MATCH(EDATE($A857,-1),$A:$A,0))-1),"")</f>
        <v/>
      </c>
      <c r="I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46.1</v>
      </c>
      <c r="E858" s="18" t="n"/>
      <c r="F858" s="18" t="n"/>
      <c r="G858" s="18">
        <f>IF(D858="","",D858*'参数与说明'!$B$6/45.3592)</f>
        <v/>
      </c>
      <c r="H858" s="19">
        <f>IFERROR(IF(D858="","",D858/INDEX($D:$D,MATCH(EDATE($A858,-1),$A:$A,0))-1),"")</f>
        <v/>
      </c>
      <c r="I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47.2</v>
      </c>
      <c r="E859" s="14" t="n"/>
      <c r="F859" s="14" t="n"/>
      <c r="G859" s="14">
        <f>IF(D859="","",D859*'参数与说明'!$B$6/45.3592)</f>
        <v/>
      </c>
      <c r="H859" s="15">
        <f>IFERROR(IF(D859="","",D859/INDEX($D:$D,MATCH(EDATE($A859,-1),$A:$A,0))-1),"")</f>
        <v/>
      </c>
      <c r="I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45.6</v>
      </c>
      <c r="E860" s="18" t="n"/>
      <c r="F860" s="18" t="n"/>
      <c r="G860" s="18">
        <f>IF(D860="","",D860*'参数与说明'!$B$6/45.3592)</f>
        <v/>
      </c>
      <c r="H860" s="19">
        <f>IFERROR(IF(D860="","",D860/INDEX($D:$D,MATCH(EDATE($A860,-1),$A:$A,0))-1),"")</f>
        <v/>
      </c>
      <c r="I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43.8</v>
      </c>
      <c r="E861" s="14" t="n"/>
      <c r="F861" s="14" t="n"/>
      <c r="G861" s="14">
        <f>IF(D861="","",D861*'参数与说明'!$B$6/45.3592)</f>
        <v/>
      </c>
      <c r="H861" s="15">
        <f>IFERROR(IF(D861="","",D861/INDEX($D:$D,MATCH(EDATE($A861,-1),$A:$A,0))-1),"")</f>
        <v/>
      </c>
      <c r="I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40.9</v>
      </c>
      <c r="E862" s="18" t="n"/>
      <c r="F862" s="18" t="n">
        <v>37.4</v>
      </c>
      <c r="G862" s="18">
        <f>IF(D862="","",D862*'参数与说明'!$B$6/45.3592)</f>
        <v/>
      </c>
      <c r="H862" s="19">
        <f>IFERROR(IF(D862="","",D862/INDEX($D:$D,MATCH(EDATE($A862,-1),$A:$A,0))-1),"")</f>
        <v/>
      </c>
      <c r="I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41.3</v>
      </c>
      <c r="E863" s="14" t="n"/>
      <c r="F863" s="14" t="n">
        <v>37.6</v>
      </c>
      <c r="G863" s="14">
        <f>IF(D863="","",D863*'参数与说明'!$B$6/45.3592)</f>
        <v/>
      </c>
      <c r="H863" s="15">
        <f>IFERROR(IF(D863="","",D863/INDEX($D:$D,MATCH(EDATE($A863,-1),$A:$A,0))-1),"")</f>
        <v/>
      </c>
      <c r="I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38.8</v>
      </c>
      <c r="E864" s="18" t="n"/>
      <c r="F864" s="18" t="n">
        <v>35.8</v>
      </c>
      <c r="G864" s="18">
        <f>IF(D864="","",D864*'参数与说明'!$B$6/45.3592)</f>
        <v/>
      </c>
      <c r="H864" s="19">
        <f>IFERROR(IF(D864="","",D864/INDEX($D:$D,MATCH(EDATE($A864,-1),$A:$A,0))-1),"")</f>
        <v/>
      </c>
      <c r="I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39</v>
      </c>
      <c r="E865" s="14" t="n"/>
      <c r="F865" s="14" t="n">
        <v>35.6</v>
      </c>
      <c r="G865" s="14">
        <f>IF(D865="","",D865*'参数与说明'!$B$6/45.3592)</f>
        <v/>
      </c>
      <c r="H865" s="15">
        <f>IFERROR(IF(D865="","",D865/INDEX($D:$D,MATCH(EDATE($A865,-1),$A:$A,0))-1),"")</f>
        <v/>
      </c>
      <c r="I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40.9</v>
      </c>
      <c r="E866" s="18" t="n"/>
      <c r="F866" s="18" t="n">
        <v>36.4</v>
      </c>
      <c r="G866" s="18">
        <f>IF(D866="","",D866*'参数与说明'!$B$6/45.3592)</f>
        <v/>
      </c>
      <c r="H866" s="19">
        <f>IFERROR(IF(D866="","",D866/INDEX($D:$D,MATCH(EDATE($A866,-1),$A:$A,0))-1),"")</f>
        <v/>
      </c>
      <c r="I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47.4</v>
      </c>
      <c r="E867" s="14" t="n"/>
      <c r="F867" s="14" t="n">
        <v>41.9</v>
      </c>
      <c r="G867" s="14">
        <f>IF(D867="","",D867*'参数与说明'!$B$6/45.3592)</f>
        <v/>
      </c>
      <c r="H867" s="15">
        <f>IFERROR(IF(D867="","",D867/INDEX($D:$D,MATCH(EDATE($A867,-1),$A:$A,0))-1),"")</f>
        <v/>
      </c>
      <c r="I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49.3</v>
      </c>
      <c r="E868" s="18" t="n"/>
      <c r="F868" s="18" t="n">
        <v>43.4</v>
      </c>
      <c r="G868" s="18">
        <f>IF(D868="","",D868*'参数与说明'!$B$6/45.3592)</f>
        <v/>
      </c>
      <c r="H868" s="19">
        <f>IFERROR(IF(D868="","",D868/INDEX($D:$D,MATCH(EDATE($A868,-1),$A:$A,0))-1),"")</f>
        <v/>
      </c>
      <c r="I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49.2</v>
      </c>
      <c r="E869" s="14" t="n"/>
      <c r="F869" s="14" t="n">
        <v>43.7</v>
      </c>
      <c r="G869" s="14">
        <f>IF(D869="","",D869*'参数与说明'!$B$6/45.3592)</f>
        <v/>
      </c>
      <c r="H869" s="15">
        <f>IFERROR(IF(D869="","",D869/INDEX($D:$D,MATCH(EDATE($A869,-1),$A:$A,0))-1),"")</f>
        <v/>
      </c>
      <c r="I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48.6</v>
      </c>
      <c r="E870" s="18" t="n"/>
      <c r="F870" s="18" t="n">
        <v>45.2</v>
      </c>
      <c r="G870" s="18">
        <f>IF(D870="","",D870*'参数与说明'!$B$6/45.3592)</f>
        <v/>
      </c>
      <c r="H870" s="19">
        <f>IFERROR(IF(D870="","",D870/INDEX($D:$D,MATCH(EDATE($A870,-1),$A:$A,0))-1),"")</f>
        <v/>
      </c>
      <c r="I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45</v>
      </c>
      <c r="E871" s="14" t="n"/>
      <c r="F871" s="14" t="n">
        <v>42</v>
      </c>
      <c r="G871" s="14">
        <f>IF(D871="","",D871*'参数与说明'!$B$6/45.3592)</f>
        <v/>
      </c>
      <c r="H871" s="15">
        <f>IFERROR(IF(D871="","",D871/INDEX($D:$D,MATCH(EDATE($A871,-1),$A:$A,0))-1),"")</f>
        <v/>
      </c>
      <c r="I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41.5</v>
      </c>
      <c r="E872" s="18" t="n"/>
      <c r="F872" s="18" t="n">
        <v>37.8</v>
      </c>
      <c r="G872" s="18">
        <f>IF(D872="","",D872*'参数与说明'!$B$6/45.3592)</f>
        <v/>
      </c>
      <c r="H872" s="19">
        <f>IFERROR(IF(D872="","",D872/INDEX($D:$D,MATCH(EDATE($A872,-1),$A:$A,0))-1),"")</f>
        <v/>
      </c>
      <c r="I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39</v>
      </c>
      <c r="E873" s="14" t="n"/>
      <c r="F873" s="14" t="n">
        <v>33.2</v>
      </c>
      <c r="G873" s="14">
        <f>IF(D873="","",D873*'参数与说明'!$B$6/45.3592)</f>
        <v/>
      </c>
      <c r="H873" s="15">
        <f>IFERROR(IF(D873="","",D873/INDEX($D:$D,MATCH(EDATE($A873,-1),$A:$A,0))-1),"")</f>
        <v/>
      </c>
      <c r="I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43.4</v>
      </c>
      <c r="E874" s="18" t="n"/>
      <c r="F874" s="18" t="n">
        <v>37.5</v>
      </c>
      <c r="G874" s="18">
        <f>IF(D874="","",D874*'参数与说明'!$B$6/45.3592)</f>
        <v/>
      </c>
      <c r="H874" s="19">
        <f>IFERROR(IF(D874="","",D874/INDEX($D:$D,MATCH(EDATE($A874,-1),$A:$A,0))-1),"")</f>
        <v/>
      </c>
      <c r="I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48.3</v>
      </c>
      <c r="E875" s="14" t="n"/>
      <c r="F875" s="14" t="n">
        <v>43.2</v>
      </c>
      <c r="G875" s="14">
        <f>IF(D875="","",D875*'参数与说明'!$B$6/45.3592)</f>
        <v/>
      </c>
      <c r="H875" s="15">
        <f>IFERROR(IF(D875="","",D875/INDEX($D:$D,MATCH(EDATE($A875,-1),$A:$A,0))-1),"")</f>
        <v/>
      </c>
      <c r="I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48.6</v>
      </c>
      <c r="E876" s="18" t="n"/>
      <c r="F876" s="18" t="n">
        <v>44.6</v>
      </c>
      <c r="G876" s="18">
        <f>IF(D876="","",D876*'参数与说明'!$B$6/45.3592)</f>
        <v/>
      </c>
      <c r="H876" s="19">
        <f>IFERROR(IF(D876="","",D876/INDEX($D:$D,MATCH(EDATE($A876,-1),$A:$A,0))-1),"")</f>
        <v/>
      </c>
      <c r="I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51.2</v>
      </c>
      <c r="E877" s="14" t="n"/>
      <c r="F877" s="14" t="n">
        <v>48</v>
      </c>
      <c r="G877" s="14">
        <f>IF(D877="","",D877*'参数与说明'!$B$6/45.3592)</f>
        <v/>
      </c>
      <c r="H877" s="15">
        <f>IFERROR(IF(D877="","",D877/INDEX($D:$D,MATCH(EDATE($A877,-1),$A:$A,0))-1),"")</f>
        <v/>
      </c>
      <c r="I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56.7</v>
      </c>
      <c r="E878" s="18" t="n"/>
      <c r="F878" s="18" t="n">
        <v>52.2</v>
      </c>
      <c r="G878" s="18">
        <f>IF(D878="","",D878*'参数与说明'!$B$6/45.3592)</f>
        <v/>
      </c>
      <c r="H878" s="19">
        <f>IFERROR(IF(D878="","",D878/INDEX($D:$D,MATCH(EDATE($A878,-1),$A:$A,0))-1),"")</f>
        <v/>
      </c>
      <c r="I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57.5</v>
      </c>
      <c r="E879" s="14" t="n"/>
      <c r="F879" s="14" t="n">
        <v>51.1</v>
      </c>
      <c r="G879" s="14">
        <f>IF(D879="","",D879*'参数与说明'!$B$6/45.3592)</f>
        <v/>
      </c>
      <c r="H879" s="15">
        <f>IFERROR(IF(D879="","",D879/INDEX($D:$D,MATCH(EDATE($A879,-1),$A:$A,0))-1),"")</f>
        <v/>
      </c>
      <c r="I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57.8</v>
      </c>
      <c r="E880" s="18" t="n"/>
      <c r="F880" s="18" t="n">
        <v>51.7</v>
      </c>
      <c r="G880" s="18">
        <f>IF(D880="","",D880*'参数与说明'!$B$6/45.3592)</f>
        <v/>
      </c>
      <c r="H880" s="19">
        <f>IFERROR(IF(D880="","",D880/INDEX($D:$D,MATCH(EDATE($A880,-1),$A:$A,0))-1),"")</f>
        <v/>
      </c>
      <c r="I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61.2</v>
      </c>
      <c r="E881" s="14" t="n"/>
      <c r="F881" s="14" t="n">
        <v>53.7</v>
      </c>
      <c r="G881" s="14">
        <f>IF(D881="","",D881*'参数与说明'!$B$6/45.3592)</f>
        <v/>
      </c>
      <c r="H881" s="15">
        <f>IFERROR(IF(D881="","",D881/INDEX($D:$D,MATCH(EDATE($A881,-1),$A:$A,0))-1),"")</f>
        <v/>
      </c>
      <c r="I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61.3</v>
      </c>
      <c r="E882" s="18" t="n"/>
      <c r="F882" s="18" t="n">
        <v>54.9</v>
      </c>
      <c r="G882" s="18">
        <f>IF(D882="","",D882*'参数与说明'!$B$6/45.3592)</f>
        <v/>
      </c>
      <c r="H882" s="19">
        <f>IFERROR(IF(D882="","",D882/INDEX($D:$D,MATCH(EDATE($A882,-1),$A:$A,0))-1),"")</f>
        <v/>
      </c>
      <c r="I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55.8</v>
      </c>
      <c r="E883" s="14" t="n"/>
      <c r="F883" s="14" t="n">
        <v>52.5</v>
      </c>
      <c r="G883" s="14">
        <f>IF(D883="","",D883*'参数与说明'!$B$6/45.3592)</f>
        <v/>
      </c>
      <c r="H883" s="15">
        <f>IFERROR(IF(D883="","",D883/INDEX($D:$D,MATCH(EDATE($A883,-1),$A:$A,0))-1),"")</f>
        <v/>
      </c>
      <c r="I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52.5</v>
      </c>
      <c r="E884" s="18" t="n"/>
      <c r="F884" s="18" t="n">
        <v>47.3</v>
      </c>
      <c r="G884" s="18">
        <f>IF(D884="","",D884*'参数与说明'!$B$6/45.3592)</f>
        <v/>
      </c>
      <c r="H884" s="19">
        <f>IFERROR(IF(D884="","",D884/INDEX($D:$D,MATCH(EDATE($A884,-1),$A:$A,0))-1),"")</f>
        <v/>
      </c>
      <c r="I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53.6</v>
      </c>
      <c r="E885" s="14" t="n"/>
      <c r="F885" s="14" t="n">
        <v>45.8</v>
      </c>
      <c r="G885" s="14">
        <f>IF(D885="","",D885*'参数与说明'!$B$6/45.3592)</f>
        <v/>
      </c>
      <c r="H885" s="15">
        <f>IFERROR(IF(D885="","",D885/INDEX($D:$D,MATCH(EDATE($A885,-1),$A:$A,0))-1),"")</f>
        <v/>
      </c>
      <c r="I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55.3</v>
      </c>
      <c r="E886" s="18" t="n"/>
      <c r="F886" s="18" t="n">
        <v>48.3</v>
      </c>
      <c r="G886" s="18">
        <f>IF(D886="","",D886*'参数与说明'!$B$6/45.3592)</f>
        <v/>
      </c>
      <c r="H886" s="19">
        <f>IFERROR(IF(D886="","",D886/INDEX($D:$D,MATCH(EDATE($A886,-1),$A:$A,0))-1),"")</f>
        <v/>
      </c>
      <c r="I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56.1</v>
      </c>
      <c r="E887" s="14" t="n"/>
      <c r="F887" s="14" t="n">
        <v>51.7</v>
      </c>
      <c r="G887" s="14">
        <f>IF(D887="","",D887*'参数与说明'!$B$6/45.3592)</f>
        <v/>
      </c>
      <c r="H887" s="15">
        <f>IFERROR(IF(D887="","",D887/INDEX($D:$D,MATCH(EDATE($A887,-1),$A:$A,0))-1),"")</f>
        <v/>
      </c>
      <c r="I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50.4</v>
      </c>
      <c r="E888" s="18" t="n"/>
      <c r="F888" s="18" t="n">
        <v>47.4</v>
      </c>
      <c r="G888" s="18">
        <f>IF(D888="","",D888*'参数与说明'!$B$6/45.3592)</f>
        <v/>
      </c>
      <c r="H888" s="19">
        <f>IFERROR(IF(D888="","",D888/INDEX($D:$D,MATCH(EDATE($A888,-1),$A:$A,0))-1),"")</f>
        <v/>
      </c>
      <c r="I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46.9</v>
      </c>
      <c r="E889" s="14" t="n"/>
      <c r="F889" s="14" t="n">
        <v>43.7</v>
      </c>
      <c r="G889" s="14">
        <f>IF(D889="","",D889*'参数与说明'!$B$6/45.3592)</f>
        <v/>
      </c>
      <c r="H889" s="15">
        <f>IFERROR(IF(D889="","",D889/INDEX($D:$D,MATCH(EDATE($A889,-1),$A:$A,0))-1),"")</f>
        <v/>
      </c>
      <c r="I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45.9</v>
      </c>
      <c r="E890" s="18" t="n"/>
      <c r="F890" s="18" t="n">
        <v>41</v>
      </c>
      <c r="G890" s="18">
        <f>IF(D890="","",D890*'参数与说明'!$B$6/45.3592)</f>
        <v/>
      </c>
      <c r="H890" s="19">
        <f>IFERROR(IF(D890="","",D890/INDEX($D:$D,MATCH(EDATE($A890,-1),$A:$A,0))-1),"")</f>
        <v/>
      </c>
      <c r="I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43.9</v>
      </c>
      <c r="E891" s="14" t="n"/>
      <c r="F891" s="14" t="n">
        <v>35.7</v>
      </c>
      <c r="G891" s="14">
        <f>IF(D891="","",D891*'参数与说明'!$B$6/45.3592)</f>
        <v/>
      </c>
      <c r="H891" s="15">
        <f>IFERROR(IF(D891="","",D891/INDEX($D:$D,MATCH(EDATE($A891,-1),$A:$A,0))-1),"")</f>
        <v/>
      </c>
      <c r="I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43.4</v>
      </c>
      <c r="E892" s="18" t="n"/>
      <c r="F892" s="18" t="n">
        <v>33.9</v>
      </c>
      <c r="G892" s="18">
        <f>IF(D892="","",D892*'参数与说明'!$B$6/45.3592)</f>
        <v/>
      </c>
      <c r="H892" s="19">
        <f>IFERROR(IF(D892="","",D892/INDEX($D:$D,MATCH(EDATE($A892,-1),$A:$A,0))-1),"")</f>
        <v/>
      </c>
      <c r="I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46.7</v>
      </c>
      <c r="E893" s="14" t="n"/>
      <c r="F893" s="14" t="n">
        <v>36.7</v>
      </c>
      <c r="G893" s="14">
        <f>IF(D893="","",D893*'参数与说明'!$B$6/45.3592)</f>
        <v/>
      </c>
      <c r="H893" s="15">
        <f>IFERROR(IF(D893="","",D893/INDEX($D:$D,MATCH(EDATE($A893,-1),$A:$A,0))-1),"")</f>
        <v/>
      </c>
      <c r="I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44.1</v>
      </c>
      <c r="E894" s="18" t="n"/>
      <c r="F894" s="18" t="n">
        <v>38.5</v>
      </c>
      <c r="G894" s="18">
        <f>IF(D894="","",D894*'参数与说明'!$B$6/45.3592)</f>
        <v/>
      </c>
      <c r="H894" s="19">
        <f>IFERROR(IF(D894="","",D894/INDEX($D:$D,MATCH(EDATE($A894,-1),$A:$A,0))-1),"")</f>
        <v/>
      </c>
      <c r="I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40.4</v>
      </c>
      <c r="E895" s="14" t="n"/>
      <c r="F895" s="14" t="n">
        <v>35.7</v>
      </c>
      <c r="G895" s="14">
        <f>IF(D895="","",D895*'参数与说明'!$B$6/45.3592)</f>
        <v/>
      </c>
      <c r="H895" s="15">
        <f>IFERROR(IF(D895="","",D895/INDEX($D:$D,MATCH(EDATE($A895,-1),$A:$A,0))-1),"")</f>
        <v/>
      </c>
      <c r="I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37.5</v>
      </c>
      <c r="E896" s="18" t="n"/>
      <c r="F896" s="18" t="n">
        <v>32</v>
      </c>
      <c r="G896" s="18">
        <f>IF(D896="","",D896*'参数与说明'!$B$6/45.3592)</f>
        <v/>
      </c>
      <c r="H896" s="19">
        <f>IFERROR(IF(D896="","",D896/INDEX($D:$D,MATCH(EDATE($A896,-1),$A:$A,0))-1),"")</f>
        <v/>
      </c>
      <c r="I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44.2</v>
      </c>
      <c r="E897" s="14" t="n"/>
      <c r="F897" s="14" t="n">
        <v>36.2</v>
      </c>
      <c r="G897" s="14">
        <f>IF(D897="","",D897*'参数与说明'!$B$6/45.3592)</f>
        <v/>
      </c>
      <c r="H897" s="15">
        <f>IFERROR(IF(D897="","",D897/INDEX($D:$D,MATCH(EDATE($A897,-1),$A:$A,0))-1),"")</f>
        <v/>
      </c>
      <c r="I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48.4</v>
      </c>
      <c r="E898" s="18" t="n"/>
      <c r="F898" s="18" t="n">
        <v>42.9</v>
      </c>
      <c r="G898" s="18">
        <f>IF(D898="","",D898*'参数与说明'!$B$6/45.3592)</f>
        <v/>
      </c>
      <c r="H898" s="19">
        <f>IFERROR(IF(D898="","",D898/INDEX($D:$D,MATCH(EDATE($A898,-1),$A:$A,0))-1),"")</f>
        <v/>
      </c>
      <c r="I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45.4</v>
      </c>
      <c r="E899" s="14" t="n"/>
      <c r="F899" s="14" t="n">
        <v>42.3</v>
      </c>
      <c r="G899" s="14">
        <f>IF(D899="","",D899*'参数与说明'!$B$6/45.3592)</f>
        <v/>
      </c>
      <c r="H899" s="15">
        <f>IFERROR(IF(D899="","",D899/INDEX($D:$D,MATCH(EDATE($A899,-1),$A:$A,0))-1),"")</f>
        <v/>
      </c>
      <c r="I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45.8</v>
      </c>
      <c r="E900" s="18" t="n"/>
      <c r="F900" s="18" t="n">
        <v>43</v>
      </c>
      <c r="G900" s="18">
        <f>IF(D900="","",D900*'参数与说明'!$B$6/45.3592)</f>
        <v/>
      </c>
      <c r="H900" s="19">
        <f>IFERROR(IF(D900="","",D900/INDEX($D:$D,MATCH(EDATE($A900,-1),$A:$A,0))-1),"")</f>
        <v/>
      </c>
      <c r="I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47.5</v>
      </c>
      <c r="E901" s="14" t="n"/>
      <c r="F901" s="14" t="n">
        <v>44.1</v>
      </c>
      <c r="G901" s="14">
        <f>IF(D901="","",D901*'参数与说明'!$B$6/45.3592)</f>
        <v/>
      </c>
      <c r="H901" s="15">
        <f>IFERROR(IF(D901="","",D901/INDEX($D:$D,MATCH(EDATE($A901,-1),$A:$A,0))-1),"")</f>
        <v/>
      </c>
      <c r="I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47.2</v>
      </c>
      <c r="E902" s="18" t="n"/>
      <c r="F902" s="18" t="n">
        <v>42.6</v>
      </c>
      <c r="G902" s="18">
        <f>IF(D902="","",D902*'参数与说明'!$B$6/45.3592)</f>
        <v/>
      </c>
      <c r="H902" s="19">
        <f>IFERROR(IF(D902="","",D902/INDEX($D:$D,MATCH(EDATE($A902,-1),$A:$A,0))-1),"")</f>
        <v/>
      </c>
      <c r="I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49</v>
      </c>
      <c r="E903" s="14" t="n"/>
      <c r="F903" s="14" t="n">
        <v>42.1</v>
      </c>
      <c r="G903" s="14">
        <f>IF(D903="","",D903*'参数与说明'!$B$6/45.3592)</f>
        <v/>
      </c>
      <c r="H903" s="15">
        <f>IFERROR(IF(D903="","",D903/INDEX($D:$D,MATCH(EDATE($A903,-1),$A:$A,0))-1),"")</f>
        <v/>
      </c>
      <c r="I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52</v>
      </c>
      <c r="E904" s="18" t="n"/>
      <c r="F904" s="18" t="n">
        <v>42.9</v>
      </c>
      <c r="G904" s="18">
        <f>IF(D904="","",D904*'参数与说明'!$B$6/45.3592)</f>
        <v/>
      </c>
      <c r="H904" s="19">
        <f>IFERROR(IF(D904="","",D904/INDEX($D:$D,MATCH(EDATE($A904,-1),$A:$A,0))-1),"")</f>
        <v/>
      </c>
      <c r="I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50.5</v>
      </c>
      <c r="E905" s="14" t="n"/>
      <c r="F905" s="14" t="n">
        <v>42.7</v>
      </c>
      <c r="G905" s="14">
        <f>IF(D905="","",D905*'参数与说明'!$B$6/45.3592)</f>
        <v/>
      </c>
      <c r="H905" s="15">
        <f>IFERROR(IF(D905="","",D905/INDEX($D:$D,MATCH(EDATE($A905,-1),$A:$A,0))-1),"")</f>
        <v/>
      </c>
      <c r="I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46.3</v>
      </c>
      <c r="E906" s="18" t="n"/>
      <c r="F906" s="18" t="n">
        <v>40.2</v>
      </c>
      <c r="G906" s="18">
        <f>IF(D906="","",D906*'参数与说明'!$B$6/45.3592)</f>
        <v/>
      </c>
      <c r="H906" s="19">
        <f>IFERROR(IF(D906="","",D906/INDEX($D:$D,MATCH(EDATE($A906,-1),$A:$A,0))-1),"")</f>
        <v/>
      </c>
      <c r="I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43.6</v>
      </c>
      <c r="E907" s="14" t="n"/>
      <c r="F907" s="14" t="n">
        <v>38.6</v>
      </c>
      <c r="G907" s="14">
        <f>IF(D907="","",D907*'参数与说明'!$B$6/45.3592)</f>
        <v/>
      </c>
      <c r="H907" s="15">
        <f>IFERROR(IF(D907="","",D907/INDEX($D:$D,MATCH(EDATE($A907,-1),$A:$A,0))-1),"")</f>
        <v/>
      </c>
      <c r="I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47</v>
      </c>
      <c r="E908" s="18" t="n"/>
      <c r="F908" s="18" t="n">
        <v>40.6</v>
      </c>
      <c r="G908" s="18">
        <f>IF(D908="","",D908*'参数与说明'!$B$6/45.3592)</f>
        <v/>
      </c>
      <c r="H908" s="19">
        <f>IFERROR(IF(D908="","",D908/INDEX($D:$D,MATCH(EDATE($A908,-1),$A:$A,0))-1),"")</f>
        <v/>
      </c>
      <c r="I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48.6</v>
      </c>
      <c r="E909" s="14" t="n"/>
      <c r="F909" s="14" t="n">
        <v>39.4</v>
      </c>
      <c r="G909" s="14">
        <f>IF(D909="","",D909*'参数与说明'!$B$6/45.3592)</f>
        <v/>
      </c>
      <c r="H909" s="15">
        <f>IFERROR(IF(D909="","",D909/INDEX($D:$D,MATCH(EDATE($A909,-1),$A:$A,0))-1),"")</f>
        <v/>
      </c>
      <c r="I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48.4</v>
      </c>
      <c r="E910" s="18" t="n"/>
      <c r="F910" s="18" t="n">
        <v>41.1</v>
      </c>
      <c r="G910" s="18">
        <f>IF(D910="","",D910*'参数与说明'!$B$6/45.3592)</f>
        <v/>
      </c>
      <c r="H910" s="19">
        <f>IFERROR(IF(D910="","",D910/INDEX($D:$D,MATCH(EDATE($A910,-1),$A:$A,0))-1),"")</f>
        <v/>
      </c>
      <c r="I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48.3</v>
      </c>
      <c r="E911" s="14" t="n"/>
      <c r="F911" s="14" t="n">
        <v>44</v>
      </c>
      <c r="G911" s="14">
        <f>IF(D911="","",D911*'参数与说明'!$B$6/45.3592)</f>
        <v/>
      </c>
      <c r="H911" s="15">
        <f>IFERROR(IF(D911="","",D911/INDEX($D:$D,MATCH(EDATE($A911,-1),$A:$A,0))-1),"")</f>
        <v/>
      </c>
      <c r="I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43.6</v>
      </c>
      <c r="E912" s="18" t="n"/>
      <c r="F912" s="18" t="n">
        <v>41.1</v>
      </c>
      <c r="G912" s="18">
        <f>IF(D912="","",D912*'参数与说明'!$B$6/45.3592)</f>
        <v/>
      </c>
      <c r="H912" s="19">
        <f>IFERROR(IF(D912="","",D912/INDEX($D:$D,MATCH(EDATE($A912,-1),$A:$A,0))-1),"")</f>
        <v/>
      </c>
      <c r="I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41.2</v>
      </c>
      <c r="E913" s="14" t="n"/>
      <c r="F913" s="14" t="n">
        <v>39.9</v>
      </c>
      <c r="G913" s="14">
        <f>IF(D913="","",D913*'参数与说明'!$B$6/45.3592)</f>
        <v/>
      </c>
      <c r="H913" s="15">
        <f>IFERROR(IF(D913="","",D913/INDEX($D:$D,MATCH(EDATE($A913,-1),$A:$A,0))-1),"")</f>
        <v/>
      </c>
      <c r="I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41.4</v>
      </c>
      <c r="E914" s="18" t="n"/>
      <c r="F914" s="18" t="n">
        <v>36.9</v>
      </c>
      <c r="G914" s="18">
        <f>IF(D914="","",D914*'参数与说明'!$B$6/45.3592)</f>
        <v/>
      </c>
      <c r="H914" s="19">
        <f>IFERROR(IF(D914="","",D914/INDEX($D:$D,MATCH(EDATE($A914,-1),$A:$A,0))-1),"")</f>
        <v/>
      </c>
      <c r="I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44.6</v>
      </c>
      <c r="E915" s="14" t="n"/>
      <c r="F915" s="14" t="n">
        <v>37</v>
      </c>
      <c r="G915" s="14">
        <f>IF(D915="","",D915*'参数与说明'!$B$6/45.3592)</f>
        <v/>
      </c>
      <c r="H915" s="15">
        <f>IFERROR(IF(D915="","",D915/INDEX($D:$D,MATCH(EDATE($A915,-1),$A:$A,0))-1),"")</f>
        <v/>
      </c>
      <c r="I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45.7</v>
      </c>
      <c r="E916" s="18" t="n"/>
      <c r="F916" s="18" t="n">
        <v>36.6</v>
      </c>
      <c r="G916" s="18">
        <f>IF(D916="","",D916*'参数与说明'!$B$6/45.3592)</f>
        <v/>
      </c>
      <c r="H916" s="19">
        <f>IFERROR(IF(D916="","",D916/INDEX($D:$D,MATCH(EDATE($A916,-1),$A:$A,0))-1),"")</f>
        <v/>
      </c>
      <c r="I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42.5</v>
      </c>
      <c r="E917" s="14" t="n"/>
      <c r="F917" s="14" t="n">
        <v>35.3</v>
      </c>
      <c r="G917" s="14">
        <f>IF(D917="","",D917*'参数与说明'!$B$6/45.3592)</f>
        <v/>
      </c>
      <c r="H917" s="15">
        <f>IFERROR(IF(D917="","",D917/INDEX($D:$D,MATCH(EDATE($A917,-1),$A:$A,0))-1),"")</f>
        <v/>
      </c>
      <c r="I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39.7</v>
      </c>
      <c r="E918" s="18" t="n"/>
      <c r="F918" s="18" t="n">
        <v>34.1</v>
      </c>
      <c r="G918" s="18">
        <f>IF(D918="","",D918*'参数与说明'!$B$6/45.3592)</f>
        <v/>
      </c>
      <c r="H918" s="19">
        <f>IFERROR(IF(D918="","",D918/INDEX($D:$D,MATCH(EDATE($A918,-1),$A:$A,0))-1),"")</f>
        <v/>
      </c>
      <c r="I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43.1</v>
      </c>
      <c r="E919" s="14" t="n"/>
      <c r="F919" s="14" t="n">
        <v>36</v>
      </c>
      <c r="G919" s="14">
        <f>IF(D919="","",D919*'参数与说明'!$B$6/45.3592)</f>
        <v/>
      </c>
      <c r="H919" s="15">
        <f>IFERROR(IF(D919="","",D919/INDEX($D:$D,MATCH(EDATE($A919,-1),$A:$A,0))-1),"")</f>
        <v/>
      </c>
      <c r="I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43.2</v>
      </c>
      <c r="E920" s="18" t="n"/>
      <c r="F920" s="18" t="n">
        <v>37.2</v>
      </c>
      <c r="G920" s="18">
        <f>IF(D920="","",D920*'参数与说明'!$B$6/45.3592)</f>
        <v/>
      </c>
      <c r="H920" s="19">
        <f>IFERROR(IF(D920="","",D920/INDEX($D:$D,MATCH(EDATE($A920,-1),$A:$A,0))-1),"")</f>
        <v/>
      </c>
      <c r="I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45.3</v>
      </c>
      <c r="E921" s="14" t="n"/>
      <c r="F921" s="14" t="n">
        <v>36.7</v>
      </c>
      <c r="G921" s="14">
        <f>IF(D921="","",D921*'参数与说明'!$B$6/45.3592)</f>
        <v/>
      </c>
      <c r="H921" s="15">
        <f>IFERROR(IF(D921="","",D921/INDEX($D:$D,MATCH(EDATE($A921,-1),$A:$A,0))-1),"")</f>
        <v/>
      </c>
      <c r="I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44.3</v>
      </c>
      <c r="E922" s="18" t="n"/>
      <c r="F922" s="18" t="n">
        <v>36.5</v>
      </c>
      <c r="G922" s="18">
        <f>IF(D922="","",D922*'参数与说明'!$B$6/45.3592)</f>
        <v/>
      </c>
      <c r="H922" s="19">
        <f>IFERROR(IF(D922="","",D922/INDEX($D:$D,MATCH(EDATE($A922,-1),$A:$A,0))-1),"")</f>
        <v/>
      </c>
      <c r="I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42.8</v>
      </c>
      <c r="E923" s="14" t="n"/>
      <c r="F923" s="14" t="n">
        <v>37.5</v>
      </c>
      <c r="G923" s="14">
        <f>IF(D923="","",D923*'参数与说明'!$B$6/45.3592)</f>
        <v/>
      </c>
      <c r="H923" s="15">
        <f>IFERROR(IF(D923="","",D923/INDEX($D:$D,MATCH(EDATE($A923,-1),$A:$A,0))-1),"")</f>
        <v/>
      </c>
      <c r="I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40.4</v>
      </c>
      <c r="E924" s="18" t="n"/>
      <c r="F924" s="18" t="n">
        <v>36.8</v>
      </c>
      <c r="G924" s="18">
        <f>IF(D924="","",D924*'参数与说明'!$B$6/45.3592)</f>
        <v/>
      </c>
      <c r="H924" s="19">
        <f>IFERROR(IF(D924="","",D924/INDEX($D:$D,MATCH(EDATE($A924,-1),$A:$A,0))-1),"")</f>
        <v/>
      </c>
      <c r="I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39.7</v>
      </c>
      <c r="E925" s="14" t="n"/>
      <c r="F925" s="14" t="n">
        <v>37</v>
      </c>
      <c r="G925" s="14">
        <f>IF(D925="","",D925*'参数与说明'!$B$6/45.3592)</f>
        <v/>
      </c>
      <c r="H925" s="15">
        <f>IFERROR(IF(D925="","",D925/INDEX($D:$D,MATCH(EDATE($A925,-1),$A:$A,0))-1),"")</f>
        <v/>
      </c>
      <c r="I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45.8</v>
      </c>
      <c r="E926" s="18" t="n"/>
      <c r="F926" s="18" t="n">
        <v>39.7</v>
      </c>
      <c r="G926" s="18">
        <f>IF(D926="","",D926*'参数与说明'!$B$6/45.3592)</f>
        <v/>
      </c>
      <c r="H926" s="19">
        <f>IFERROR(IF(D926="","",D926/INDEX($D:$D,MATCH(EDATE($A926,-1),$A:$A,0))-1),"")</f>
        <v/>
      </c>
      <c r="I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52.6</v>
      </c>
      <c r="E927" s="14" t="n"/>
      <c r="F927" s="14" t="n">
        <v>44.4</v>
      </c>
      <c r="G927" s="14">
        <f>IF(D927="","",D927*'参数与说明'!$B$6/45.3592)</f>
        <v/>
      </c>
      <c r="H927" s="15">
        <f>IFERROR(IF(D927="","",D927/INDEX($D:$D,MATCH(EDATE($A927,-1),$A:$A,0))-1),"")</f>
        <v/>
      </c>
      <c r="I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59</v>
      </c>
      <c r="E928" s="18" t="n"/>
      <c r="F928" s="18" t="n">
        <v>48.8</v>
      </c>
      <c r="G928" s="18">
        <f>IF(D928="","",D928*'参数与说明'!$B$6/45.3592)</f>
        <v/>
      </c>
      <c r="H928" s="19">
        <f>IFERROR(IF(D928="","",D928/INDEX($D:$D,MATCH(EDATE($A928,-1),$A:$A,0))-1),"")</f>
        <v/>
      </c>
      <c r="I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62.1</v>
      </c>
      <c r="E929" s="14" t="n"/>
      <c r="F929" s="14" t="n">
        <v>53.6</v>
      </c>
      <c r="G929" s="14">
        <f>IF(D929="","",D929*'参数与说明'!$B$6/45.3592)</f>
        <v/>
      </c>
      <c r="H929" s="15">
        <f>IFERROR(IF(D929="","",D929/INDEX($D:$D,MATCH(EDATE($A929,-1),$A:$A,0))-1),"")</f>
        <v/>
      </c>
      <c r="I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58.3</v>
      </c>
      <c r="E930" s="18" t="n"/>
      <c r="F930" s="18" t="n">
        <v>53.6</v>
      </c>
      <c r="G930" s="18">
        <f>IF(D930="","",D930*'参数与说明'!$B$6/45.3592)</f>
        <v/>
      </c>
      <c r="H930" s="19">
        <f>IFERROR(IF(D930="","",D930/INDEX($D:$D,MATCH(EDATE($A930,-1),$A:$A,0))-1),"")</f>
        <v/>
      </c>
      <c r="I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53.1</v>
      </c>
      <c r="E931" s="14" t="n"/>
      <c r="F931" s="14" t="n">
        <v>48.5</v>
      </c>
      <c r="G931" s="14">
        <f>IF(D931="","",D931*'参数与说明'!$B$6/45.3592)</f>
        <v/>
      </c>
      <c r="H931" s="15">
        <f>IFERROR(IF(D931="","",D931/INDEX($D:$D,MATCH(EDATE($A931,-1),$A:$A,0))-1),"")</f>
        <v/>
      </c>
      <c r="I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52.8</v>
      </c>
      <c r="E932" s="18" t="n"/>
      <c r="F932" s="18" t="n">
        <v>46.6</v>
      </c>
      <c r="G932" s="18">
        <f>IF(D932="","",D932*'参数与说明'!$B$6/45.3592)</f>
        <v/>
      </c>
      <c r="H932" s="19">
        <f>IFERROR(IF(D932="","",D932/INDEX($D:$D,MATCH(EDATE($A932,-1),$A:$A,0))-1),"")</f>
        <v/>
      </c>
      <c r="I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50.6</v>
      </c>
      <c r="E933" s="14" t="n"/>
      <c r="F933" s="14" t="n">
        <v>42</v>
      </c>
      <c r="G933" s="14">
        <f>IF(D933="","",D933*'参数与说明'!$B$6/45.3592)</f>
        <v/>
      </c>
      <c r="H933" s="15">
        <f>IFERROR(IF(D933="","",D933/INDEX($D:$D,MATCH(EDATE($A933,-1),$A:$A,0))-1),"")</f>
        <v/>
      </c>
      <c r="I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47.2</v>
      </c>
      <c r="E934" s="18" t="n"/>
      <c r="F934" s="18" t="n">
        <v>42.2</v>
      </c>
      <c r="G934" s="18">
        <f>IF(D934="","",D934*'参数与说明'!$B$6/45.3592)</f>
        <v/>
      </c>
      <c r="H934" s="19">
        <f>IFERROR(IF(D934="","",D934/INDEX($D:$D,MATCH(EDATE($A934,-1),$A:$A,0))-1),"")</f>
        <v/>
      </c>
      <c r="I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48.2</v>
      </c>
      <c r="E935" s="14" t="n"/>
      <c r="F935" s="14" t="n">
        <v>41.4</v>
      </c>
      <c r="G935" s="14">
        <f>IF(D935="","",D935*'参数与说明'!$B$6/45.3592)</f>
        <v/>
      </c>
      <c r="H935" s="15">
        <f>IFERROR(IF(D935="","",D935/INDEX($D:$D,MATCH(EDATE($A935,-1),$A:$A,0))-1),"")</f>
        <v/>
      </c>
      <c r="I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47.4</v>
      </c>
      <c r="E936" s="18" t="n"/>
      <c r="F936" s="18" t="n">
        <v>41.5</v>
      </c>
      <c r="G936" s="18">
        <f>IF(D936="","",D936*'参数与说明'!$B$6/45.3592)</f>
        <v/>
      </c>
      <c r="H936" s="19">
        <f>IFERROR(IF(D936="","",D936/INDEX($D:$D,MATCH(EDATE($A936,-1),$A:$A,0))-1),"")</f>
        <v/>
      </c>
      <c r="I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50.8</v>
      </c>
      <c r="E937" s="14" t="n"/>
      <c r="F937" s="14" t="n">
        <v>44.7</v>
      </c>
      <c r="G937" s="14">
        <f>IF(D937="","",D937*'参数与说明'!$B$6/45.3592)</f>
        <v/>
      </c>
      <c r="H937" s="15">
        <f>IFERROR(IF(D937="","",D937/INDEX($D:$D,MATCH(EDATE($A937,-1),$A:$A,0))-1),"")</f>
        <v/>
      </c>
      <c r="I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54.4</v>
      </c>
      <c r="E938" s="18" t="n"/>
      <c r="F938" s="18" t="n">
        <v>45.3</v>
      </c>
      <c r="G938" s="18">
        <f>IF(D938="","",D938*'参数与说明'!$B$6/45.3592)</f>
        <v/>
      </c>
      <c r="H938" s="19">
        <f>IFERROR(IF(D938="","",D938/INDEX($D:$D,MATCH(EDATE($A938,-1),$A:$A,0))-1),"")</f>
        <v/>
      </c>
      <c r="I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59.2</v>
      </c>
      <c r="E939" s="14" t="n"/>
      <c r="F939" s="14" t="n">
        <v>45.1</v>
      </c>
      <c r="G939" s="14">
        <f>IF(D939="","",D939*'参数与说明'!$B$6/45.3592)</f>
        <v/>
      </c>
      <c r="H939" s="15">
        <f>IFERROR(IF(D939="","",D939/INDEX($D:$D,MATCH(EDATE($A939,-1),$A:$A,0))-1),"")</f>
        <v/>
      </c>
      <c r="I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59.6</v>
      </c>
      <c r="E940" s="18" t="n"/>
      <c r="F940" s="18" t="n">
        <v>46.5</v>
      </c>
      <c r="G940" s="18">
        <f>IF(D940="","",D940*'参数与说明'!$B$6/45.3592)</f>
        <v/>
      </c>
      <c r="H940" s="19">
        <f>IFERROR(IF(D940="","",D940/INDEX($D:$D,MATCH(EDATE($A940,-1),$A:$A,0))-1),"")</f>
        <v/>
      </c>
      <c r="I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58.6</v>
      </c>
      <c r="E941" s="14" t="n"/>
      <c r="F941" s="14" t="n">
        <v>48.1</v>
      </c>
      <c r="G941" s="14">
        <f>IF(D941="","",D941*'参数与说明'!$B$6/45.3592)</f>
        <v/>
      </c>
      <c r="H941" s="15">
        <f>IFERROR(IF(D941="","",D941/INDEX($D:$D,MATCH(EDATE($A941,-1),$A:$A,0))-1),"")</f>
        <v/>
      </c>
      <c r="I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54.3</v>
      </c>
      <c r="E942" s="18" t="n"/>
      <c r="F942" s="18" t="n">
        <v>48.1</v>
      </c>
      <c r="G942" s="18">
        <f>IF(D942="","",D942*'参数与说明'!$B$6/45.3592)</f>
        <v/>
      </c>
      <c r="H942" s="19">
        <f>IFERROR(IF(D942="","",D942/INDEX($D:$D,MATCH(EDATE($A942,-1),$A:$A,0))-1),"")</f>
        <v/>
      </c>
      <c r="I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48.9</v>
      </c>
      <c r="E943" s="14" t="n"/>
      <c r="F943" s="14" t="n">
        <v>43.5</v>
      </c>
      <c r="G943" s="14">
        <f>IF(D943="","",D943*'参数与说明'!$B$6/45.3592)</f>
        <v/>
      </c>
      <c r="H943" s="15">
        <f>IFERROR(IF(D943="","",D943/INDEX($D:$D,MATCH(EDATE($A943,-1),$A:$A,0))-1),"")</f>
        <v/>
      </c>
      <c r="I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40.6</v>
      </c>
      <c r="E944" s="18" t="n"/>
      <c r="F944" s="18" t="n">
        <v>33.9</v>
      </c>
      <c r="G944" s="18">
        <f>IF(D944="","",D944*'参数与说明'!$B$6/45.3592)</f>
        <v/>
      </c>
      <c r="H944" s="19">
        <f>IFERROR(IF(D944="","",D944/INDEX($D:$D,MATCH(EDATE($A944,-1),$A:$A,0))-1),"")</f>
        <v/>
      </c>
      <c r="I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40.3</v>
      </c>
      <c r="E945" s="14" t="n"/>
      <c r="F945" s="14" t="n">
        <v>31.1</v>
      </c>
      <c r="G945" s="14">
        <f>IF(D945="","",D945*'参数与说明'!$B$6/45.3592)</f>
        <v/>
      </c>
      <c r="H945" s="15">
        <f>IFERROR(IF(D945="","",D945/INDEX($D:$D,MATCH(EDATE($A945,-1),$A:$A,0))-1),"")</f>
        <v/>
      </c>
      <c r="I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43</v>
      </c>
      <c r="E946" s="18" t="n"/>
      <c r="F946" s="18" t="n">
        <v>33</v>
      </c>
      <c r="G946" s="18">
        <f>IF(D946="","",D946*'参数与说明'!$B$6/45.3592)</f>
        <v/>
      </c>
      <c r="H946" s="19">
        <f>IFERROR(IF(D946="","",D946/INDEX($D:$D,MATCH(EDATE($A946,-1),$A:$A,0))-1),"")</f>
        <v/>
      </c>
      <c r="I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45.8</v>
      </c>
      <c r="E947" s="14" t="n"/>
      <c r="F947" s="14" t="n">
        <v>35.2</v>
      </c>
      <c r="G947" s="14">
        <f>IF(D947="","",D947*'参数与说明'!$B$6/45.3592)</f>
        <v/>
      </c>
      <c r="H947" s="15">
        <f>IFERROR(IF(D947="","",D947/INDEX($D:$D,MATCH(EDATE($A947,-1),$A:$A,0))-1),"")</f>
        <v/>
      </c>
      <c r="I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42.2</v>
      </c>
      <c r="E948" s="18" t="n"/>
      <c r="F948" s="18" t="n">
        <v>33.9</v>
      </c>
      <c r="G948" s="18">
        <f>IF(D948="","",D948*'参数与说明'!$B$6/45.3592)</f>
        <v/>
      </c>
      <c r="H948" s="19">
        <f>IFERROR(IF(D948="","",D948/INDEX($D:$D,MATCH(EDATE($A948,-1),$A:$A,0))-1),"")</f>
        <v/>
      </c>
      <c r="I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41.9</v>
      </c>
      <c r="E949" s="14" t="n"/>
      <c r="F949" s="14" t="n">
        <v>34.4</v>
      </c>
      <c r="G949" s="14">
        <f>IF(D949="","",D949*'参数与说明'!$B$6/45.3592)</f>
        <v/>
      </c>
      <c r="H949" s="15">
        <f>IFERROR(IF(D949="","",D949/INDEX($D:$D,MATCH(EDATE($A949,-1),$A:$A,0))-1),"")</f>
        <v/>
      </c>
      <c r="I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46.3</v>
      </c>
      <c r="E950" s="18" t="n"/>
      <c r="F950" s="18" t="n">
        <v>36.3</v>
      </c>
      <c r="G950" s="18">
        <f>IF(D950="","",D950*'参数与说明'!$B$6/45.3592)</f>
        <v/>
      </c>
      <c r="H950" s="19">
        <f>IFERROR(IF(D950="","",D950/INDEX($D:$D,MATCH(EDATE($A950,-1),$A:$A,0))-1),"")</f>
        <v/>
      </c>
      <c r="I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47.1</v>
      </c>
      <c r="E951" s="14" t="n"/>
      <c r="F951" s="14" t="n">
        <v>32.9</v>
      </c>
      <c r="G951" s="14">
        <f>IF(D951="","",D951*'参数与说明'!$B$6/45.3592)</f>
        <v/>
      </c>
      <c r="H951" s="15">
        <f>IFERROR(IF(D951="","",D951/INDEX($D:$D,MATCH(EDATE($A951,-1),$A:$A,0))-1),"")</f>
        <v/>
      </c>
      <c r="I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44.1</v>
      </c>
      <c r="E952" s="18" t="n"/>
      <c r="F952" s="18" t="n">
        <v>30.4</v>
      </c>
      <c r="G952" s="18">
        <f>IF(D952="","",D952*'参数与说明'!$B$6/45.3592)</f>
        <v/>
      </c>
      <c r="H952" s="19">
        <f>IFERROR(IF(D952="","",D952/INDEX($D:$D,MATCH(EDATE($A952,-1),$A:$A,0))-1),"")</f>
        <v/>
      </c>
      <c r="I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44.7</v>
      </c>
      <c r="E953" s="14" t="n"/>
      <c r="F953" s="14" t="n">
        <v>32.8</v>
      </c>
      <c r="G953" s="14">
        <f>IF(D953="","",D953*'参数与说明'!$B$6/45.3592)</f>
        <v/>
      </c>
      <c r="H953" s="15">
        <f>IFERROR(IF(D953="","",D953/INDEX($D:$D,MATCH(EDATE($A953,-1),$A:$A,0))-1),"")</f>
        <v/>
      </c>
      <c r="I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40.7</v>
      </c>
      <c r="E954" s="18" t="n"/>
      <c r="F954" s="18" t="n">
        <v>31.5</v>
      </c>
      <c r="G954" s="18">
        <f>IF(D954="","",D954*'参数与说明'!$B$6/45.3592)</f>
        <v/>
      </c>
      <c r="H954" s="19">
        <f>IFERROR(IF(D954="","",D954/INDEX($D:$D,MATCH(EDATE($A954,-1),$A:$A,0))-1),"")</f>
        <v/>
      </c>
      <c r="I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38.7</v>
      </c>
      <c r="E955" s="14" t="n"/>
      <c r="F955" s="14" t="n">
        <v>30.2</v>
      </c>
      <c r="G955" s="14">
        <f>IF(D955="","",D955*'参数与说明'!$B$6/45.3592)</f>
        <v/>
      </c>
      <c r="H955" s="15">
        <f>IFERROR(IF(D955="","",D955/INDEX($D:$D,MATCH(EDATE($A955,-1),$A:$A,0))-1),"")</f>
        <v/>
      </c>
      <c r="I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36.2</v>
      </c>
      <c r="E956" s="18" t="n"/>
      <c r="F956" s="18" t="n">
        <v>27</v>
      </c>
      <c r="G956" s="18">
        <f>IF(D956="","",D956*'参数与说明'!$B$6/45.3592)</f>
        <v/>
      </c>
      <c r="H956" s="19">
        <f>IFERROR(IF(D956="","",D956/INDEX($D:$D,MATCH(EDATE($A956,-1),$A:$A,0))-1),"")</f>
        <v/>
      </c>
      <c r="I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39.7</v>
      </c>
      <c r="E957" s="14" t="n"/>
      <c r="F957" s="14" t="n">
        <v>28.2</v>
      </c>
      <c r="G957" s="14">
        <f>IF(D957="","",D957*'参数与说明'!$B$6/45.3592)</f>
        <v/>
      </c>
      <c r="H957" s="15">
        <f>IFERROR(IF(D957="","",D957/INDEX($D:$D,MATCH(EDATE($A957,-1),$A:$A,0))-1),"")</f>
        <v/>
      </c>
      <c r="I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40.9</v>
      </c>
      <c r="E958" s="18" t="n"/>
      <c r="F958" s="18" t="n">
        <v>32.1</v>
      </c>
      <c r="G958" s="18">
        <f>IF(D958="","",D958*'参数与说明'!$B$6/45.3592)</f>
        <v/>
      </c>
      <c r="H958" s="19">
        <f>IFERROR(IF(D958="","",D958/INDEX($D:$D,MATCH(EDATE($A958,-1),$A:$A,0))-1),"")</f>
        <v/>
      </c>
      <c r="I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40.4</v>
      </c>
      <c r="E959" s="14" t="n"/>
      <c r="F959" s="14" t="n">
        <v>33.5</v>
      </c>
      <c r="G959" s="14">
        <f>IF(D959="","",D959*'参数与说明'!$B$6/45.3592)</f>
        <v/>
      </c>
      <c r="H959" s="15">
        <f>IFERROR(IF(D959="","",D959/INDEX($D:$D,MATCH(EDATE($A959,-1),$A:$A,0))-1),"")</f>
        <v/>
      </c>
      <c r="I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39.3</v>
      </c>
      <c r="E960" s="18" t="n"/>
      <c r="F960" s="18" t="n">
        <v>33.2</v>
      </c>
      <c r="G960" s="18">
        <f>IF(D960="","",D960*'参数与说明'!$B$6/45.3592)</f>
        <v/>
      </c>
      <c r="H960" s="19">
        <f>IFERROR(IF(D960="","",D960/INDEX($D:$D,MATCH(EDATE($A960,-1),$A:$A,0))-1),"")</f>
        <v/>
      </c>
      <c r="I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36.9</v>
      </c>
      <c r="E961" s="14" t="n"/>
      <c r="F961" s="14" t="n">
        <v>30.9</v>
      </c>
      <c r="G961" s="14">
        <f>IF(D961="","",D961*'参数与说明'!$B$6/45.3592)</f>
        <v/>
      </c>
      <c r="H961" s="15">
        <f>IFERROR(IF(D961="","",D961/INDEX($D:$D,MATCH(EDATE($A961,-1),$A:$A,0))-1),"")</f>
        <v/>
      </c>
      <c r="I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41.6</v>
      </c>
      <c r="E962" s="18" t="n"/>
      <c r="F962" s="18" t="n">
        <v>32.7</v>
      </c>
      <c r="G962" s="18">
        <f>IF(D962="","",D962*'参数与说明'!$B$6/45.3592)</f>
        <v/>
      </c>
      <c r="H962" s="19">
        <f>IFERROR(IF(D962="","",D962/INDEX($D:$D,MATCH(EDATE($A962,-1),$A:$A,0))-1),"")</f>
        <v/>
      </c>
      <c r="I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45.1</v>
      </c>
      <c r="E963" s="14" t="n"/>
      <c r="F963" s="14" t="n">
        <v>33.4</v>
      </c>
      <c r="G963" s="14">
        <f>IF(D963="","",D963*'参数与说明'!$B$6/45.3592)</f>
        <v/>
      </c>
      <c r="H963" s="15">
        <f>IFERROR(IF(D963="","",D963/INDEX($D:$D,MATCH(EDATE($A963,-1),$A:$A,0))-1),"")</f>
        <v/>
      </c>
      <c r="I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45.9</v>
      </c>
      <c r="E964" s="18" t="n"/>
      <c r="F964" s="18" t="n">
        <v>33.6</v>
      </c>
      <c r="G964" s="18">
        <f>IF(D964="","",D964*'参数与说明'!$B$6/45.3592)</f>
        <v/>
      </c>
      <c r="H964" s="19">
        <f>IFERROR(IF(D964="","",D964/INDEX($D:$D,MATCH(EDATE($A964,-1),$A:$A,0))-1),"")</f>
        <v/>
      </c>
      <c r="I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45.6</v>
      </c>
      <c r="E965" s="14" t="n"/>
      <c r="F965" s="14" t="n">
        <v>34.9</v>
      </c>
      <c r="G965" s="14">
        <f>IF(D965="","",D965*'参数与说明'!$B$6/45.3592)</f>
        <v/>
      </c>
      <c r="H965" s="15">
        <f>IFERROR(IF(D965="","",D965/INDEX($D:$D,MATCH(EDATE($A965,-1),$A:$A,0))-1),"")</f>
        <v/>
      </c>
      <c r="I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43.4</v>
      </c>
      <c r="E966" s="18" t="n"/>
      <c r="F966" s="18" t="n">
        <v>36.1</v>
      </c>
      <c r="G966" s="18">
        <f>IF(D966="","",D966*'参数与说明'!$B$6/45.3592)</f>
        <v/>
      </c>
      <c r="H966" s="19">
        <f>IFERROR(IF(D966="","",D966/INDEX($D:$D,MATCH(EDATE($A966,-1),$A:$A,0))-1),"")</f>
        <v/>
      </c>
      <c r="I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46.6</v>
      </c>
      <c r="E967" s="14" t="n"/>
      <c r="F967" s="14" t="n">
        <v>39.2</v>
      </c>
      <c r="G967" s="14">
        <f>IF(D967="","",D967*'参数与说明'!$B$6/45.3592)</f>
        <v/>
      </c>
      <c r="H967" s="15">
        <f>IFERROR(IF(D967="","",D967/INDEX($D:$D,MATCH(EDATE($A967,-1),$A:$A,0))-1),"")</f>
        <v/>
      </c>
      <c r="I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45</v>
      </c>
      <c r="E968" s="18" t="n"/>
      <c r="F968" s="18" t="n">
        <v>36.8</v>
      </c>
      <c r="G968" s="18">
        <f>IF(D968="","",D968*'参数与说明'!$B$6/45.3592)</f>
        <v/>
      </c>
      <c r="H968" s="19">
        <f>IFERROR(IF(D968="","",D968/INDEX($D:$D,MATCH(EDATE($A968,-1),$A:$A,0))-1),"")</f>
        <v/>
      </c>
      <c r="I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48.2</v>
      </c>
      <c r="E969" s="14" t="n"/>
      <c r="F969" s="14" t="n">
        <v>38.4</v>
      </c>
      <c r="G969" s="14">
        <f>IF(D969="","",D969*'参数与说明'!$B$6/45.3592)</f>
        <v/>
      </c>
      <c r="H969" s="15">
        <f>IFERROR(IF(D969="","",D969/INDEX($D:$D,MATCH(EDATE($A969,-1),$A:$A,0))-1),"")</f>
        <v/>
      </c>
      <c r="I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47.3</v>
      </c>
      <c r="E970" s="18" t="n"/>
      <c r="F970" s="18" t="n">
        <v>41.1</v>
      </c>
      <c r="G970" s="18">
        <f>IF(D970="","",D970*'参数与说明'!$B$6/45.3592)</f>
        <v/>
      </c>
      <c r="H970" s="19">
        <f>IFERROR(IF(D970="","",D970/INDEX($D:$D,MATCH(EDATE($A970,-1),$A:$A,0))-1),"")</f>
        <v/>
      </c>
      <c r="I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48.2</v>
      </c>
      <c r="E971" s="14" t="n"/>
      <c r="F971" s="14" t="n">
        <v>41.7</v>
      </c>
      <c r="G971" s="14">
        <f>IF(D971="","",D971*'参数与说明'!$B$6/45.3592)</f>
        <v/>
      </c>
      <c r="H971" s="15">
        <f>IFERROR(IF(D971="","",D971/INDEX($D:$D,MATCH(EDATE($A971,-1),$A:$A,0))-1),"")</f>
        <v/>
      </c>
      <c r="I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51.3</v>
      </c>
      <c r="E972" s="18" t="n"/>
      <c r="F972" s="18" t="n">
        <v>45.6</v>
      </c>
      <c r="G972" s="18">
        <f>IF(D972="","",D972*'参数与说明'!$B$6/45.3592)</f>
        <v/>
      </c>
      <c r="H972" s="19">
        <f>IFERROR(IF(D972="","",D972/INDEX($D:$D,MATCH(EDATE($A972,-1),$A:$A,0))-1),"")</f>
        <v/>
      </c>
      <c r="I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53.8</v>
      </c>
      <c r="E973" s="14" t="n"/>
      <c r="F973" s="14" t="n">
        <v>48.6</v>
      </c>
      <c r="G973" s="14">
        <f>IF(D973="","",D973*'参数与说明'!$B$6/45.3592)</f>
        <v/>
      </c>
      <c r="H973" s="15">
        <f>IFERROR(IF(D973="","",D973/INDEX($D:$D,MATCH(EDATE($A973,-1),$A:$A,0))-1),"")</f>
        <v/>
      </c>
      <c r="I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61.2</v>
      </c>
      <c r="E974" s="18" t="n"/>
      <c r="F974" s="18" t="n">
        <v>52.8</v>
      </c>
      <c r="G974" s="18">
        <f>IF(D974="","",D974*'参数与说明'!$B$6/45.3592)</f>
        <v/>
      </c>
      <c r="H974" s="19">
        <f>IFERROR(IF(D974="","",D974/INDEX($D:$D,MATCH(EDATE($A974,-1),$A:$A,0))-1),"")</f>
        <v/>
      </c>
      <c r="I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60.3</v>
      </c>
      <c r="E975" s="14" t="n"/>
      <c r="F975" s="14" t="n">
        <v>50.9</v>
      </c>
      <c r="G975" s="14">
        <f>IF(D975="","",D975*'参数与说明'!$B$6/45.3592)</f>
        <v/>
      </c>
      <c r="H975" s="15">
        <f>IFERROR(IF(D975="","",D975/INDEX($D:$D,MATCH(EDATE($A975,-1),$A:$A,0))-1),"")</f>
        <v/>
      </c>
      <c r="I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60.8</v>
      </c>
      <c r="E976" s="18" t="n"/>
      <c r="F976" s="18" t="n">
        <v>47.6</v>
      </c>
      <c r="G976" s="18">
        <f>IF(D976="","",D976*'参数与说明'!$B$6/45.3592)</f>
        <v/>
      </c>
      <c r="H976" s="19">
        <f>IFERROR(IF(D976="","",D976/INDEX($D:$D,MATCH(EDATE($A976,-1),$A:$A,0))-1),"")</f>
        <v/>
      </c>
      <c r="I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55.9</v>
      </c>
      <c r="E977" s="14" t="n"/>
      <c r="F977" s="14" t="n">
        <v>48</v>
      </c>
      <c r="G977" s="14">
        <f>IF(D977="","",D977*'参数与说明'!$B$6/45.3592)</f>
        <v/>
      </c>
      <c r="H977" s="15">
        <f>IFERROR(IF(D977="","",D977/INDEX($D:$D,MATCH(EDATE($A977,-1),$A:$A,0))-1),"")</f>
        <v/>
      </c>
      <c r="I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54.3</v>
      </c>
      <c r="E978" s="18" t="n"/>
      <c r="F978" s="18" t="n">
        <v>45.7</v>
      </c>
      <c r="G978" s="18">
        <f>IF(D978="","",D978*'参数与说明'!$B$6/45.3592)</f>
        <v/>
      </c>
      <c r="H978" s="19">
        <f>IFERROR(IF(D978="","",D978/INDEX($D:$D,MATCH(EDATE($A978,-1),$A:$A,0))-1),"")</f>
        <v/>
      </c>
      <c r="I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56.8</v>
      </c>
      <c r="E979" s="14" t="n"/>
      <c r="F979" s="14" t="n">
        <v>48.1</v>
      </c>
      <c r="G979" s="14">
        <f>IF(D979="","",D979*'参数与说明'!$B$6/45.3592)</f>
        <v/>
      </c>
      <c r="H979" s="15">
        <f>IFERROR(IF(D979="","",D979/INDEX($D:$D,MATCH(EDATE($A979,-1),$A:$A,0))-1),"")</f>
        <v/>
      </c>
      <c r="I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50.2</v>
      </c>
      <c r="E980" s="18" t="n"/>
      <c r="F980" s="18" t="n">
        <v>44.2</v>
      </c>
      <c r="G980" s="18">
        <f>IF(D980="","",D980*'参数与说明'!$B$6/45.3592)</f>
        <v/>
      </c>
      <c r="H980" s="19">
        <f>IFERROR(IF(D980="","",D980/INDEX($D:$D,MATCH(EDATE($A980,-1),$A:$A,0))-1),"")</f>
        <v/>
      </c>
      <c r="I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47.8</v>
      </c>
      <c r="E981" s="14" t="n"/>
      <c r="F981" s="14" t="n">
        <v>40.1</v>
      </c>
      <c r="G981" s="14">
        <f>IF(D981="","",D981*'参数与说明'!$B$6/45.3592)</f>
        <v/>
      </c>
      <c r="H981" s="15">
        <f>IFERROR(IF(D981="","",D981/INDEX($D:$D,MATCH(EDATE($A981,-1),$A:$A,0))-1),"")</f>
        <v/>
      </c>
      <c r="I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50</v>
      </c>
      <c r="E982" s="18" t="n"/>
      <c r="F982" s="18" t="n">
        <v>41.3</v>
      </c>
      <c r="G982" s="18">
        <f>IF(D982="","",D982*'参数与说明'!$B$6/45.3592)</f>
        <v/>
      </c>
      <c r="H982" s="19">
        <f>IFERROR(IF(D982="","",D982/INDEX($D:$D,MATCH(EDATE($A982,-1),$A:$A,0))-1),"")</f>
        <v/>
      </c>
      <c r="I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52.2</v>
      </c>
      <c r="E983" s="14" t="n"/>
      <c r="F983" s="14" t="n">
        <v>42.8</v>
      </c>
      <c r="G983" s="14">
        <f>IF(D983="","",D983*'参数与说明'!$B$6/45.3592)</f>
        <v/>
      </c>
      <c r="H983" s="15">
        <f>IFERROR(IF(D983="","",D983/INDEX($D:$D,MATCH(EDATE($A983,-1),$A:$A,0))-1),"")</f>
        <v/>
      </c>
      <c r="I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51.5</v>
      </c>
      <c r="E984" s="18" t="n"/>
      <c r="F984" s="18" t="n">
        <v>45.7</v>
      </c>
      <c r="G984" s="18">
        <f>IF(D984="","",D984*'参数与说明'!$B$6/45.3592)</f>
        <v/>
      </c>
      <c r="H984" s="19">
        <f>IFERROR(IF(D984="","",D984/INDEX($D:$D,MATCH(EDATE($A984,-1),$A:$A,0))-1),"")</f>
        <v/>
      </c>
      <c r="I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50.9</v>
      </c>
      <c r="E985" s="14" t="n"/>
      <c r="F985" s="14" t="n">
        <v>46.6</v>
      </c>
      <c r="G985" s="14">
        <f>IF(D985="","",D985*'参数与说明'!$B$6/45.3592)</f>
        <v/>
      </c>
      <c r="H985" s="15">
        <f>IFERROR(IF(D985="","",D985/INDEX($D:$D,MATCH(EDATE($A985,-1),$A:$A,0))-1),"")</f>
        <v/>
      </c>
      <c r="I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54.1</v>
      </c>
      <c r="E986" s="18" t="n"/>
      <c r="F986" s="18" t="n">
        <v>45.6</v>
      </c>
      <c r="G986" s="18">
        <f>IF(D986="","",D986*'参数与说明'!$B$6/45.3592)</f>
        <v/>
      </c>
      <c r="H986" s="19">
        <f>IFERROR(IF(D986="","",D986/INDEX($D:$D,MATCH(EDATE($A986,-1),$A:$A,0))-1),"")</f>
        <v/>
      </c>
      <c r="I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54.7</v>
      </c>
      <c r="E987" s="14" t="n"/>
      <c r="F987" s="14" t="n">
        <v>44.3</v>
      </c>
      <c r="G987" s="14">
        <f>IF(D987="","",D987*'参数与说明'!$B$6/45.3592)</f>
        <v/>
      </c>
      <c r="H987" s="15">
        <f>IFERROR(IF(D987="","",D987/INDEX($D:$D,MATCH(EDATE($A987,-1),$A:$A,0))-1),"")</f>
        <v/>
      </c>
      <c r="I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54.2</v>
      </c>
      <c r="E988" s="18" t="n"/>
      <c r="F988" s="18" t="n">
        <v>41.2</v>
      </c>
      <c r="G988" s="18">
        <f>IF(D988="","",D988*'参数与说明'!$B$6/45.3592)</f>
        <v/>
      </c>
      <c r="H988" s="19">
        <f>IFERROR(IF(D988="","",D988/INDEX($D:$D,MATCH(EDATE($A988,-1),$A:$A,0))-1),"")</f>
        <v/>
      </c>
      <c r="I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51.2</v>
      </c>
      <c r="E989" s="14" t="n"/>
      <c r="F989" s="14" t="n">
        <v>39.6</v>
      </c>
      <c r="G989" s="14">
        <f>IF(D989="","",D989*'参数与说明'!$B$6/45.3592)</f>
        <v/>
      </c>
      <c r="H989" s="15">
        <f>IFERROR(IF(D989="","",D989/INDEX($D:$D,MATCH(EDATE($A989,-1),$A:$A,0))-1),"")</f>
        <v/>
      </c>
      <c r="I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46.4</v>
      </c>
      <c r="E990" s="18" t="n"/>
      <c r="F990" s="18" t="n">
        <v>38.2</v>
      </c>
      <c r="G990" s="18">
        <f>IF(D990="","",D990*'参数与说明'!$B$6/45.3592)</f>
        <v/>
      </c>
      <c r="H990" s="19">
        <f>IFERROR(IF(D990="","",D990/INDEX($D:$D,MATCH(EDATE($A990,-1),$A:$A,0))-1),"")</f>
        <v/>
      </c>
      <c r="I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43.6</v>
      </c>
      <c r="E991" s="14" t="n"/>
      <c r="F991" s="14" t="n">
        <v>35.8</v>
      </c>
      <c r="G991" s="14">
        <f>IF(D991="","",D991*'参数与说明'!$B$6/45.3592)</f>
        <v/>
      </c>
      <c r="H991" s="15">
        <f>IFERROR(IF(D991="","",D991/INDEX($D:$D,MATCH(EDATE($A991,-1),$A:$A,0))-1),"")</f>
        <v/>
      </c>
      <c r="I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38</v>
      </c>
      <c r="E992" s="18" t="n"/>
      <c r="F992" s="18" t="n">
        <v>30.7</v>
      </c>
      <c r="G992" s="18">
        <f>IF(D992="","",D992*'参数与说明'!$B$6/45.3592)</f>
        <v/>
      </c>
      <c r="H992" s="19">
        <f>IFERROR(IF(D992="","",D992/INDEX($D:$D,MATCH(EDATE($A992,-1),$A:$A,0))-1),"")</f>
        <v/>
      </c>
      <c r="I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38.6</v>
      </c>
      <c r="E993" s="14" t="n"/>
      <c r="F993" s="14" t="n">
        <v>27.9</v>
      </c>
      <c r="G993" s="14">
        <f>IF(D993="","",D993*'参数与说明'!$B$6/45.3592)</f>
        <v/>
      </c>
      <c r="H993" s="15">
        <f>IFERROR(IF(D993="","",D993/INDEX($D:$D,MATCH(EDATE($A993,-1),$A:$A,0))-1),"")</f>
        <v/>
      </c>
      <c r="I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36.8</v>
      </c>
      <c r="E994" s="18" t="n">
        <v>37.6</v>
      </c>
      <c r="F994" s="18" t="n">
        <v>27.1</v>
      </c>
      <c r="G994" s="18">
        <f>IF(D994="","",D994*'参数与说明'!$B$6/45.3592)</f>
        <v/>
      </c>
      <c r="H994" s="19">
        <f>IFERROR(IF(D994="","",D994/INDEX($D:$D,MATCH(EDATE($A994,-1),$A:$A,0))-1),"")</f>
        <v/>
      </c>
      <c r="I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40.2</v>
      </c>
      <c r="E995" s="14" t="n">
        <v>40.8</v>
      </c>
      <c r="F995" s="14" t="n">
        <v>31.1</v>
      </c>
      <c r="G995" s="14">
        <f>IF(D995="","",D995*'参数与说明'!$B$6/45.3592)</f>
        <v/>
      </c>
      <c r="H995" s="15">
        <f>IFERROR(IF(D995="","",D995/INDEX($D:$D,MATCH(EDATE($A995,-1),$A:$A,0))-1),"")</f>
        <v/>
      </c>
      <c r="I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39.1</v>
      </c>
      <c r="E996" s="18" t="n">
        <v>39.5</v>
      </c>
      <c r="F996" s="18" t="n">
        <v>32.9</v>
      </c>
      <c r="G996" s="18">
        <f>IF(D996="","",D996*'参数与说明'!$B$6/45.3592)</f>
        <v/>
      </c>
      <c r="H996" s="19">
        <f>IFERROR(IF(D996="","",D996/INDEX($D:$D,MATCH(EDATE($A996,-1),$A:$A,0))-1),"")</f>
        <v/>
      </c>
      <c r="I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41</v>
      </c>
      <c r="E997" s="14" t="n">
        <v>41.5</v>
      </c>
      <c r="F997" s="14" t="n">
        <v>34.2</v>
      </c>
      <c r="G997" s="14">
        <f>IF(D997="","",D997*'参数与说明'!$B$6/45.3592)</f>
        <v/>
      </c>
      <c r="H997" s="15">
        <f>IFERROR(IF(D997="","",D997/INDEX($D:$D,MATCH(EDATE($A997,-1),$A:$A,0))-1),"")</f>
        <v/>
      </c>
      <c r="I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45.1</v>
      </c>
      <c r="E998" s="18" t="n">
        <v>45.6</v>
      </c>
      <c r="F998" s="18" t="n">
        <v>36.5</v>
      </c>
      <c r="G998" s="18">
        <f>IF(D998="","",D998*'参数与说明'!$B$6/45.3592)</f>
        <v/>
      </c>
      <c r="H998" s="19">
        <f>IFERROR(IF(D998="","",D998/INDEX($D:$D,MATCH(EDATE($A998,-1),$A:$A,0))-1),"")</f>
        <v/>
      </c>
      <c r="I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46.7</v>
      </c>
      <c r="E999" s="14" t="n">
        <v>47.7</v>
      </c>
      <c r="F999" s="14" t="n">
        <v>34.9</v>
      </c>
      <c r="G999" s="14">
        <f>IF(D999="","",D999*'参数与说明'!$B$6/45.3592)</f>
        <v/>
      </c>
      <c r="H999" s="15">
        <f>IFERROR(IF(D999="","",D999/INDEX($D:$D,MATCH(EDATE($A999,-1),$A:$A,0))-1),"")</f>
        <v/>
      </c>
      <c r="I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44.6</v>
      </c>
      <c r="E1000" s="18" t="n">
        <v>45.8</v>
      </c>
      <c r="F1000" s="18" t="n">
        <v>32</v>
      </c>
      <c r="G1000" s="18">
        <f>IF(D1000="","",D1000*'参数与说明'!$B$6/45.3592)</f>
        <v/>
      </c>
      <c r="H1000" s="19">
        <f>IFERROR(IF(D1000="","",D1000/INDEX($D:$D,MATCH(EDATE($A1000,-1),$A:$A,0))-1),"")</f>
        <v/>
      </c>
      <c r="I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44.1</v>
      </c>
      <c r="E1001" s="14" t="n">
        <v>45</v>
      </c>
      <c r="F1001" s="14" t="n">
        <v>33.4</v>
      </c>
      <c r="G1001" s="14">
        <f>IF(D1001="","",D1001*'参数与说明'!$B$6/45.3592)</f>
        <v/>
      </c>
      <c r="H1001" s="15">
        <f>IFERROR(IF(D1001="","",D1001/INDEX($D:$D,MATCH(EDATE($A1001,-1),$A:$A,0))-1),"")</f>
        <v/>
      </c>
      <c r="I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42.1</v>
      </c>
      <c r="E1002" s="18" t="n">
        <v>42.8</v>
      </c>
      <c r="F1002" s="18" t="n">
        <v>32.1</v>
      </c>
      <c r="G1002" s="18">
        <f>IF(D1002="","",D1002*'参数与说明'!$B$6/45.3592)</f>
        <v/>
      </c>
      <c r="H1002" s="19">
        <f>IFERROR(IF(D1002="","",D1002/INDEX($D:$D,MATCH(EDATE($A1002,-1),$A:$A,0))-1),"")</f>
        <v/>
      </c>
      <c r="I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42</v>
      </c>
      <c r="E1003" s="14" t="n">
        <v>42.5</v>
      </c>
      <c r="F1003" s="14" t="n">
        <v>35.5</v>
      </c>
      <c r="G1003" s="14">
        <f>IF(D1003="","",D1003*'参数与说明'!$B$6/45.3592)</f>
        <v/>
      </c>
      <c r="H1003" s="15">
        <f>IFERROR(IF(D1003="","",D1003/INDEX($D:$D,MATCH(EDATE($A1003,-1),$A:$A,0))-1),"")</f>
        <v/>
      </c>
      <c r="I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41.1</v>
      </c>
      <c r="E1004" s="18" t="n">
        <v>41.7</v>
      </c>
      <c r="F1004" s="18" t="n">
        <v>32.2</v>
      </c>
      <c r="G1004" s="18">
        <f>IF(D1004="","",D1004*'参数与说明'!$B$6/45.3592)</f>
        <v/>
      </c>
      <c r="H1004" s="19">
        <f>IFERROR(IF(D1004="","",D1004/INDEX($D:$D,MATCH(EDATE($A1004,-1),$A:$A,0))-1),"")</f>
        <v/>
      </c>
      <c r="I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41.7</v>
      </c>
      <c r="E1005" s="14" t="n">
        <v>42.5</v>
      </c>
      <c r="F1005" s="14" t="n">
        <v>31</v>
      </c>
      <c r="G1005" s="14">
        <f>IF(D1005="","",D1005*'参数与说明'!$B$6/45.3592)</f>
        <v/>
      </c>
      <c r="H1005" s="15">
        <f>IFERROR(IF(D1005="","",D1005/INDEX($D:$D,MATCH(EDATE($A1005,-1),$A:$A,0))-1),"")</f>
        <v/>
      </c>
      <c r="I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41.2</v>
      </c>
      <c r="E1006" s="18" t="n">
        <v>41.9</v>
      </c>
      <c r="F1006" s="18" t="n">
        <v>31.7</v>
      </c>
      <c r="G1006" s="18">
        <f>IF(D1006="","",D1006*'参数与说明'!$B$6/45.3592)</f>
        <v/>
      </c>
      <c r="H1006" s="19">
        <f>IFERROR(IF(D1006="","",D1006/INDEX($D:$D,MATCH(EDATE($A1006,-1),$A:$A,0))-1),"")</f>
        <v/>
      </c>
      <c r="I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44</v>
      </c>
      <c r="E1007" s="14" t="n">
        <v>44.7</v>
      </c>
      <c r="F1007" s="14" t="n">
        <v>34.6</v>
      </c>
      <c r="G1007" s="14">
        <f>IF(D1007="","",D1007*'参数与说明'!$B$6/45.3592)</f>
        <v/>
      </c>
      <c r="H1007" s="15">
        <f>IFERROR(IF(D1007="","",D1007/INDEX($D:$D,MATCH(EDATE($A1007,-1),$A:$A,0))-1),"")</f>
        <v/>
      </c>
      <c r="I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46.5</v>
      </c>
      <c r="E1008" s="18" t="n">
        <v>47</v>
      </c>
      <c r="F1008" s="18" t="n">
        <v>39</v>
      </c>
      <c r="G1008" s="18">
        <f>IF(D1008="","",D1008*'参数与说明'!$B$6/45.3592)</f>
        <v/>
      </c>
      <c r="H1008" s="19">
        <f>IFERROR(IF(D1008="","",D1008/INDEX($D:$D,MATCH(EDATE($A1008,-1),$A:$A,0))-1),"")</f>
        <v/>
      </c>
      <c r="I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45.4</v>
      </c>
      <c r="E1009" s="14" t="n">
        <v>45.8</v>
      </c>
      <c r="F1009" s="14" t="n">
        <v>39.4</v>
      </c>
      <c r="G1009" s="14">
        <f>IF(D1009="","",D1009*'参数与说明'!$B$6/45.3592)</f>
        <v/>
      </c>
      <c r="H1009" s="15">
        <f>IFERROR(IF(D1009="","",D1009/INDEX($D:$D,MATCH(EDATE($A1009,-1),$A:$A,0))-1),"")</f>
        <v/>
      </c>
      <c r="I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46.9</v>
      </c>
      <c r="E1010" s="18" t="n">
        <v>47.5</v>
      </c>
      <c r="F1010" s="18" t="n">
        <v>38</v>
      </c>
      <c r="G1010" s="18">
        <f>IF(D1010="","",D1010*'参数与说明'!$B$6/45.3592)</f>
        <v/>
      </c>
      <c r="H1010" s="19">
        <f>IFERROR(IF(D1010="","",D1010/INDEX($D:$D,MATCH(EDATE($A1010,-1),$A:$A,0))-1),"")</f>
        <v/>
      </c>
      <c r="I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48.1</v>
      </c>
      <c r="E1011" s="14" t="n">
        <v>48.9</v>
      </c>
      <c r="F1011" s="14" t="n">
        <v>36.9</v>
      </c>
      <c r="G1011" s="14">
        <f>IF(D1011="","",D1011*'参数与说明'!$B$6/45.3592)</f>
        <v/>
      </c>
      <c r="H1011" s="15">
        <f>IFERROR(IF(D1011="","",D1011/INDEX($D:$D,MATCH(EDATE($A1011,-1),$A:$A,0))-1),"")</f>
        <v/>
      </c>
      <c r="I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45.7</v>
      </c>
      <c r="E1012" s="18" t="n">
        <v>46.6</v>
      </c>
      <c r="F1012" s="18" t="n">
        <v>34.7</v>
      </c>
      <c r="G1012" s="18">
        <f>IF(D1012="","",D1012*'参数与说明'!$B$6/45.3592)</f>
        <v/>
      </c>
      <c r="H1012" s="19">
        <f>IFERROR(IF(D1012="","",D1012/INDEX($D:$D,MATCH(EDATE($A1012,-1),$A:$A,0))-1),"")</f>
        <v/>
      </c>
      <c r="I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47.3</v>
      </c>
      <c r="E1013" s="14" t="n">
        <v>48.3</v>
      </c>
      <c r="F1013" s="14" t="n">
        <v>35.3</v>
      </c>
      <c r="G1013" s="14">
        <f>IF(D1013="","",D1013*'参数与说明'!$B$6/45.3592)</f>
        <v/>
      </c>
      <c r="H1013" s="15">
        <f>IFERROR(IF(D1013="","",D1013/INDEX($D:$D,MATCH(EDATE($A1013,-1),$A:$A,0))-1),"")</f>
        <v/>
      </c>
      <c r="I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47.8</v>
      </c>
      <c r="E1014" s="18" t="n">
        <v>48.5</v>
      </c>
      <c r="F1014" s="18" t="n">
        <v>37.2</v>
      </c>
      <c r="G1014" s="18">
        <f>IF(D1014="","",D1014*'参数与说明'!$B$6/45.3592)</f>
        <v/>
      </c>
      <c r="H1014" s="19">
        <f>IFERROR(IF(D1014="","",D1014/INDEX($D:$D,MATCH(EDATE($A1014,-1),$A:$A,0))-1),"")</f>
        <v/>
      </c>
      <c r="I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46.9</v>
      </c>
      <c r="E1015" s="14" t="n">
        <v>47.5</v>
      </c>
      <c r="F1015" s="14" t="n">
        <v>36.8</v>
      </c>
      <c r="G1015" s="14">
        <f>IF(D1015="","",D1015*'参数与说明'!$B$6/45.3592)</f>
        <v/>
      </c>
      <c r="H1015" s="15">
        <f>IFERROR(IF(D1015="","",D1015/INDEX($D:$D,MATCH(EDATE($A1015,-1),$A:$A,0))-1),"")</f>
        <v/>
      </c>
      <c r="I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42.5</v>
      </c>
      <c r="E1016" s="18" t="n">
        <v>43.2</v>
      </c>
      <c r="F1016" s="18" t="n">
        <v>35</v>
      </c>
      <c r="G1016" s="18">
        <f>IF(D1016="","",D1016*'参数与说明'!$B$6/45.3592)</f>
        <v/>
      </c>
      <c r="H1016" s="19">
        <f>IFERROR(IF(D1016="","",D1016/INDEX($D:$D,MATCH(EDATE($A1016,-1),$A:$A,0))-1),"")</f>
        <v/>
      </c>
      <c r="I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40.4</v>
      </c>
      <c r="E1017" s="14" t="n">
        <v>41</v>
      </c>
      <c r="F1017" s="14" t="n">
        <v>31.2</v>
      </c>
      <c r="G1017" s="14">
        <f>IF(D1017="","",D1017*'参数与说明'!$B$6/45.3592)</f>
        <v/>
      </c>
      <c r="H1017" s="15">
        <f>IFERROR(IF(D1017="","",D1017/INDEX($D:$D,MATCH(EDATE($A1017,-1),$A:$A,0))-1),"")</f>
        <v/>
      </c>
      <c r="I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43.5</v>
      </c>
      <c r="E1018" s="18" t="n">
        <v>44.1</v>
      </c>
      <c r="F1018" s="18" t="n">
        <v>34.3</v>
      </c>
      <c r="G1018" s="18">
        <f>IF(D1018="","",D1018*'参数与说明'!$B$6/45.3592)</f>
        <v/>
      </c>
      <c r="H1018" s="19">
        <f>IFERROR(IF(D1018="","",D1018/INDEX($D:$D,MATCH(EDATE($A1018,-1),$A:$A,0))-1),"")</f>
        <v/>
      </c>
      <c r="I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47.9</v>
      </c>
      <c r="E1019" s="14" t="n">
        <v>48.4</v>
      </c>
      <c r="F1019" s="14" t="n">
        <v>37.7</v>
      </c>
      <c r="G1019" s="14">
        <f>IF(D1019="","",D1019*'参数与说明'!$B$6/45.3592)</f>
        <v/>
      </c>
      <c r="H1019" s="15">
        <f>IFERROR(IF(D1019="","",D1019/INDEX($D:$D,MATCH(EDATE($A1019,-1),$A:$A,0))-1),"")</f>
        <v/>
      </c>
      <c r="I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44.4</v>
      </c>
      <c r="E1020" s="18" t="n">
        <v>44.8</v>
      </c>
      <c r="F1020" s="18" t="n">
        <v>38.7</v>
      </c>
      <c r="G1020" s="18">
        <f>IF(D1020="","",D1020*'参数与说明'!$B$6/45.3592)</f>
        <v/>
      </c>
      <c r="H1020" s="19">
        <f>IFERROR(IF(D1020="","",D1020/INDEX($D:$D,MATCH(EDATE($A1020,-1),$A:$A,0))-1),"")</f>
        <v/>
      </c>
      <c r="I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42.7</v>
      </c>
      <c r="E1021" s="14" t="n">
        <v>43</v>
      </c>
      <c r="F1021" s="14" t="n">
        <v>38</v>
      </c>
      <c r="G1021" s="14">
        <f>IF(D1021="","",D1021*'参数与说明'!$B$6/45.3592)</f>
        <v/>
      </c>
      <c r="H1021" s="15">
        <f>IFERROR(IF(D1021="","",D1021/INDEX($D:$D,MATCH(EDATE($A1021,-1),$A:$A,0))-1),"")</f>
        <v/>
      </c>
      <c r="I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42.7</v>
      </c>
      <c r="E1022" s="18" t="n">
        <v>43.1</v>
      </c>
      <c r="F1022" s="18" t="n">
        <v>35.6</v>
      </c>
      <c r="G1022" s="18">
        <f>IF(D1022="","",D1022*'参数与说明'!$B$6/45.3592)</f>
        <v/>
      </c>
      <c r="H1022" s="19">
        <f>IFERROR(IF(D1022="","",D1022/INDEX($D:$D,MATCH(EDATE($A1022,-1),$A:$A,0))-1),"")</f>
        <v/>
      </c>
      <c r="I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42.7</v>
      </c>
      <c r="E1023" s="14" t="n">
        <v>43.4</v>
      </c>
      <c r="F1023" s="14" t="n">
        <v>32.7</v>
      </c>
      <c r="G1023" s="14">
        <f>IF(D1023="","",D1023*'参数与说明'!$B$6/45.3592)</f>
        <v/>
      </c>
      <c r="H1023" s="15">
        <f>IFERROR(IF(D1023="","",D1023/INDEX($D:$D,MATCH(EDATE($A1023,-1),$A:$A,0))-1),"")</f>
        <v/>
      </c>
      <c r="I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42.2</v>
      </c>
      <c r="E1024" s="18" t="n">
        <v>43.2</v>
      </c>
      <c r="F1024" s="18" t="n">
        <v>29.6</v>
      </c>
      <c r="G1024" s="18">
        <f>IF(D1024="","",D1024*'参数与说明'!$B$6/45.3592)</f>
        <v/>
      </c>
      <c r="H1024" s="19">
        <f>IFERROR(IF(D1024="","",D1024/INDEX($D:$D,MATCH(EDATE($A1024,-1),$A:$A,0))-1),"")</f>
        <v/>
      </c>
      <c r="I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41.8</v>
      </c>
      <c r="E1025" s="14" t="n">
        <v>42.8</v>
      </c>
      <c r="F1025" s="14" t="n">
        <v>29.8</v>
      </c>
      <c r="G1025" s="14">
        <f>IF(D1025="","",D1025*'参数与说明'!$B$6/45.3592)</f>
        <v/>
      </c>
      <c r="H1025" s="15">
        <f>IFERROR(IF(D1025="","",D1025/INDEX($D:$D,MATCH(EDATE($A1025,-1),$A:$A,0))-1),"")</f>
        <v/>
      </c>
      <c r="I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35.4</v>
      </c>
      <c r="E1026" s="18" t="n">
        <v>36</v>
      </c>
      <c r="F1026" s="18" t="n">
        <v>26.8</v>
      </c>
      <c r="G1026" s="18">
        <f>IF(D1026="","",D1026*'参数与说明'!$B$6/45.3592)</f>
        <v/>
      </c>
      <c r="H1026" s="19">
        <f>IFERROR(IF(D1026="","",D1026/INDEX($D:$D,MATCH(EDATE($A1026,-1),$A:$A,0))-1),"")</f>
        <v/>
      </c>
      <c r="I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31.8</v>
      </c>
      <c r="E1027" s="14" t="n">
        <v>32.3</v>
      </c>
      <c r="F1027" s="14" t="n">
        <v>24.2</v>
      </c>
      <c r="G1027" s="14">
        <f>IF(D1027="","",D1027*'参数与说明'!$B$6/45.3592)</f>
        <v/>
      </c>
      <c r="H1027" s="15">
        <f>IFERROR(IF(D1027="","",D1027/INDEX($D:$D,MATCH(EDATE($A1027,-1),$A:$A,0))-1),"")</f>
        <v/>
      </c>
      <c r="I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28</v>
      </c>
      <c r="E1028" s="18" t="n">
        <v>28.6</v>
      </c>
      <c r="F1028" s="18" t="n">
        <v>19.3</v>
      </c>
      <c r="G1028" s="18">
        <f>IF(D1028="","",D1028*'参数与说明'!$B$6/45.3592)</f>
        <v/>
      </c>
      <c r="H1028" s="19">
        <f>IFERROR(IF(D1028="","",D1028/INDEX($D:$D,MATCH(EDATE($A1028,-1),$A:$A,0))-1),"")</f>
        <v/>
      </c>
      <c r="I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30.9</v>
      </c>
      <c r="E1029" s="14" t="n">
        <v>31.7</v>
      </c>
      <c r="F1029" s="14" t="n">
        <v>19.4</v>
      </c>
      <c r="G1029" s="14">
        <f>IF(D1029="","",D1029*'参数与说明'!$B$6/45.3592)</f>
        <v/>
      </c>
      <c r="H1029" s="15">
        <f>IFERROR(IF(D1029="","",D1029/INDEX($D:$D,MATCH(EDATE($A1029,-1),$A:$A,0))-1),"")</f>
        <v/>
      </c>
      <c r="I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36.8</v>
      </c>
      <c r="E1030" s="18" t="n">
        <v>37.6</v>
      </c>
      <c r="F1030" s="18" t="n">
        <v>24.8</v>
      </c>
      <c r="G1030" s="18">
        <f>IF(D1030="","",D1030*'参数与说明'!$B$6/45.3592)</f>
        <v/>
      </c>
      <c r="H1030" s="19">
        <f>IFERROR(IF(D1030="","",D1030/INDEX($D:$D,MATCH(EDATE($A1030,-1),$A:$A,0))-1),"")</f>
        <v/>
      </c>
      <c r="I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39.1</v>
      </c>
      <c r="E1031" s="14" t="n">
        <v>39.8</v>
      </c>
      <c r="F1031" s="14" t="n">
        <v>29.1</v>
      </c>
      <c r="G1031" s="14">
        <f>IF(D1031="","",D1031*'参数与说明'!$B$6/45.3592)</f>
        <v/>
      </c>
      <c r="H1031" s="15">
        <f>IFERROR(IF(D1031="","",D1031/INDEX($D:$D,MATCH(EDATE($A1031,-1),$A:$A,0))-1),"")</f>
        <v/>
      </c>
      <c r="I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37.8</v>
      </c>
      <c r="E1032" s="18" t="n">
        <v>38.2</v>
      </c>
      <c r="F1032" s="18" t="n">
        <v>31.1</v>
      </c>
      <c r="G1032" s="18">
        <f>IF(D1032="","",D1032*'参数与说明'!$B$6/45.3592)</f>
        <v/>
      </c>
      <c r="H1032" s="19">
        <f>IFERROR(IF(D1032="","",D1032/INDEX($D:$D,MATCH(EDATE($A1032,-1),$A:$A,0))-1),"")</f>
        <v/>
      </c>
      <c r="I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35.6</v>
      </c>
      <c r="E1033" s="14" t="n">
        <v>35.9</v>
      </c>
      <c r="F1033" s="14" t="n">
        <v>29.4</v>
      </c>
      <c r="G1033" s="14">
        <f>IF(D1033="","",D1033*'参数与说明'!$B$6/45.3592)</f>
        <v/>
      </c>
      <c r="H1033" s="15">
        <f>IFERROR(IF(D1033="","",D1033/INDEX($D:$D,MATCH(EDATE($A1033,-1),$A:$A,0))-1),"")</f>
        <v/>
      </c>
      <c r="I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37.1</v>
      </c>
      <c r="E1034" s="18" t="n">
        <v>37.5</v>
      </c>
      <c r="F1034" s="18" t="n">
        <v>28.5</v>
      </c>
      <c r="G1034" s="18">
        <f>IF(D1034="","",D1034*'参数与说明'!$B$6/45.3592)</f>
        <v/>
      </c>
      <c r="H1034" s="19">
        <f>IFERROR(IF(D1034="","",D1034/INDEX($D:$D,MATCH(EDATE($A1034,-1),$A:$A,0))-1),"")</f>
        <v/>
      </c>
      <c r="I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42.2</v>
      </c>
      <c r="E1035" s="14" t="n">
        <v>43.2</v>
      </c>
      <c r="F1035" s="14" t="n">
        <v>28.6</v>
      </c>
      <c r="G1035" s="14">
        <f>IF(D1035="","",D1035*'参数与说明'!$B$6/45.3592)</f>
        <v/>
      </c>
      <c r="H1035" s="15">
        <f>IFERROR(IF(D1035="","",D1035/INDEX($D:$D,MATCH(EDATE($A1035,-1),$A:$A,0))-1),"")</f>
        <v/>
      </c>
      <c r="I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46.3</v>
      </c>
      <c r="E1036" s="18" t="n">
        <v>47.4</v>
      </c>
      <c r="F1036" s="18" t="n">
        <v>28.9</v>
      </c>
      <c r="G1036" s="18">
        <f>IF(D1036="","",D1036*'参数与说明'!$B$6/45.3592)</f>
        <v/>
      </c>
      <c r="H1036" s="19">
        <f>IFERROR(IF(D1036="","",D1036/INDEX($D:$D,MATCH(EDATE($A1036,-1),$A:$A,0))-1),"")</f>
        <v/>
      </c>
      <c r="I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48.6</v>
      </c>
      <c r="E1037" s="14" t="n">
        <v>49.6</v>
      </c>
      <c r="F1037" s="14" t="n">
        <v>34</v>
      </c>
      <c r="G1037" s="14">
        <f>IF(D1037="","",D1037*'参数与说明'!$B$6/45.3592)</f>
        <v/>
      </c>
      <c r="H1037" s="15">
        <f>IFERROR(IF(D1037="","",D1037/INDEX($D:$D,MATCH(EDATE($A1037,-1),$A:$A,0))-1),"")</f>
        <v/>
      </c>
      <c r="I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48.4</v>
      </c>
      <c r="E1038" s="18" t="n">
        <v>49.2</v>
      </c>
      <c r="F1038" s="18" t="n">
        <v>35.3</v>
      </c>
      <c r="G1038" s="18">
        <f>IF(D1038="","",D1038*'参数与说明'!$B$6/45.3592)</f>
        <v/>
      </c>
      <c r="H1038" s="19">
        <f>IFERROR(IF(D1038="","",D1038/INDEX($D:$D,MATCH(EDATE($A1038,-1),$A:$A,0))-1),"")</f>
        <v/>
      </c>
      <c r="I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45.7</v>
      </c>
      <c r="E1039" s="14" t="n">
        <v>46.1</v>
      </c>
      <c r="F1039" s="14" t="n">
        <v>38.2</v>
      </c>
      <c r="G1039" s="14">
        <f>IF(D1039="","",D1039*'参数与说明'!$B$6/45.3592)</f>
        <v/>
      </c>
      <c r="H1039" s="15">
        <f>IFERROR(IF(D1039="","",D1039/INDEX($D:$D,MATCH(EDATE($A1039,-1),$A:$A,0))-1),"")</f>
        <v/>
      </c>
      <c r="I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39.9</v>
      </c>
      <c r="E1040" s="18" t="n">
        <v>40.4</v>
      </c>
      <c r="F1040" s="18" t="n">
        <v>32.1</v>
      </c>
      <c r="G1040" s="18">
        <f>IF(D1040="","",D1040*'参数与说明'!$B$6/45.3592)</f>
        <v/>
      </c>
      <c r="H1040" s="19">
        <f>IFERROR(IF(D1040="","",D1040/INDEX($D:$D,MATCH(EDATE($A1040,-1),$A:$A,0))-1),"")</f>
        <v/>
      </c>
      <c r="I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43.5</v>
      </c>
      <c r="E1041" s="14" t="n">
        <v>44.3</v>
      </c>
      <c r="F1041" s="14" t="n">
        <v>31.6</v>
      </c>
      <c r="G1041" s="14">
        <f>IF(D1041="","",D1041*'参数与说明'!$B$6/45.3592)</f>
        <v/>
      </c>
      <c r="H1041" s="15">
        <f>IFERROR(IF(D1041="","",D1041/INDEX($D:$D,MATCH(EDATE($A1041,-1),$A:$A,0))-1),"")</f>
        <v/>
      </c>
      <c r="I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42.6</v>
      </c>
      <c r="E1042" s="18" t="n">
        <v>43.2</v>
      </c>
      <c r="F1042" s="18" t="n">
        <v>31.6</v>
      </c>
      <c r="G1042" s="18">
        <f>IF(D1042="","",D1042*'参数与说明'!$B$6/45.3592)</f>
        <v/>
      </c>
      <c r="H1042" s="19">
        <f>IFERROR(IF(D1042="","",D1042/INDEX($D:$D,MATCH(EDATE($A1042,-1),$A:$A,0))-1),"")</f>
        <v/>
      </c>
      <c r="I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46.5</v>
      </c>
      <c r="E1043" s="14" t="n">
        <v>47.3</v>
      </c>
      <c r="F1043" s="14" t="n">
        <v>33</v>
      </c>
      <c r="G1043" s="14">
        <f>IF(D1043="","",D1043*'参数与说明'!$B$6/45.3592)</f>
        <v/>
      </c>
      <c r="H1043" s="15">
        <f>IFERROR(IF(D1043="","",D1043/INDEX($D:$D,MATCH(EDATE($A1043,-1),$A:$A,0))-1),"")</f>
        <v/>
      </c>
      <c r="I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48.7</v>
      </c>
      <c r="E1044" s="18" t="n">
        <v>49.5</v>
      </c>
      <c r="F1044" s="18" t="n">
        <v>35.2</v>
      </c>
      <c r="G1044" s="18">
        <f>IF(D1044="","",D1044*'参数与说明'!$B$6/45.3592)</f>
        <v/>
      </c>
      <c r="H1044" s="19">
        <f>IFERROR(IF(D1044="","",D1044/INDEX($D:$D,MATCH(EDATE($A1044,-1),$A:$A,0))-1),"")</f>
        <v/>
      </c>
      <c r="I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49.7</v>
      </c>
      <c r="E1045" s="14" t="n">
        <v>50.6</v>
      </c>
      <c r="F1045" s="14" t="n">
        <v>36.1</v>
      </c>
      <c r="G1045" s="14">
        <f>IF(D1045="","",D1045*'参数与说明'!$B$6/45.3592)</f>
        <v/>
      </c>
      <c r="H1045" s="15">
        <f>IFERROR(IF(D1045="","",D1045/INDEX($D:$D,MATCH(EDATE($A1045,-1),$A:$A,0))-1),"")</f>
        <v/>
      </c>
      <c r="I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56.8</v>
      </c>
      <c r="E1046" s="18" t="n">
        <v>57.7</v>
      </c>
      <c r="F1046" s="18" t="n">
        <v>41.4</v>
      </c>
      <c r="G1046" s="18">
        <f>IF(D1046="","",D1046*'参数与说明'!$B$6/45.3592)</f>
        <v/>
      </c>
      <c r="H1046" s="19">
        <f>IFERROR(IF(D1046="","",D1046/INDEX($D:$D,MATCH(EDATE($A1046,-1),$A:$A,0))-1),"")</f>
        <v/>
      </c>
      <c r="I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57.1</v>
      </c>
      <c r="F1047" s="14" t="n">
        <v>44.9</v>
      </c>
      <c r="G1047" s="14">
        <f>IF(D1047="","",D1047*'参数与说明'!$B$6/45.3592)</f>
        <v/>
      </c>
      <c r="H1047" s="15">
        <f>IFERROR(IF(D1047="","",D1047/INDEX($D:$D,MATCH(EDATE($A1047,-1),$A:$A,0))-1),"")</f>
        <v/>
      </c>
      <c r="I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58.6</v>
      </c>
      <c r="E1048" s="18" t="n">
        <v>59.4</v>
      </c>
      <c r="F1048" s="18" t="n">
        <v>46.7</v>
      </c>
      <c r="G1048" s="18">
        <f>IF(D1048="","",D1048*'参数与说明'!$B$6/45.3592)</f>
        <v/>
      </c>
      <c r="H1048" s="19">
        <f>IFERROR(IF(D1048="","",D1048/INDEX($D:$D,MATCH(EDATE($A1048,-1),$A:$A,0))-1),"")</f>
        <v/>
      </c>
      <c r="I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59.7</v>
      </c>
      <c r="E1049" s="14" t="n">
        <v>60.3</v>
      </c>
      <c r="F1049" s="14" t="n">
        <v>48.9</v>
      </c>
      <c r="G1049" s="14">
        <f>IF(D1049="","",D1049*'参数与说明'!$B$6/45.3592)</f>
        <v/>
      </c>
      <c r="H1049" s="15">
        <f>IFERROR(IF(D1049="","",D1049/INDEX($D:$D,MATCH(EDATE($A1049,-1),$A:$A,0))-1),"")</f>
        <v/>
      </c>
      <c r="I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54.7</v>
      </c>
      <c r="E1050" s="18" t="n">
        <v>55.1</v>
      </c>
      <c r="F1050" s="18" t="n">
        <v>47</v>
      </c>
      <c r="G1050" s="18">
        <f>IF(D1050="","",D1050*'参数与说明'!$B$6/45.3592)</f>
        <v/>
      </c>
      <c r="H1050" s="19">
        <f>IFERROR(IF(D1050="","",D1050/INDEX($D:$D,MATCH(EDATE($A1050,-1),$A:$A,0))-1),"")</f>
        <v/>
      </c>
      <c r="I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55.6</v>
      </c>
      <c r="E1051" s="14" t="n">
        <v>56</v>
      </c>
      <c r="F1051" s="14" t="n">
        <v>49.1</v>
      </c>
      <c r="G1051" s="14">
        <f>IF(D1051="","",D1051*'参数与说明'!$B$6/45.3592)</f>
        <v/>
      </c>
      <c r="H1051" s="15">
        <f>IFERROR(IF(D1051="","",D1051/INDEX($D:$D,MATCH(EDATE($A1051,-1),$A:$A,0))-1),"")</f>
        <v/>
      </c>
      <c r="I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54.4</v>
      </c>
      <c r="E1052" s="18" t="n">
        <v>54.6</v>
      </c>
      <c r="F1052" s="18" t="n">
        <v>50</v>
      </c>
      <c r="G1052" s="18">
        <f>IF(D1052="","",D1052*'参数与说明'!$B$6/45.3592)</f>
        <v/>
      </c>
      <c r="H1052" s="19">
        <f>IFERROR(IF(D1052="","",D1052/INDEX($D:$D,MATCH(EDATE($A1052,-1),$A:$A,0))-1),"")</f>
        <v/>
      </c>
      <c r="I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55.6</v>
      </c>
      <c r="E1053" s="14" t="n">
        <v>56.1</v>
      </c>
      <c r="F1053" s="14" t="n">
        <v>48.4</v>
      </c>
      <c r="G1053" s="14">
        <f>IF(D1053="","",D1053*'参数与说明'!$B$6/45.3592)</f>
        <v/>
      </c>
      <c r="H1053" s="15">
        <f>IFERROR(IF(D1053="","",D1053/INDEX($D:$D,MATCH(EDATE($A1053,-1),$A:$A,0))-1),"")</f>
        <v/>
      </c>
      <c r="I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53.8</v>
      </c>
      <c r="E1054" s="18" t="n">
        <v>54.1</v>
      </c>
      <c r="F1054" s="18" t="n">
        <v>46.6</v>
      </c>
      <c r="G1054" s="18">
        <f>IF(D1054="","",D1054*'参数与说明'!$B$6/45.3592)</f>
        <v/>
      </c>
      <c r="H1054" s="19">
        <f>IFERROR(IF(D1054="","",D1054/INDEX($D:$D,MATCH(EDATE($A1054,-1),$A:$A,0))-1),"")</f>
        <v/>
      </c>
      <c r="I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52.8</v>
      </c>
      <c r="E1055" s="14" t="n">
        <v>53</v>
      </c>
      <c r="F1055" s="14" t="n">
        <v>47.2</v>
      </c>
      <c r="G1055" s="14">
        <f>IF(D1055="","",D1055*'参数与说明'!$B$6/45.3592)</f>
        <v/>
      </c>
      <c r="H1055" s="15">
        <f>IFERROR(IF(D1055="","",D1055/INDEX($D:$D,MATCH(EDATE($A1055,-1),$A:$A,0))-1),"")</f>
        <v/>
      </c>
      <c r="I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49.4</v>
      </c>
      <c r="E1056" s="18" t="n">
        <v>49.6</v>
      </c>
      <c r="F1056" s="18" t="n">
        <v>45.2</v>
      </c>
      <c r="G1056" s="18">
        <f>IF(D1056="","",D1056*'参数与说明'!$B$6/45.3592)</f>
        <v/>
      </c>
      <c r="H1056" s="19">
        <f>IFERROR(IF(D1056="","",D1056/INDEX($D:$D,MATCH(EDATE($A1056,-1),$A:$A,0))-1),"")</f>
        <v/>
      </c>
      <c r="I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53.8</v>
      </c>
      <c r="E1057" s="14" t="n">
        <v>54.4</v>
      </c>
      <c r="F1057" s="14" t="n">
        <v>44.8</v>
      </c>
      <c r="G1057" s="14">
        <f>IF(D1057="","",D1057*'参数与说明'!$B$6/45.3592)</f>
        <v/>
      </c>
      <c r="H1057" s="15">
        <f>IFERROR(IF(D1057="","",D1057/INDEX($D:$D,MATCH(EDATE($A1057,-1),$A:$A,0))-1),"")</f>
        <v/>
      </c>
      <c r="I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58.2</v>
      </c>
      <c r="E1058" s="18" t="n">
        <v>58.8</v>
      </c>
      <c r="F1058" s="18" t="n">
        <v>48.4</v>
      </c>
      <c r="G1058" s="18">
        <f>IF(D1058="","",D1058*'参数与说明'!$B$6/45.3592)</f>
        <v/>
      </c>
      <c r="H1058" s="19">
        <f>IFERROR(IF(D1058="","",D1058/INDEX($D:$D,MATCH(EDATE($A1058,-1),$A:$A,0))-1),"")</f>
        <v/>
      </c>
      <c r="I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57.8</v>
      </c>
      <c r="E1059" s="14" t="n">
        <v>58.4</v>
      </c>
      <c r="F1059" s="14" t="n">
        <v>46.2</v>
      </c>
      <c r="G1059" s="14">
        <f>IF(D1059="","",D1059*'参数与说明'!$B$6/45.3592)</f>
        <v/>
      </c>
      <c r="H1059" s="15">
        <f>IFERROR(IF(D1059="","",D1059/INDEX($D:$D,MATCH(EDATE($A1059,-1),$A:$A,0))-1),"")</f>
        <v/>
      </c>
      <c r="I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58.9</v>
      </c>
      <c r="E1060" s="18" t="n">
        <v>59.7</v>
      </c>
      <c r="F1060" s="18" t="n">
        <v>45.9</v>
      </c>
      <c r="G1060" s="18">
        <f>IF(D1060="","",D1060*'参数与说明'!$B$6/45.3592)</f>
        <v/>
      </c>
      <c r="H1060" s="19">
        <f>IFERROR(IF(D1060="","",D1060/INDEX($D:$D,MATCH(EDATE($A1060,-1),$A:$A,0))-1),"")</f>
        <v/>
      </c>
      <c r="I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55.3</v>
      </c>
      <c r="E1061" s="14" t="n">
        <v>55.9</v>
      </c>
      <c r="F1061" s="14" t="n">
        <v>44.4</v>
      </c>
      <c r="G1061" s="14">
        <f>IF(D1061="","",D1061*'参数与说明'!$B$6/45.3592)</f>
        <v/>
      </c>
      <c r="H1061" s="15">
        <f>IFERROR(IF(D1061="","",D1061/INDEX($D:$D,MATCH(EDATE($A1061,-1),$A:$A,0))-1),"")</f>
        <v/>
      </c>
      <c r="I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50.4</v>
      </c>
      <c r="E1062" s="18" t="n">
        <v>50.9</v>
      </c>
      <c r="F1062" s="18" t="n">
        <v>40.3</v>
      </c>
      <c r="G1062" s="18">
        <f>IF(D1062="","",D1062*'参数与说明'!$B$6/45.3592)</f>
        <v/>
      </c>
      <c r="H1062" s="19">
        <f>IFERROR(IF(D1062="","",D1062/INDEX($D:$D,MATCH(EDATE($A1062,-1),$A:$A,0))-1),"")</f>
        <v/>
      </c>
      <c r="I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47.3</v>
      </c>
      <c r="E1063" s="14" t="n">
        <v>47.8</v>
      </c>
      <c r="F1063" s="14" t="n">
        <v>38.2</v>
      </c>
      <c r="G1063" s="14">
        <f>IF(D1063="","",D1063*'参数与说明'!$B$6/45.3592)</f>
        <v/>
      </c>
      <c r="H1063" s="15">
        <f>IFERROR(IF(D1063="","",D1063/INDEX($D:$D,MATCH(EDATE($A1063,-1),$A:$A,0))-1),"")</f>
        <v/>
      </c>
      <c r="I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45.1</v>
      </c>
      <c r="E1064" s="18" t="n">
        <v>45.6</v>
      </c>
      <c r="F1064" s="18" t="n">
        <v>35.1</v>
      </c>
      <c r="G1064" s="18">
        <f>IF(D1064="","",D1064*'参数与说明'!$B$6/45.3592)</f>
        <v/>
      </c>
      <c r="H1064" s="19">
        <f>IFERROR(IF(D1064="","",D1064/INDEX($D:$D,MATCH(EDATE($A1064,-1),$A:$A,0))-1),"")</f>
        <v/>
      </c>
      <c r="I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41.6</v>
      </c>
      <c r="E1065" s="14" t="n">
        <v>42</v>
      </c>
      <c r="F1065" s="14" t="n">
        <v>33.2</v>
      </c>
      <c r="G1065" s="14">
        <f>IF(D1065="","",D1065*'参数与说明'!$B$6/45.3592)</f>
        <v/>
      </c>
      <c r="H1065" s="15">
        <f>IFERROR(IF(D1065="","",D1065/INDEX($D:$D,MATCH(EDATE($A1065,-1),$A:$A,0))-1),"")</f>
        <v/>
      </c>
      <c r="I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36</v>
      </c>
      <c r="E1066" s="18" t="n">
        <v>36.5</v>
      </c>
      <c r="F1066" s="18" t="n">
        <v>26.5</v>
      </c>
      <c r="G1066" s="18">
        <f>IF(D1066="","",D1066*'参数与说明'!$B$6/45.3592)</f>
        <v/>
      </c>
      <c r="H1066" s="19">
        <f>IFERROR(IF(D1066="","",D1066/INDEX($D:$D,MATCH(EDATE($A1066,-1),$A:$A,0))-1),"")</f>
        <v/>
      </c>
      <c r="I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35.9</v>
      </c>
      <c r="E1067" s="14" t="n">
        <v>36.3</v>
      </c>
      <c r="F1067" s="14" t="n">
        <v>26.6</v>
      </c>
      <c r="G1067" s="14">
        <f>IF(D1067="","",D1067*'参数与说明'!$B$6/45.3592)</f>
        <v/>
      </c>
      <c r="H1067" s="15">
        <f>IFERROR(IF(D1067="","",D1067/INDEX($D:$D,MATCH(EDATE($A1067,-1),$A:$A,0))-1),"")</f>
        <v/>
      </c>
      <c r="I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34.9</v>
      </c>
      <c r="E1068" s="18" t="n">
        <v>35.3</v>
      </c>
      <c r="F1068" s="18" t="n">
        <v>26.7</v>
      </c>
      <c r="G1068" s="18">
        <f>IF(D1068="","",D1068*'参数与说明'!$B$6/45.3592)</f>
        <v/>
      </c>
      <c r="H1068" s="19">
        <f>IFERROR(IF(D1068="","",D1068/INDEX($D:$D,MATCH(EDATE($A1068,-1),$A:$A,0))-1),"")</f>
        <v/>
      </c>
      <c r="I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35.6</v>
      </c>
      <c r="E1069" s="14" t="n">
        <v>36</v>
      </c>
      <c r="F1069" s="14" t="n">
        <v>26.7</v>
      </c>
      <c r="G1069" s="14">
        <f>IF(D1069="","",D1069*'参数与说明'!$B$6/45.3592)</f>
        <v/>
      </c>
      <c r="H1069" s="15">
        <f>IFERROR(IF(D1069="","",D1069/INDEX($D:$D,MATCH(EDATE($A1069,-1),$A:$A,0))-1),"")</f>
        <v/>
      </c>
      <c r="I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42.4</v>
      </c>
      <c r="E1070" s="18" t="n">
        <v>43.2</v>
      </c>
      <c r="F1070" s="18" t="n">
        <v>28.6</v>
      </c>
      <c r="G1070" s="18">
        <f>IF(D1070="","",D1070*'参数与说明'!$B$6/45.3592)</f>
        <v/>
      </c>
      <c r="H1070" s="19">
        <f>IFERROR(IF(D1070="","",D1070/INDEX($D:$D,MATCH(EDATE($A1070,-1),$A:$A,0))-1),"")</f>
        <v/>
      </c>
      <c r="I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42.5</v>
      </c>
      <c r="E1071" s="14" t="n">
        <v>43.3</v>
      </c>
      <c r="F1071" s="14" t="n">
        <v>28.8</v>
      </c>
      <c r="G1071" s="14">
        <f>IF(D1071="","",D1071*'参数与说明'!$B$6/45.3592)</f>
        <v/>
      </c>
      <c r="H1071" s="15">
        <f>IFERROR(IF(D1071="","",D1071/INDEX($D:$D,MATCH(EDATE($A1071,-1),$A:$A,0))-1),"")</f>
        <v/>
      </c>
      <c r="I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36.9</v>
      </c>
      <c r="E1072" s="18" t="n">
        <v>37.6</v>
      </c>
      <c r="F1072" s="18" t="n">
        <v>26</v>
      </c>
      <c r="G1072" s="18">
        <f>IF(D1072="","",D1072*'参数与说明'!$B$6/45.3592)</f>
        <v/>
      </c>
      <c r="H1072" s="19">
        <f>IFERROR(IF(D1072="","",D1072/INDEX($D:$D,MATCH(EDATE($A1072,-1),$A:$A,0))-1),"")</f>
        <v/>
      </c>
      <c r="I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35.2</v>
      </c>
      <c r="E1073" s="14" t="n">
        <v>35.9</v>
      </c>
      <c r="F1073" s="14" t="n">
        <v>21.8</v>
      </c>
      <c r="G1073" s="14">
        <f>IF(D1073="","",D1073*'参数与说明'!$B$6/45.3592)</f>
        <v/>
      </c>
      <c r="H1073" s="15">
        <f>IFERROR(IF(D1073="","",D1073/INDEX($D:$D,MATCH(EDATE($A1073,-1),$A:$A,0))-1),"")</f>
        <v/>
      </c>
      <c r="I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29.5</v>
      </c>
      <c r="E1074" s="18" t="n">
        <v>30.1</v>
      </c>
      <c r="F1074" s="18" t="n">
        <v>18.2</v>
      </c>
      <c r="G1074" s="18">
        <f>IF(D1074="","",D1074*'参数与说明'!$B$6/45.3592)</f>
        <v/>
      </c>
      <c r="H1074" s="19">
        <f>IFERROR(IF(D1074="","",D1074/INDEX($D:$D,MATCH(EDATE($A1074,-1),$A:$A,0))-1),"")</f>
        <v/>
      </c>
      <c r="I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27.8</v>
      </c>
      <c r="E1075" s="14" t="n">
        <v>28.3</v>
      </c>
      <c r="F1075" s="14" t="n">
        <v>18.8</v>
      </c>
      <c r="G1075" s="14">
        <f>IF(D1075="","",D1075*'参数与说明'!$B$6/45.3592)</f>
        <v/>
      </c>
      <c r="H1075" s="15">
        <f>IFERROR(IF(D1075="","",D1075/INDEX($D:$D,MATCH(EDATE($A1075,-1),$A:$A,0))-1),"")</f>
        <v/>
      </c>
      <c r="I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18.9</v>
      </c>
      <c r="E1076" s="18" t="n">
        <v>19.1</v>
      </c>
      <c r="F1076" s="18" t="n">
        <v>15.4</v>
      </c>
      <c r="G1076" s="18">
        <f>IF(D1076="","",D1076*'参数与说明'!$B$6/45.3592)</f>
        <v/>
      </c>
      <c r="H1076" s="19">
        <f>IFERROR(IF(D1076="","",D1076/INDEX($D:$D,MATCH(EDATE($A1076,-1),$A:$A,0))-1),"")</f>
        <v/>
      </c>
      <c r="I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15</v>
      </c>
      <c r="E1077" s="14" t="n">
        <v>15.1</v>
      </c>
      <c r="F1077" s="14" t="n">
        <v>11.7</v>
      </c>
      <c r="G1077" s="14">
        <f>IF(D1077="","",D1077*'参数与说明'!$B$6/45.3592)</f>
        <v/>
      </c>
      <c r="H1077" s="15">
        <f>IFERROR(IF(D1077="","",D1077/INDEX($D:$D,MATCH(EDATE($A1077,-1),$A:$A,0))-1),"")</f>
        <v/>
      </c>
      <c r="I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26.5</v>
      </c>
      <c r="E1078" s="18" t="n">
        <v>26.9</v>
      </c>
      <c r="F1078" s="18" t="n">
        <v>18.2</v>
      </c>
      <c r="G1078" s="18">
        <f>IF(D1078="","",D1078*'参数与说明'!$B$6/45.3592)</f>
        <v/>
      </c>
      <c r="H1078" s="19">
        <f>IFERROR(IF(D1078="","",D1078/INDEX($D:$D,MATCH(EDATE($A1078,-1),$A:$A,0))-1),"")</f>
        <v/>
      </c>
      <c r="I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27.7</v>
      </c>
      <c r="E1079" s="14" t="n">
        <v>28.2</v>
      </c>
      <c r="F1079" s="14" t="n">
        <v>18.8</v>
      </c>
      <c r="G1079" s="14">
        <f>IF(D1079="","",D1079*'参数与说明'!$B$6/45.3592)</f>
        <v/>
      </c>
      <c r="H1079" s="15">
        <f>IFERROR(IF(D1079="","",D1079/INDEX($D:$D,MATCH(EDATE($A1079,-1),$A:$A,0))-1),"")</f>
        <v/>
      </c>
      <c r="I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28</v>
      </c>
      <c r="E1080" s="18" t="n">
        <v>28.3</v>
      </c>
      <c r="F1080" s="18" t="n">
        <v>21</v>
      </c>
      <c r="G1080" s="18">
        <f>IF(D1080="","",D1080*'参数与说明'!$B$6/45.3592)</f>
        <v/>
      </c>
      <c r="H1080" s="19">
        <f>IFERROR(IF(D1080="","",D1080/INDEX($D:$D,MATCH(EDATE($A1080,-1),$A:$A,0))-1),"")</f>
        <v/>
      </c>
      <c r="I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30.1</v>
      </c>
      <c r="E1081" s="14" t="n">
        <v>30.5</v>
      </c>
      <c r="F1081" s="14" t="n">
        <v>22.6</v>
      </c>
      <c r="G1081" s="14">
        <f>IF(D1081="","",D1081*'参数与说明'!$B$6/45.3592)</f>
        <v/>
      </c>
      <c r="H1081" s="15">
        <f>IFERROR(IF(D1081="","",D1081/INDEX($D:$D,MATCH(EDATE($A1081,-1),$A:$A,0))-1),"")</f>
        <v/>
      </c>
      <c r="I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36.6</v>
      </c>
      <c r="E1082" s="18" t="n">
        <v>37</v>
      </c>
      <c r="F1082" s="18" t="n">
        <v>28</v>
      </c>
      <c r="G1082" s="18">
        <f>IF(D1082="","",D1082*'参数与说明'!$B$6/45.3592)</f>
        <v/>
      </c>
      <c r="H1082" s="19">
        <f>IFERROR(IF(D1082="","",D1082/INDEX($D:$D,MATCH(EDATE($A1082,-1),$A:$A,0))-1),"")</f>
        <v/>
      </c>
      <c r="I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34.1</v>
      </c>
      <c r="E1083" s="14" t="n">
        <v>34.5</v>
      </c>
      <c r="F1083" s="14" t="n">
        <v>28</v>
      </c>
      <c r="G1083" s="14">
        <f>IF(D1083="","",D1083*'参数与说明'!$B$6/45.3592)</f>
        <v/>
      </c>
      <c r="H1083" s="15">
        <f>IFERROR(IF(D1083="","",D1083/INDEX($D:$D,MATCH(EDATE($A1083,-1),$A:$A,0))-1),"")</f>
        <v/>
      </c>
      <c r="I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31.6</v>
      </c>
      <c r="E1084" s="18" t="n">
        <v>32.2</v>
      </c>
      <c r="F1084" s="18" t="n">
        <v>20.5</v>
      </c>
      <c r="G1084" s="18">
        <f>IF(D1084="","",D1084*'参数与说明'!$B$6/45.3592)</f>
        <v/>
      </c>
      <c r="H1084" s="19">
        <f>IFERROR(IF(D1084="","",D1084/INDEX($D:$D,MATCH(EDATE($A1084,-1),$A:$A,0))-1),"")</f>
        <v/>
      </c>
      <c r="I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36.2</v>
      </c>
      <c r="E1085" s="14" t="n">
        <v>36.9</v>
      </c>
      <c r="F1085" s="14" t="n">
        <v>23</v>
      </c>
      <c r="G1085" s="14">
        <f>IF(D1085="","",D1085*'参数与说明'!$B$6/45.3592)</f>
        <v/>
      </c>
      <c r="H1085" s="15">
        <f>IFERROR(IF(D1085="","",D1085/INDEX($D:$D,MATCH(EDATE($A1085,-1),$A:$A,0))-1),"")</f>
        <v/>
      </c>
      <c r="I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33.9</v>
      </c>
      <c r="E1086" s="18" t="n">
        <v>34.4</v>
      </c>
      <c r="F1086" s="18" t="n">
        <v>22.8</v>
      </c>
      <c r="G1086" s="18">
        <f>IF(D1086="","",D1086*'参数与说明'!$B$6/45.3592)</f>
        <v/>
      </c>
      <c r="H1086" s="19">
        <f>IFERROR(IF(D1086="","",D1086/INDEX($D:$D,MATCH(EDATE($A1086,-1),$A:$A,0))-1),"")</f>
        <v/>
      </c>
      <c r="I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34.2</v>
      </c>
      <c r="E1087" s="14" t="n">
        <v>34.8</v>
      </c>
      <c r="F1087" s="14" t="n">
        <v>25.2</v>
      </c>
      <c r="G1087" s="14">
        <f>IF(D1087="","",D1087*'参数与说明'!$B$6/45.3592)</f>
        <v/>
      </c>
      <c r="H1087" s="15">
        <f>IFERROR(IF(D1087="","",D1087/INDEX($D:$D,MATCH(EDATE($A1087,-1),$A:$A,0))-1),"")</f>
        <v/>
      </c>
      <c r="I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33.4</v>
      </c>
      <c r="E1088" s="18" t="n">
        <v>33.8</v>
      </c>
      <c r="F1088" s="18" t="n">
        <v>24.1</v>
      </c>
      <c r="G1088" s="18">
        <f>IF(D1088="","",D1088*'参数与说明'!$B$6/45.3592)</f>
        <v/>
      </c>
      <c r="H1088" s="19">
        <f>IFERROR(IF(D1088="","",D1088/INDEX($D:$D,MATCH(EDATE($A1088,-1),$A:$A,0))-1),"")</f>
        <v/>
      </c>
      <c r="I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35.7</v>
      </c>
      <c r="E1089" s="14" t="n">
        <v>36.1</v>
      </c>
      <c r="F1089" s="14" t="n">
        <v>27.2</v>
      </c>
      <c r="G1089" s="14">
        <f>IF(D1089="","",D1089*'参数与说明'!$B$6/45.3592)</f>
        <v/>
      </c>
      <c r="H1089" s="15">
        <f>IFERROR(IF(D1089="","",D1089/INDEX($D:$D,MATCH(EDATE($A1089,-1),$A:$A,0))-1),"")</f>
        <v/>
      </c>
      <c r="I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36.8</v>
      </c>
      <c r="E1090" s="18" t="n">
        <v>37</v>
      </c>
      <c r="F1090" s="18" t="n">
        <v>32.9</v>
      </c>
      <c r="G1090" s="18">
        <f>IF(D1090="","",D1090*'参数与说明'!$B$6/45.3592)</f>
        <v/>
      </c>
      <c r="H1090" s="19">
        <f>IFERROR(IF(D1090="","",D1090/INDEX($D:$D,MATCH(EDATE($A1090,-1),$A:$A,0))-1),"")</f>
        <v/>
      </c>
      <c r="I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39.9</v>
      </c>
      <c r="E1091" s="14" t="n">
        <v>40.1</v>
      </c>
      <c r="F1091" s="14" t="n">
        <v>36</v>
      </c>
      <c r="G1091" s="14">
        <f>IF(D1091="","",D1091*'参数与说明'!$B$6/45.3592)</f>
        <v/>
      </c>
      <c r="H1091" s="15">
        <f>IFERROR(IF(D1091="","",D1091/INDEX($D:$D,MATCH(EDATE($A1091,-1),$A:$A,0))-1),"")</f>
        <v/>
      </c>
      <c r="I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41.7</v>
      </c>
      <c r="E1092" s="18" t="n">
        <v>42</v>
      </c>
      <c r="F1092" s="18" t="n">
        <v>34.3</v>
      </c>
      <c r="G1092" s="18">
        <f>IF(D1092="","",D1092*'参数与说明'!$B$6/45.3592)</f>
        <v/>
      </c>
      <c r="H1092" s="19">
        <f>IFERROR(IF(D1092="","",D1092/INDEX($D:$D,MATCH(EDATE($A1092,-1),$A:$A,0))-1),"")</f>
        <v/>
      </c>
      <c r="I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47.4</v>
      </c>
      <c r="E1093" s="14" t="n">
        <v>47.9</v>
      </c>
      <c r="F1093" s="14" t="n">
        <v>37.9</v>
      </c>
      <c r="G1093" s="14">
        <f>IF(D1093="","",D1093*'参数与说明'!$B$6/45.3592)</f>
        <v/>
      </c>
      <c r="H1093" s="15">
        <f>IFERROR(IF(D1093="","",D1093/INDEX($D:$D,MATCH(EDATE($A1093,-1),$A:$A,0))-1),"")</f>
        <v/>
      </c>
      <c r="I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48.3</v>
      </c>
      <c r="E1094" s="18" t="n">
        <v>48.8</v>
      </c>
      <c r="F1094" s="18" t="n">
        <v>39.8</v>
      </c>
      <c r="G1094" s="18">
        <f>IF(D1094="","",D1094*'参数与说明'!$B$6/45.3592)</f>
        <v/>
      </c>
      <c r="H1094" s="19">
        <f>IFERROR(IF(D1094="","",D1094/INDEX($D:$D,MATCH(EDATE($A1094,-1),$A:$A,0))-1),"")</f>
        <v/>
      </c>
      <c r="I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48.9</v>
      </c>
      <c r="E1095" s="14" t="n">
        <v>49.6</v>
      </c>
      <c r="F1095" s="14" t="n">
        <v>35.3</v>
      </c>
      <c r="G1095" s="14">
        <f>IF(D1095="","",D1095*'参数与说明'!$B$6/45.3592)</f>
        <v/>
      </c>
      <c r="H1095" s="15">
        <f>IFERROR(IF(D1095="","",D1095/INDEX($D:$D,MATCH(EDATE($A1095,-1),$A:$A,0))-1),"")</f>
        <v/>
      </c>
      <c r="I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48.3</v>
      </c>
      <c r="E1096" s="18" t="n">
        <v>49.1</v>
      </c>
      <c r="F1096" s="18" t="n">
        <v>34.8</v>
      </c>
      <c r="G1096" s="18">
        <f>IF(D1096="","",D1096*'参数与说明'!$B$6/45.3592)</f>
        <v/>
      </c>
      <c r="H1096" s="19">
        <f>IFERROR(IF(D1096="","",D1096/INDEX($D:$D,MATCH(EDATE($A1096,-1),$A:$A,0))-1),"")</f>
        <v/>
      </c>
      <c r="I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43.8</v>
      </c>
      <c r="E1097" s="14" t="n">
        <v>44.3</v>
      </c>
      <c r="F1097" s="14" t="n">
        <v>34.3</v>
      </c>
      <c r="G1097" s="14">
        <f>IF(D1097="","",D1097*'参数与说明'!$B$6/45.3592)</f>
        <v/>
      </c>
      <c r="H1097" s="15">
        <f>IFERROR(IF(D1097="","",D1097/INDEX($D:$D,MATCH(EDATE($A1097,-1),$A:$A,0))-1),"")</f>
        <v/>
      </c>
      <c r="I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41.6</v>
      </c>
      <c r="E1098" s="18" t="n">
        <v>42.1</v>
      </c>
      <c r="F1098" s="18" t="n">
        <v>34.2</v>
      </c>
      <c r="G1098" s="18">
        <f>IF(D1098="","",D1098*'参数与说明'!$B$6/45.3592)</f>
        <v/>
      </c>
      <c r="H1098" s="19">
        <f>IFERROR(IF(D1098="","",D1098/INDEX($D:$D,MATCH(EDATE($A1098,-1),$A:$A,0))-1),"")</f>
        <v/>
      </c>
      <c r="I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41.4</v>
      </c>
      <c r="E1099" s="14" t="n">
        <v>41.8</v>
      </c>
      <c r="F1099" s="14" t="n">
        <v>33</v>
      </c>
      <c r="G1099" s="14">
        <f>IF(D1099="","",D1099*'参数与说明'!$B$6/45.3592)</f>
        <v/>
      </c>
      <c r="H1099" s="15">
        <f>IFERROR(IF(D1099="","",D1099/INDEX($D:$D,MATCH(EDATE($A1099,-1),$A:$A,0))-1),"")</f>
        <v/>
      </c>
      <c r="I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36.8</v>
      </c>
      <c r="E1100" s="18" t="n">
        <v>37.2</v>
      </c>
      <c r="F1100" s="18" t="n">
        <v>28.4</v>
      </c>
      <c r="G1100" s="18">
        <f>IF(D1100="","",D1100*'参数与说明'!$B$6/45.3592)</f>
        <v/>
      </c>
      <c r="H1100" s="19">
        <f>IFERROR(IF(D1100="","",D1100/INDEX($D:$D,MATCH(EDATE($A1100,-1),$A:$A,0))-1),"")</f>
        <v/>
      </c>
      <c r="I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39.7</v>
      </c>
      <c r="E1101" s="14" t="n">
        <v>40.2</v>
      </c>
      <c r="F1101" s="14" t="n">
        <v>30.6</v>
      </c>
      <c r="G1101" s="14">
        <f>IF(D1101="","",D1101*'参数与说明'!$B$6/45.3592)</f>
        <v/>
      </c>
      <c r="H1101" s="15">
        <f>IFERROR(IF(D1101="","",D1101/INDEX($D:$D,MATCH(EDATE($A1101,-1),$A:$A,0))-1),"")</f>
        <v/>
      </c>
      <c r="I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37.2</v>
      </c>
      <c r="E1102" s="18" t="n">
        <v>37.6</v>
      </c>
      <c r="F1102" s="18" t="n">
        <v>30.9</v>
      </c>
      <c r="G1102" s="18">
        <f>IF(D1102="","",D1102*'参数与说明'!$B$6/45.3592)</f>
        <v/>
      </c>
      <c r="H1102" s="19">
        <f>IFERROR(IF(D1102="","",D1102/INDEX($D:$D,MATCH(EDATE($A1102,-1),$A:$A,0))-1),"")</f>
        <v/>
      </c>
      <c r="I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39.2</v>
      </c>
      <c r="E1103" s="14" t="n">
        <v>39.6</v>
      </c>
      <c r="F1103" s="14" t="n">
        <v>30.7</v>
      </c>
      <c r="G1103" s="14">
        <f>IF(D1103="","",D1103*'参数与说明'!$B$6/45.3592)</f>
        <v/>
      </c>
      <c r="H1103" s="15">
        <f>IFERROR(IF(D1103="","",D1103/INDEX($D:$D,MATCH(EDATE($A1103,-1),$A:$A,0))-1),"")</f>
        <v/>
      </c>
      <c r="I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45.9</v>
      </c>
      <c r="E1104" s="18" t="n">
        <v>46.5</v>
      </c>
      <c r="F1104" s="18" t="n">
        <v>34.7</v>
      </c>
      <c r="G1104" s="18">
        <f>IF(D1104="","",D1104*'参数与说明'!$B$6/45.3592)</f>
        <v/>
      </c>
      <c r="H1104" s="19">
        <f>IFERROR(IF(D1104="","",D1104/INDEX($D:$D,MATCH(EDATE($A1104,-1),$A:$A,0))-1),"")</f>
        <v/>
      </c>
      <c r="I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47.8</v>
      </c>
      <c r="E1105" s="14" t="n">
        <v>48.3</v>
      </c>
      <c r="F1105" s="14" t="n">
        <v>39.5</v>
      </c>
      <c r="G1105" s="14">
        <f>IF(D1105="","",D1105*'参数与说明'!$B$6/45.3592)</f>
        <v/>
      </c>
      <c r="H1105" s="15">
        <f>IFERROR(IF(D1105="","",D1105/INDEX($D:$D,MATCH(EDATE($A1105,-1),$A:$A,0))-1),"")</f>
        <v/>
      </c>
      <c r="I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50.4</v>
      </c>
      <c r="E1106" s="18" t="n">
        <v>51.2</v>
      </c>
      <c r="F1106" s="18" t="n">
        <v>38.7</v>
      </c>
      <c r="G1106" s="18">
        <f>IF(D1106="","",D1106*'参数与说明'!$B$6/45.3592)</f>
        <v/>
      </c>
      <c r="H1106" s="19">
        <f>IFERROR(IF(D1106="","",D1106/INDEX($D:$D,MATCH(EDATE($A1106,-1),$A:$A,0))-1),"")</f>
        <v/>
      </c>
      <c r="I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52.2</v>
      </c>
      <c r="E1107" s="14" t="n">
        <v>53</v>
      </c>
      <c r="F1107" s="14" t="n">
        <v>40.2</v>
      </c>
      <c r="G1107" s="14">
        <f>IF(D1107="","",D1107*'参数与说明'!$B$6/45.3592)</f>
        <v/>
      </c>
      <c r="H1107" s="15">
        <f>IFERROR(IF(D1107="","",D1107/INDEX($D:$D,MATCH(EDATE($A1107,-1),$A:$A,0))-1),"")</f>
        <v/>
      </c>
      <c r="I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51.7</v>
      </c>
      <c r="E1108" s="18" t="n">
        <v>52.3</v>
      </c>
      <c r="F1108" s="18" t="n">
        <v>40.8</v>
      </c>
      <c r="G1108" s="18">
        <f>IF(D1108="","",D1108*'参数与说明'!$B$6/45.3592)</f>
        <v/>
      </c>
      <c r="H1108" s="19">
        <f>IFERROR(IF(D1108="","",D1108/INDEX($D:$D,MATCH(EDATE($A1108,-1),$A:$A,0))-1),"")</f>
        <v/>
      </c>
      <c r="I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50.8</v>
      </c>
      <c r="E1109" s="14" t="n">
        <v>51.5</v>
      </c>
      <c r="F1109" s="14" t="n">
        <v>39.4</v>
      </c>
      <c r="G1109" s="14">
        <f>IF(D1109="","",D1109*'参数与说明'!$B$6/45.3592)</f>
        <v/>
      </c>
      <c r="H1109" s="15">
        <f>IFERROR(IF(D1109="","",D1109/INDEX($D:$D,MATCH(EDATE($A1109,-1),$A:$A,0))-1),"")</f>
        <v/>
      </c>
      <c r="I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45.2</v>
      </c>
      <c r="E1110" s="18" t="n">
        <v>45.8</v>
      </c>
      <c r="F1110" s="18" t="n">
        <v>34.8</v>
      </c>
      <c r="G1110" s="18">
        <f>IF(D1110="","",D1110*'参数与说明'!$B$6/45.3592)</f>
        <v/>
      </c>
      <c r="H1110" s="19">
        <f>IFERROR(IF(D1110="","",D1110/INDEX($D:$D,MATCH(EDATE($A1110,-1),$A:$A,0))-1),"")</f>
        <v/>
      </c>
      <c r="I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40.2</v>
      </c>
      <c r="E1111" s="14" t="n">
        <v>40.6</v>
      </c>
      <c r="F1111" s="14" t="n">
        <v>33.1</v>
      </c>
      <c r="G1111" s="14">
        <f>IF(D1111="","",D1111*'参数与说明'!$B$6/45.3592)</f>
        <v/>
      </c>
      <c r="H1111" s="15">
        <f>IFERROR(IF(D1111="","",D1111/INDEX($D:$D,MATCH(EDATE($A1111,-1),$A:$A,0))-1),"")</f>
        <v/>
      </c>
      <c r="I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35</v>
      </c>
      <c r="E1112" s="18" t="n">
        <v>35.4</v>
      </c>
      <c r="F1112" s="18" t="n">
        <v>28.2</v>
      </c>
      <c r="G1112" s="18">
        <f>IF(D1112="","",D1112*'参数与说明'!$B$6/45.3592)</f>
        <v/>
      </c>
      <c r="H1112" s="19">
        <f>IFERROR(IF(D1112="","",D1112/INDEX($D:$D,MATCH(EDATE($A1112,-1),$A:$A,0))-1),"")</f>
        <v/>
      </c>
      <c r="I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33.3</v>
      </c>
      <c r="E1113" s="14" t="n">
        <v>33.7</v>
      </c>
      <c r="F1113" s="14" t="n">
        <v>25</v>
      </c>
      <c r="G1113" s="14">
        <f>IF(D1113="","",D1113*'参数与说明'!$B$6/45.3592)</f>
        <v/>
      </c>
      <c r="H1113" s="15">
        <f>IFERROR(IF(D1113="","",D1113/INDEX($D:$D,MATCH(EDATE($A1113,-1),$A:$A,0))-1),"")</f>
        <v/>
      </c>
      <c r="I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37.6</v>
      </c>
      <c r="E1114" s="18" t="n">
        <v>38.3</v>
      </c>
      <c r="F1114" s="18" t="n">
        <v>26.8</v>
      </c>
      <c r="G1114" s="18">
        <f>IF(D1114="","",D1114*'参数与说明'!$B$6/45.3592)</f>
        <v/>
      </c>
      <c r="H1114" s="19">
        <f>IFERROR(IF(D1114="","",D1114/INDEX($D:$D,MATCH(EDATE($A1114,-1),$A:$A,0))-1),"")</f>
        <v/>
      </c>
      <c r="I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38.5</v>
      </c>
      <c r="E1115" s="14" t="n">
        <v>39</v>
      </c>
      <c r="F1115" s="14" t="n">
        <v>27.7</v>
      </c>
      <c r="G1115" s="14">
        <f>IF(D1115="","",D1115*'参数与说明'!$B$6/45.3592)</f>
        <v/>
      </c>
      <c r="H1115" s="15">
        <f>IFERROR(IF(D1115="","",D1115/INDEX($D:$D,MATCH(EDATE($A1115,-1),$A:$A,0))-1),"")</f>
        <v/>
      </c>
      <c r="I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36</v>
      </c>
      <c r="E1116" s="18" t="n">
        <v>36.3</v>
      </c>
      <c r="F1116" s="18" t="n">
        <v>30</v>
      </c>
      <c r="G1116" s="18">
        <f>IF(D1116="","",D1116*'参数与说明'!$B$6/45.3592)</f>
        <v/>
      </c>
      <c r="H1116" s="19">
        <f>IFERROR(IF(D1116="","",D1116/INDEX($D:$D,MATCH(EDATE($A1116,-1),$A:$A,0))-1),"")</f>
        <v/>
      </c>
      <c r="I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31.7</v>
      </c>
      <c r="E1117" s="14" t="n">
        <v>32</v>
      </c>
      <c r="F1117" s="14" t="n">
        <v>25.3</v>
      </c>
      <c r="G1117" s="14">
        <f>IF(D1117="","",D1117*'参数与说明'!$B$6/45.3592)</f>
        <v/>
      </c>
      <c r="H1117" s="15">
        <f>IFERROR(IF(D1117="","",D1117/INDEX($D:$D,MATCH(EDATE($A1117,-1),$A:$A,0))-1),"")</f>
        <v/>
      </c>
      <c r="I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33.2</v>
      </c>
      <c r="E1118" s="18" t="n">
        <v>33.6</v>
      </c>
      <c r="F1118" s="18" t="n">
        <v>23.5</v>
      </c>
      <c r="G1118" s="18">
        <f>IF(D1118="","",D1118*'参数与说明'!$B$6/45.3592)</f>
        <v/>
      </c>
      <c r="H1118" s="19">
        <f>IFERROR(IF(D1118="","",D1118/INDEX($D:$D,MATCH(EDATE($A1118,-1),$A:$A,0))-1),"")</f>
        <v/>
      </c>
      <c r="I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35.8</v>
      </c>
      <c r="E1119" s="14" t="n">
        <v>36.6</v>
      </c>
      <c r="F1119" s="14" t="n">
        <v>21</v>
      </c>
      <c r="G1119" s="14">
        <f>IF(D1119="","",D1119*'参数与说明'!$B$6/45.3592)</f>
        <v/>
      </c>
      <c r="H1119" s="15">
        <f>IFERROR(IF(D1119="","",D1119/INDEX($D:$D,MATCH(EDATE($A1119,-1),$A:$A,0))-1),"")</f>
        <v/>
      </c>
      <c r="I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39.2</v>
      </c>
      <c r="E1120" s="18" t="n">
        <v>40.2</v>
      </c>
      <c r="F1120" s="18" t="n">
        <v>19.9</v>
      </c>
      <c r="G1120" s="18">
        <f>IF(D1120="","",D1120*'参数与说明'!$B$6/45.3592)</f>
        <v/>
      </c>
      <c r="H1120" s="19">
        <f>IFERROR(IF(D1120="","",D1120/INDEX($D:$D,MATCH(EDATE($A1120,-1),$A:$A,0))-1),"")</f>
        <v/>
      </c>
      <c r="I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31.9</v>
      </c>
      <c r="E1121" s="14" t="n">
        <v>32.6</v>
      </c>
      <c r="F1121" s="14" t="n">
        <v>19</v>
      </c>
      <c r="G1121" s="14">
        <f>IF(D1121="","",D1121*'参数与说明'!$B$6/45.3592)</f>
        <v/>
      </c>
      <c r="H1121" s="15">
        <f>IFERROR(IF(D1121="","",D1121/INDEX($D:$D,MATCH(EDATE($A1121,-1),$A:$A,0))-1),"")</f>
        <v/>
      </c>
      <c r="I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26.5</v>
      </c>
      <c r="E1122" s="18" t="n">
        <v>27.1</v>
      </c>
      <c r="F1122" s="18" t="n">
        <v>15.1</v>
      </c>
      <c r="G1122" s="18">
        <f>IF(D1122="","",D1122*'参数与说明'!$B$6/45.3592)</f>
        <v/>
      </c>
      <c r="H1122" s="19">
        <f>IFERROR(IF(D1122="","",D1122/INDEX($D:$D,MATCH(EDATE($A1122,-1),$A:$A,0))-1),"")</f>
        <v/>
      </c>
      <c r="I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30.8</v>
      </c>
      <c r="E1123" s="14" t="n">
        <v>31.4</v>
      </c>
      <c r="F1123" s="14" t="n">
        <v>19.2</v>
      </c>
      <c r="G1123" s="14">
        <f>IF(D1123="","",D1123*'参数与说明'!$B$6/45.3592)</f>
        <v/>
      </c>
      <c r="H1123" s="15">
        <f>IFERROR(IF(D1123="","",D1123/INDEX($D:$D,MATCH(EDATE($A1123,-1),$A:$A,0))-1),"")</f>
        <v/>
      </c>
      <c r="I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27.8</v>
      </c>
      <c r="E1124" s="18" t="n">
        <v>28.1</v>
      </c>
      <c r="F1124" s="18" t="n">
        <v>20.8</v>
      </c>
      <c r="G1124" s="18">
        <f>IF(D1124="","",D1124*'参数与说明'!$B$6/45.3592)</f>
        <v/>
      </c>
      <c r="H1124" s="19">
        <f>IFERROR(IF(D1124="","",D1124/INDEX($D:$D,MATCH(EDATE($A1124,-1),$A:$A,0))-1),"")</f>
        <v/>
      </c>
      <c r="I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30.3</v>
      </c>
      <c r="E1125" s="14" t="n">
        <v>30.7</v>
      </c>
      <c r="F1125" s="14" t="n">
        <v>22.3</v>
      </c>
      <c r="G1125" s="14">
        <f>IF(D1125="","",D1125*'参数与说明'!$B$6/45.3592)</f>
        <v/>
      </c>
      <c r="H1125" s="15">
        <f>IFERROR(IF(D1125="","",D1125/INDEX($D:$D,MATCH(EDATE($A1125,-1),$A:$A,0))-1),"")</f>
        <v/>
      </c>
      <c r="I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32.9</v>
      </c>
      <c r="E1126" s="18" t="n">
        <v>33.5</v>
      </c>
      <c r="F1126" s="18" t="n">
        <v>21.7</v>
      </c>
      <c r="G1126" s="18">
        <f>IF(D1126="","",D1126*'参数与说明'!$B$6/45.3592)</f>
        <v/>
      </c>
      <c r="H1126" s="19">
        <f>IFERROR(IF(D1126="","",D1126/INDEX($D:$D,MATCH(EDATE($A1126,-1),$A:$A,0))-1),"")</f>
        <v/>
      </c>
      <c r="I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34.3</v>
      </c>
      <c r="E1127" s="14" t="n">
        <v>34.9</v>
      </c>
      <c r="F1127" s="14" t="n">
        <v>23.4</v>
      </c>
      <c r="G1127" s="14">
        <f>IF(D1127="","",D1127*'参数与说明'!$B$6/45.3592)</f>
        <v/>
      </c>
      <c r="H1127" s="15">
        <f>IFERROR(IF(D1127="","",D1127/INDEX($D:$D,MATCH(EDATE($A1127,-1),$A:$A,0))-1),"")</f>
        <v/>
      </c>
      <c r="I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34.7</v>
      </c>
      <c r="E1128" s="18" t="n">
        <v>35.2</v>
      </c>
      <c r="F1128" s="18" t="n">
        <v>24.2</v>
      </c>
      <c r="G1128" s="18">
        <f>IF(D1128="","",D1128*'参数与说明'!$B$6/45.3592)</f>
        <v/>
      </c>
      <c r="H1128" s="19">
        <f>IFERROR(IF(D1128="","",D1128/INDEX($D:$D,MATCH(EDATE($A1128,-1),$A:$A,0))-1),"")</f>
        <v/>
      </c>
      <c r="I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34.8</v>
      </c>
      <c r="E1129" s="14" t="n">
        <v>35.3</v>
      </c>
      <c r="F1129" s="14" t="n">
        <v>25.8</v>
      </c>
      <c r="G1129" s="14">
        <f>IF(D1129="","",D1129*'参数与说明'!$B$6/45.3592)</f>
        <v/>
      </c>
      <c r="H1129" s="15">
        <f>IFERROR(IF(D1129="","",D1129/INDEX($D:$D,MATCH(EDATE($A1129,-1),$A:$A,0))-1),"")</f>
        <v/>
      </c>
      <c r="I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41.3</v>
      </c>
      <c r="E1130" s="18" t="n">
        <v>41.8</v>
      </c>
      <c r="F1130" s="18" t="n">
        <v>29</v>
      </c>
      <c r="G1130" s="18">
        <f>IF(D1130="","",D1130*'参数与说明'!$B$6/45.3592)</f>
        <v/>
      </c>
      <c r="H1130" s="19">
        <f>IFERROR(IF(D1130="","",D1130/INDEX($D:$D,MATCH(EDATE($A1130,-1),$A:$A,0))-1),"")</f>
        <v/>
      </c>
      <c r="I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45</v>
      </c>
      <c r="E1131" s="14" t="n">
        <v>45.7</v>
      </c>
      <c r="F1131" s="14" t="n">
        <v>30.3</v>
      </c>
      <c r="G1131" s="14">
        <f>IF(D1131="","",D1131*'参数与说明'!$B$6/45.3592)</f>
        <v/>
      </c>
      <c r="H1131" s="15">
        <f>IFERROR(IF(D1131="","",D1131/INDEX($D:$D,MATCH(EDATE($A1131,-1),$A:$A,0))-1),"")</f>
        <v/>
      </c>
      <c r="I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42.7</v>
      </c>
      <c r="E1132" s="18" t="n">
        <v>43.2</v>
      </c>
      <c r="F1132" s="18" t="n">
        <v>33.1</v>
      </c>
      <c r="G1132" s="18">
        <f>IF(D1132="","",D1132*'参数与说明'!$B$6/45.3592)</f>
        <v/>
      </c>
      <c r="H1132" s="19">
        <f>IFERROR(IF(D1132="","",D1132/INDEX($D:$D,MATCH(EDATE($A1132,-1),$A:$A,0))-1),"")</f>
        <v/>
      </c>
      <c r="I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39.6</v>
      </c>
      <c r="E1133" s="14" t="n">
        <v>39.9</v>
      </c>
      <c r="F1133" s="14" t="n">
        <v>32.6</v>
      </c>
      <c r="G1133" s="14">
        <f>IF(D1133="","",D1133*'参数与说明'!$B$6/45.3592)</f>
        <v/>
      </c>
      <c r="H1133" s="15">
        <f>IFERROR(IF(D1133="","",D1133/INDEX($D:$D,MATCH(EDATE($A1133,-1),$A:$A,0))-1),"")</f>
        <v/>
      </c>
      <c r="I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39.7</v>
      </c>
      <c r="E1134" s="18" t="n">
        <v>40.1</v>
      </c>
      <c r="F1134" s="18" t="n">
        <v>30.8</v>
      </c>
      <c r="G1134" s="18">
        <f>IF(D1134="","",D1134*'参数与说明'!$B$6/45.3592)</f>
        <v/>
      </c>
      <c r="H1134" s="19">
        <f>IFERROR(IF(D1134="","",D1134/INDEX($D:$D,MATCH(EDATE($A1134,-1),$A:$A,0))-1),"")</f>
        <v/>
      </c>
      <c r="I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36.7</v>
      </c>
      <c r="E1135" s="14" t="n">
        <v>37</v>
      </c>
      <c r="F1135" s="14" t="n">
        <v>31.4</v>
      </c>
      <c r="G1135" s="14">
        <f>IF(D1135="","",D1135*'参数与说明'!$B$6/45.3592)</f>
        <v/>
      </c>
      <c r="H1135" s="15">
        <f>IFERROR(IF(D1135="","",D1135/INDEX($D:$D,MATCH(EDATE($A1135,-1),$A:$A,0))-1),"")</f>
        <v/>
      </c>
      <c r="I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34.7</v>
      </c>
      <c r="E1136" s="18" t="n">
        <v>34.9</v>
      </c>
      <c r="F1136" s="18" t="n">
        <v>29.1</v>
      </c>
      <c r="G1136" s="18">
        <f>IF(D1136="","",D1136*'参数与说明'!$B$6/45.3592)</f>
        <v/>
      </c>
      <c r="H1136" s="19">
        <f>IFERROR(IF(D1136="","",D1136/INDEX($D:$D,MATCH(EDATE($A1136,-1),$A:$A,0))-1),"")</f>
        <v/>
      </c>
      <c r="I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34.1</v>
      </c>
      <c r="E1137" s="14" t="n">
        <v>34.5</v>
      </c>
      <c r="F1137" s="14" t="n">
        <v>28.2</v>
      </c>
      <c r="G1137" s="14">
        <f>IF(D1137="","",D1137*'参数与说明'!$B$6/45.3592)</f>
        <v/>
      </c>
      <c r="H1137" s="15">
        <f>IFERROR(IF(D1137="","",D1137/INDEX($D:$D,MATCH(EDATE($A1137,-1),$A:$A,0))-1),"")</f>
        <v/>
      </c>
      <c r="I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36.6</v>
      </c>
      <c r="E1138" s="18" t="n">
        <v>37</v>
      </c>
      <c r="F1138" s="18" t="n">
        <v>28.3</v>
      </c>
      <c r="G1138" s="18">
        <f>IF(D1138="","",D1138*'参数与说明'!$B$6/45.3592)</f>
        <v/>
      </c>
      <c r="H1138" s="19">
        <f>IFERROR(IF(D1138="","",D1138/INDEX($D:$D,MATCH(EDATE($A1138,-1),$A:$A,0))-1),"")</f>
        <v/>
      </c>
      <c r="I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42.6</v>
      </c>
      <c r="E1139" s="14" t="n">
        <v>43</v>
      </c>
      <c r="F1139" s="14" t="n">
        <v>34.6</v>
      </c>
      <c r="G1139" s="14">
        <f>IF(D1139="","",D1139*'参数与说明'!$B$6/45.3592)</f>
        <v/>
      </c>
      <c r="H1139" s="15">
        <f>IFERROR(IF(D1139="","",D1139/INDEX($D:$D,MATCH(EDATE($A1139,-1),$A:$A,0))-1),"")</f>
        <v/>
      </c>
      <c r="I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47.2</v>
      </c>
      <c r="E1140" s="18" t="n">
        <v>47.6</v>
      </c>
      <c r="F1140" s="18" t="n">
        <v>39.9</v>
      </c>
      <c r="G1140" s="18">
        <f>IF(D1140="","",D1140*'参数与说明'!$B$6/45.3592)</f>
        <v/>
      </c>
      <c r="H1140" s="19">
        <f>IFERROR(IF(D1140="","",D1140/INDEX($D:$D,MATCH(EDATE($A1140,-1),$A:$A,0))-1),"")</f>
        <v/>
      </c>
      <c r="I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47.4</v>
      </c>
      <c r="E1141" s="14" t="n">
        <v>47.7</v>
      </c>
      <c r="F1141" s="14" t="n">
        <v>40.7</v>
      </c>
      <c r="G1141" s="14">
        <f>IF(D1141="","",D1141*'参数与说明'!$B$6/45.3592)</f>
        <v/>
      </c>
      <c r="H1141" s="15">
        <f>IFERROR(IF(D1141="","",D1141/INDEX($D:$D,MATCH(EDATE($A1141,-1),$A:$A,0))-1),"")</f>
        <v/>
      </c>
      <c r="I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56.6</v>
      </c>
      <c r="E1142" s="18" t="n">
        <v>57.3</v>
      </c>
      <c r="F1142" s="18" t="n">
        <v>43.5</v>
      </c>
      <c r="G1142" s="18">
        <f>IF(D1142="","",D1142*'参数与说明'!$B$6/45.3592)</f>
        <v/>
      </c>
      <c r="H1142" s="19">
        <f>IFERROR(IF(D1142="","",D1142/INDEX($D:$D,MATCH(EDATE($A1142,-1),$A:$A,0))-1),"")</f>
        <v/>
      </c>
      <c r="I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56.7</v>
      </c>
      <c r="E1143" s="14" t="n">
        <v>57.2</v>
      </c>
      <c r="F1143" s="14" t="n">
        <v>46.5</v>
      </c>
      <c r="G1143" s="14">
        <f>IF(D1143="","",D1143*'参数与说明'!$B$6/45.3592)</f>
        <v/>
      </c>
      <c r="H1143" s="15">
        <f>IFERROR(IF(D1143="","",D1143/INDEX($D:$D,MATCH(EDATE($A1143,-1),$A:$A,0))-1),"")</f>
        <v/>
      </c>
      <c r="I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57.1</v>
      </c>
      <c r="E1144" s="18" t="n">
        <v>57.6</v>
      </c>
      <c r="F1144" s="18" t="n">
        <v>49.4</v>
      </c>
      <c r="G1144" s="18">
        <f>IF(D1144="","",D1144*'参数与说明'!$B$6/45.3592)</f>
        <v/>
      </c>
      <c r="H1144" s="19">
        <f>IFERROR(IF(D1144="","",D1144/INDEX($D:$D,MATCH(EDATE($A1144,-1),$A:$A,0))-1),"")</f>
        <v/>
      </c>
      <c r="I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55.3</v>
      </c>
      <c r="E1145" s="14" t="n">
        <v>55.8</v>
      </c>
      <c r="F1145" s="14" t="n">
        <v>46.9</v>
      </c>
      <c r="G1145" s="14">
        <f>IF(D1145="","",D1145*'参数与说明'!$B$6/45.3592)</f>
        <v/>
      </c>
      <c r="H1145" s="15">
        <f>IFERROR(IF(D1145="","",D1145/INDEX($D:$D,MATCH(EDATE($A1145,-1),$A:$A,0))-1),"")</f>
        <v/>
      </c>
      <c r="I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54.8</v>
      </c>
      <c r="E1146" s="18" t="n">
        <v>55.4</v>
      </c>
      <c r="F1146" s="18" t="n">
        <v>42.2</v>
      </c>
      <c r="G1146" s="18">
        <f>IF(D1146="","",D1146*'参数与说明'!$B$6/45.3592)</f>
        <v/>
      </c>
      <c r="H1146" s="19">
        <f>IFERROR(IF(D1146="","",D1146/INDEX($D:$D,MATCH(EDATE($A1146,-1),$A:$A,0))-1),"")</f>
        <v/>
      </c>
      <c r="I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52.2</v>
      </c>
      <c r="E1147" s="14" t="n">
        <v>52.7</v>
      </c>
      <c r="F1147" s="14" t="n">
        <v>41.8</v>
      </c>
      <c r="G1147" s="14">
        <f>IF(D1147="","",D1147*'参数与说明'!$B$6/45.3592)</f>
        <v/>
      </c>
      <c r="H1147" s="15">
        <f>IFERROR(IF(D1147="","",D1147/INDEX($D:$D,MATCH(EDATE($A1147,-1),$A:$A,0))-1),"")</f>
        <v/>
      </c>
      <c r="I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55.6</v>
      </c>
      <c r="E1148" s="18" t="n">
        <v>56.1</v>
      </c>
      <c r="F1148" s="18" t="n">
        <v>45.2</v>
      </c>
      <c r="G1148" s="18">
        <f>IF(D1148="","",D1148*'参数与说明'!$B$6/45.3592)</f>
        <v/>
      </c>
      <c r="H1148" s="19">
        <f>IFERROR(IF(D1148="","",D1148/INDEX($D:$D,MATCH(EDATE($A1148,-1),$A:$A,0))-1),"")</f>
        <v/>
      </c>
      <c r="I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52.3</v>
      </c>
      <c r="E1149" s="14" t="n">
        <v>52.7</v>
      </c>
      <c r="F1149" s="14" t="n">
        <v>44.5</v>
      </c>
      <c r="G1149" s="14">
        <f>IF(D1149="","",D1149*'参数与说明'!$B$6/45.3592)</f>
        <v/>
      </c>
      <c r="H1149" s="15">
        <f>IFERROR(IF(D1149="","",D1149/INDEX($D:$D,MATCH(EDATE($A1149,-1),$A:$A,0))-1),"")</f>
        <v/>
      </c>
      <c r="I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53</v>
      </c>
      <c r="E1150" s="18" t="n">
        <v>53.4</v>
      </c>
      <c r="F1150" s="18" t="n">
        <v>45.4</v>
      </c>
      <c r="G1150" s="18">
        <f>IF(D1150="","",D1150*'参数与说明'!$B$6/45.3592)</f>
        <v/>
      </c>
      <c r="H1150" s="19">
        <f>IFERROR(IF(D1150="","",D1150/INDEX($D:$D,MATCH(EDATE($A1150,-1),$A:$A,0))-1),"")</f>
        <v/>
      </c>
      <c r="I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50.7</v>
      </c>
      <c r="E1151" s="14" t="n">
        <v>51</v>
      </c>
      <c r="F1151" s="14" t="n">
        <v>45.1</v>
      </c>
      <c r="G1151" s="14">
        <f>IF(D1151="","",D1151*'参数与说明'!$B$6/45.3592)</f>
        <v/>
      </c>
      <c r="H1151" s="15">
        <f>IFERROR(IF(D1151="","",D1151/INDEX($D:$D,MATCH(EDATE($A1151,-1),$A:$A,0))-1),"")</f>
        <v/>
      </c>
      <c r="I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51.2</v>
      </c>
      <c r="E1152" s="18" t="n">
        <v>51.5</v>
      </c>
      <c r="F1152" s="18" t="n">
        <v>43.4</v>
      </c>
      <c r="G1152" s="18">
        <f>IF(D1152="","",D1152*'参数与说明'!$B$6/45.3592)</f>
        <v/>
      </c>
      <c r="H1152" s="19">
        <f>IFERROR(IF(D1152="","",D1152/INDEX($D:$D,MATCH(EDATE($A1152,-1),$A:$A,0))-1),"")</f>
        <v/>
      </c>
      <c r="I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51.1</v>
      </c>
      <c r="E1153" s="14" t="n">
        <v>51.5</v>
      </c>
      <c r="F1153" s="14" t="n">
        <v>41.5</v>
      </c>
      <c r="G1153" s="14">
        <f>IF(D1153="","",D1153*'参数与说明'!$B$6/45.3592)</f>
        <v/>
      </c>
      <c r="H1153" s="15">
        <f>IFERROR(IF(D1153="","",D1153/INDEX($D:$D,MATCH(EDATE($A1153,-1),$A:$A,0))-1),"")</f>
        <v/>
      </c>
      <c r="I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54.9</v>
      </c>
      <c r="E1154" s="18" t="n">
        <v>55.5</v>
      </c>
      <c r="F1154" s="18" t="n">
        <v>42.6</v>
      </c>
      <c r="G1154" s="18">
        <f>IF(D1154="","",D1154*'参数与说明'!$B$6/45.3592)</f>
        <v/>
      </c>
      <c r="H1154" s="19">
        <f>IFERROR(IF(D1154="","",D1154/INDEX($D:$D,MATCH(EDATE($A1154,-1),$A:$A,0))-1),"")</f>
        <v/>
      </c>
      <c r="I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49.5</v>
      </c>
      <c r="E1155" s="14" t="n">
        <v>49.9</v>
      </c>
      <c r="F1155" s="14" t="n">
        <v>43.4</v>
      </c>
      <c r="G1155" s="14">
        <f>IF(D1155="","",D1155*'参数与说明'!$B$6/45.3592)</f>
        <v/>
      </c>
      <c r="H1155" s="15">
        <f>IFERROR(IF(D1155="","",D1155/INDEX($D:$D,MATCH(EDATE($A1155,-1),$A:$A,0))-1),"")</f>
        <v/>
      </c>
      <c r="I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49.8</v>
      </c>
      <c r="E1156" s="18" t="n">
        <v>50.4</v>
      </c>
      <c r="F1156" s="18" t="n">
        <v>37.6</v>
      </c>
      <c r="G1156" s="18">
        <f>IF(D1156="","",D1156*'参数与说明'!$B$6/45.3592)</f>
        <v/>
      </c>
      <c r="H1156" s="19">
        <f>IFERROR(IF(D1156="","",D1156/INDEX($D:$D,MATCH(EDATE($A1156,-1),$A:$A,0))-1),"")</f>
        <v/>
      </c>
      <c r="I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51</v>
      </c>
      <c r="E1157" s="14" t="n">
        <v>51.6</v>
      </c>
      <c r="F1157" s="14" t="n">
        <v>38.6</v>
      </c>
      <c r="G1157" s="14">
        <f>IF(D1157="","",D1157*'参数与说明'!$B$6/45.3592)</f>
        <v/>
      </c>
      <c r="H1157" s="15">
        <f>IFERROR(IF(D1157="","",D1157/INDEX($D:$D,MATCH(EDATE($A1157,-1),$A:$A,0))-1),"")</f>
        <v/>
      </c>
      <c r="I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49.4</v>
      </c>
      <c r="E1158" s="18" t="n">
        <v>49.9</v>
      </c>
      <c r="F1158" s="18" t="n">
        <v>39.1</v>
      </c>
      <c r="G1158" s="18">
        <f>IF(D1158="","",D1158*'参数与说明'!$B$6/45.3592)</f>
        <v/>
      </c>
      <c r="H1158" s="19">
        <f>IFERROR(IF(D1158="","",D1158/INDEX($D:$D,MATCH(EDATE($A1158,-1),$A:$A,0))-1),"")</f>
        <v/>
      </c>
      <c r="I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47</v>
      </c>
      <c r="E1159" s="14" t="n">
        <v>47.3</v>
      </c>
      <c r="F1159" s="14" t="n">
        <v>41.6</v>
      </c>
      <c r="G1159" s="14">
        <f>IF(D1159="","",D1159*'参数与说明'!$B$6/45.3592)</f>
        <v/>
      </c>
      <c r="H1159" s="15">
        <f>IFERROR(IF(D1159="","",D1159/INDEX($D:$D,MATCH(EDATE($A1159,-1),$A:$A,0))-1),"")</f>
        <v/>
      </c>
      <c r="I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43.5</v>
      </c>
      <c r="E1160" s="18" t="n">
        <v>43.8</v>
      </c>
      <c r="F1160" s="18" t="n">
        <v>37.3</v>
      </c>
      <c r="G1160" s="18">
        <f>IF(D1160="","",D1160*'参数与说明'!$B$6/45.3592)</f>
        <v/>
      </c>
      <c r="H1160" s="19">
        <f>IFERROR(IF(D1160="","",D1160/INDEX($D:$D,MATCH(EDATE($A1160,-1),$A:$A,0))-1),"")</f>
        <v/>
      </c>
      <c r="I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44.2</v>
      </c>
      <c r="E1161" s="14" t="n">
        <v>44.5</v>
      </c>
      <c r="F1161" s="14" t="n">
        <v>38</v>
      </c>
      <c r="G1161" s="14">
        <f>IF(D1161="","",D1161*'参数与说明'!$B$6/45.3592)</f>
        <v/>
      </c>
      <c r="H1161" s="15">
        <f>IFERROR(IF(D1161="","",D1161/INDEX($D:$D,MATCH(EDATE($A1161,-1),$A:$A,0))-1),"")</f>
        <v/>
      </c>
      <c r="I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40.7</v>
      </c>
      <c r="E1162" s="18" t="n">
        <v>41.1</v>
      </c>
      <c r="F1162" s="18" t="n">
        <v>33.3</v>
      </c>
      <c r="G1162" s="18">
        <f>IF(D1162="","",D1162*'参数与说明'!$B$6/45.3592)</f>
        <v/>
      </c>
      <c r="H1162" s="19">
        <f>IFERROR(IF(D1162="","",D1162/INDEX($D:$D,MATCH(EDATE($A1162,-1),$A:$A,0))-1),"")</f>
        <v/>
      </c>
      <c r="I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42.6</v>
      </c>
      <c r="E1163" s="14" t="n">
        <v>43.2</v>
      </c>
      <c r="F1163" s="14" t="n">
        <v>31.2</v>
      </c>
      <c r="G1163" s="14">
        <f>IF(D1163="","",D1163*'参数与说明'!$B$6/45.3592)</f>
        <v/>
      </c>
      <c r="H1163" s="15">
        <f>IFERROR(IF(D1163="","",D1163/INDEX($D:$D,MATCH(EDATE($A1163,-1),$A:$A,0))-1),"")</f>
        <v/>
      </c>
      <c r="I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42.8</v>
      </c>
      <c r="E1164" s="18" t="n">
        <v>43.2</v>
      </c>
      <c r="F1164" s="18" t="n">
        <v>34.2</v>
      </c>
      <c r="G1164" s="18">
        <f>IF(D1164="","",D1164*'参数与说明'!$B$6/45.3592)</f>
        <v/>
      </c>
      <c r="H1164" s="19">
        <f>IFERROR(IF(D1164="","",D1164/INDEX($D:$D,MATCH(EDATE($A1164,-1),$A:$A,0))-1),"")</f>
        <v/>
      </c>
      <c r="I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41.3</v>
      </c>
      <c r="E1165" s="14" t="n">
        <v>41.8</v>
      </c>
      <c r="F1165" s="14" t="n">
        <v>28.8</v>
      </c>
      <c r="G1165" s="14">
        <f>IF(D1165="","",D1165*'参数与说明'!$B$6/45.3592)</f>
        <v/>
      </c>
      <c r="H1165" s="15">
        <f>IFERROR(IF(D1165="","",D1165/INDEX($D:$D,MATCH(EDATE($A1165,-1),$A:$A,0))-1),"")</f>
        <v/>
      </c>
      <c r="I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48.2</v>
      </c>
      <c r="E1166" s="18" t="n">
        <v>48.9</v>
      </c>
      <c r="F1166" s="18" t="n">
        <v>30.1</v>
      </c>
      <c r="G1166" s="18">
        <f>IF(D1166="","",D1166*'参数与说明'!$B$6/45.3592)</f>
        <v/>
      </c>
      <c r="H1166" s="19">
        <f>IFERROR(IF(D1166="","",D1166/INDEX($D:$D,MATCH(EDATE($A1166,-1),$A:$A,0))-1),"")</f>
        <v/>
      </c>
      <c r="I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53.8</v>
      </c>
      <c r="E1167" s="14" t="n">
        <v>54.8</v>
      </c>
      <c r="F1167" s="14" t="n">
        <v>33.1</v>
      </c>
      <c r="G1167" s="14">
        <f>IF(D1167="","",D1167*'参数与说明'!$B$6/45.3592)</f>
        <v/>
      </c>
      <c r="H1167" s="15">
        <f>IFERROR(IF(D1167="","",D1167/INDEX($D:$D,MATCH(EDATE($A1167,-1),$A:$A,0))-1),"")</f>
        <v/>
      </c>
      <c r="I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50.2</v>
      </c>
      <c r="E1168" s="18" t="n">
        <v>51.1</v>
      </c>
      <c r="F1168" s="18" t="n">
        <v>32.1</v>
      </c>
      <c r="G1168" s="18">
        <f>IF(D1168="","",D1168*'参数与说明'!$B$6/45.3592)</f>
        <v/>
      </c>
      <c r="H1168" s="19">
        <f>IFERROR(IF(D1168="","",D1168/INDEX($D:$D,MATCH(EDATE($A1168,-1),$A:$A,0))-1),"")</f>
        <v/>
      </c>
      <c r="I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51.6</v>
      </c>
      <c r="E1169" s="14" t="n">
        <v>52.5</v>
      </c>
      <c r="F1169" s="14" t="n">
        <v>34.9</v>
      </c>
      <c r="G1169" s="14">
        <f>IF(D1169="","",D1169*'参数与说明'!$B$6/45.3592)</f>
        <v/>
      </c>
      <c r="H1169" s="15">
        <f>IFERROR(IF(D1169="","",D1169/INDEX($D:$D,MATCH(EDATE($A1169,-1),$A:$A,0))-1),"")</f>
        <v/>
      </c>
      <c r="I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48.9</v>
      </c>
      <c r="E1170" s="18" t="n">
        <v>49.5</v>
      </c>
      <c r="F1170" s="18" t="n">
        <v>35.5</v>
      </c>
      <c r="G1170" s="18">
        <f>IF(D1170="","",D1170*'参数与说明'!$B$6/45.3592)</f>
        <v/>
      </c>
      <c r="H1170" s="19">
        <f>IFERROR(IF(D1170="","",D1170/INDEX($D:$D,MATCH(EDATE($A1170,-1),$A:$A,0))-1),"")</f>
        <v/>
      </c>
      <c r="I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46.5</v>
      </c>
      <c r="E1171" s="14" t="n">
        <v>46.9</v>
      </c>
      <c r="F1171" s="14" t="n">
        <v>36.9</v>
      </c>
      <c r="G1171" s="14">
        <f>IF(D1171="","",D1171*'参数与说明'!$B$6/45.3592)</f>
        <v/>
      </c>
      <c r="H1171" s="15">
        <f>IFERROR(IF(D1171="","",D1171/INDEX($D:$D,MATCH(EDATE($A1171,-1),$A:$A,0))-1),"")</f>
        <v/>
      </c>
      <c r="I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44.9</v>
      </c>
      <c r="E1172" s="18" t="n">
        <v>45.3</v>
      </c>
      <c r="F1172" s="18" t="n">
        <v>35.4</v>
      </c>
      <c r="G1172" s="18">
        <f>IF(D1172="","",D1172*'参数与说明'!$B$6/45.3592)</f>
        <v/>
      </c>
      <c r="H1172" s="19">
        <f>IFERROR(IF(D1172="","",D1172/INDEX($D:$D,MATCH(EDATE($A1172,-1),$A:$A,0))-1),"")</f>
        <v/>
      </c>
      <c r="I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43.5</v>
      </c>
      <c r="E1173" s="14" t="n">
        <v>44.1</v>
      </c>
      <c r="F1173" s="14" t="n">
        <v>32.3</v>
      </c>
      <c r="G1173" s="14">
        <f>IF(D1173="","",D1173*'参数与说明'!$B$6/45.3592)</f>
        <v/>
      </c>
      <c r="H1173" s="15">
        <f>IFERROR(IF(D1173="","",D1173/INDEX($D:$D,MATCH(EDATE($A1173,-1),$A:$A,0))-1),"")</f>
        <v/>
      </c>
      <c r="I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42.6</v>
      </c>
      <c r="E1174" s="18" t="n">
        <v>43.2</v>
      </c>
      <c r="F1174" s="18" t="n">
        <v>29.8</v>
      </c>
      <c r="G1174" s="18">
        <f>IF(D1174="","",D1174*'参数与说明'!$B$6/45.3592)</f>
        <v/>
      </c>
      <c r="H1174" s="19">
        <f>IFERROR(IF(D1174="","",D1174/INDEX($D:$D,MATCH(EDATE($A1174,-1),$A:$A,0))-1),"")</f>
        <v/>
      </c>
      <c r="I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47.5</v>
      </c>
      <c r="E1175" s="14" t="n">
        <v>48.3</v>
      </c>
      <c r="F1175" s="14" t="n">
        <v>32.1</v>
      </c>
      <c r="G1175" s="14">
        <f>IF(D1175="","",D1175*'参数与说明'!$B$6/45.3592)</f>
        <v/>
      </c>
      <c r="H1175" s="15">
        <f>IFERROR(IF(D1175="","",D1175/INDEX($D:$D,MATCH(EDATE($A1175,-1),$A:$A,0))-1),"")</f>
        <v/>
      </c>
      <c r="I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44.9</v>
      </c>
      <c r="E1176" s="18" t="n">
        <v>45.5</v>
      </c>
      <c r="F1176" s="18" t="n">
        <v>33</v>
      </c>
      <c r="G1176" s="18">
        <f>IF(D1176="","",D1176*'参数与说明'!$B$6/45.3592)</f>
        <v/>
      </c>
      <c r="H1176" s="19">
        <f>IFERROR(IF(D1176="","",D1176/INDEX($D:$D,MATCH(EDATE($A1176,-1),$A:$A,0))-1),"")</f>
        <v/>
      </c>
      <c r="I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47.3</v>
      </c>
      <c r="E1177" s="14" t="n">
        <v>48.1</v>
      </c>
      <c r="F1177" s="14" t="n">
        <v>27.9</v>
      </c>
      <c r="G1177" s="14">
        <f>IF(D1177="","",D1177*'参数与说明'!$B$6/45.3592)</f>
        <v/>
      </c>
      <c r="H1177" s="15">
        <f>IFERROR(IF(D1177="","",D1177/INDEX($D:$D,MATCH(EDATE($A1177,-1),$A:$A,0))-1),"")</f>
        <v/>
      </c>
      <c r="I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53.1</v>
      </c>
      <c r="E1178" s="18" t="n">
        <v>53.9</v>
      </c>
      <c r="F1178" s="18" t="n">
        <v>34.1</v>
      </c>
      <c r="G1178" s="18">
        <f>IF(D1178="","",D1178*'参数与说明'!$B$6/45.3592)</f>
        <v/>
      </c>
      <c r="H1178" s="19">
        <f>IFERROR(IF(D1178="","",D1178/INDEX($D:$D,MATCH(EDATE($A1178,-1),$A:$A,0))-1),"")</f>
        <v/>
      </c>
      <c r="I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54.3</v>
      </c>
      <c r="E1179" s="14" t="n">
        <v>55.1</v>
      </c>
      <c r="F1179" s="14" t="n">
        <v>37.4</v>
      </c>
      <c r="G1179" s="14">
        <f>IF(D1179="","",D1179*'参数与说明'!$B$6/45.3592)</f>
        <v/>
      </c>
      <c r="H1179" s="15">
        <f>IFERROR(IF(D1179="","",D1179/INDEX($D:$D,MATCH(EDATE($A1179,-1),$A:$A,0))-1),"")</f>
        <v/>
      </c>
      <c r="I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52.2</v>
      </c>
      <c r="E1180" s="18" t="n">
        <v>53</v>
      </c>
      <c r="F1180" s="18" t="n">
        <v>36.7</v>
      </c>
      <c r="G1180" s="18">
        <f>IF(D1180="","",D1180*'参数与说明'!$B$6/45.3592)</f>
        <v/>
      </c>
      <c r="H1180" s="19">
        <f>IFERROR(IF(D1180="","",D1180/INDEX($D:$D,MATCH(EDATE($A1180,-1),$A:$A,0))-1),"")</f>
        <v/>
      </c>
      <c r="I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51.3</v>
      </c>
      <c r="E1181" s="14" t="n">
        <v>52.1</v>
      </c>
      <c r="F1181" s="14" t="n">
        <v>36.1</v>
      </c>
      <c r="G1181" s="14">
        <f>IF(D1181="","",D1181*'参数与说明'!$B$6/45.3592)</f>
        <v/>
      </c>
      <c r="H1181" s="15">
        <f>IFERROR(IF(D1181="","",D1181/INDEX($D:$D,MATCH(EDATE($A1181,-1),$A:$A,0))-1),"")</f>
        <v/>
      </c>
      <c r="I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46.8</v>
      </c>
      <c r="E1182" s="18" t="n">
        <v>47.2</v>
      </c>
      <c r="F1182" s="18" t="n">
        <v>37</v>
      </c>
      <c r="G1182" s="18">
        <f>IF(D1182="","",D1182*'参数与说明'!$B$6/45.3592)</f>
        <v/>
      </c>
      <c r="H1182" s="19">
        <f>IFERROR(IF(D1182="","",D1182/INDEX($D:$D,MATCH(EDATE($A1182,-1),$A:$A,0))-1),"")</f>
        <v/>
      </c>
      <c r="I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42.4</v>
      </c>
      <c r="E1183" s="14" t="n">
        <v>43.1</v>
      </c>
      <c r="F1183" s="14" t="n">
        <v>27.3</v>
      </c>
      <c r="G1183" s="14">
        <f>IF(D1183="","",D1183*'参数与说明'!$B$6/45.3592)</f>
        <v/>
      </c>
      <c r="H1183" s="15">
        <f>IFERROR(IF(D1183="","",D1183/INDEX($D:$D,MATCH(EDATE($A1183,-1),$A:$A,0))-1),"")</f>
        <v/>
      </c>
      <c r="I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37.9</v>
      </c>
      <c r="E1184" s="18" t="n">
        <v>38.5</v>
      </c>
      <c r="F1184" s="18" t="n">
        <v>25.9</v>
      </c>
      <c r="G1184" s="18">
        <f>IF(D1184="","",D1184*'参数与说明'!$B$6/45.3592)</f>
        <v/>
      </c>
      <c r="H1184" s="19">
        <f>IFERROR(IF(D1184="","",D1184/INDEX($D:$D,MATCH(EDATE($A1184,-1),$A:$A,0))-1),"")</f>
        <v/>
      </c>
      <c r="I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39.8</v>
      </c>
      <c r="E1185" s="14" t="n">
        <v>40.5</v>
      </c>
      <c r="F1185" s="14" t="n">
        <v>20.9</v>
      </c>
      <c r="G1185" s="14">
        <f>IF(D1185="","",D1185*'参数与说明'!$B$6/45.3592)</f>
        <v/>
      </c>
      <c r="H1185" s="15">
        <f>IFERROR(IF(D1185="","",D1185/INDEX($D:$D,MATCH(EDATE($A1185,-1),$A:$A,0))-1),"")</f>
        <v/>
      </c>
      <c r="I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37.4</v>
      </c>
      <c r="E1186" s="18" t="n">
        <v>38.2</v>
      </c>
      <c r="F1186" s="18" t="n">
        <v>18.6</v>
      </c>
      <c r="G1186" s="18">
        <f>IF(D1186="","",D1186*'参数与说明'!$B$6/45.3592)</f>
        <v/>
      </c>
      <c r="H1186" s="19">
        <f>IFERROR(IF(D1186="","",D1186/INDEX($D:$D,MATCH(EDATE($A1186,-1),$A:$A,0))-1),"")</f>
        <v/>
      </c>
      <c r="I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42.2</v>
      </c>
      <c r="E1187" s="14" t="n">
        <v>43.2</v>
      </c>
      <c r="F1187" s="14" t="n">
        <v>23</v>
      </c>
      <c r="G1187" s="14">
        <f>IF(D1187="","",D1187*'参数与说明'!$B$6/45.3592)</f>
        <v/>
      </c>
      <c r="H1187" s="15">
        <f>IFERROR(IF(D1187="","",D1187/INDEX($D:$D,MATCH(EDATE($A1187,-1),$A:$A,0))-1),"")</f>
        <v/>
      </c>
      <c r="I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40.3</v>
      </c>
      <c r="E1188" s="18" t="n">
        <v>41.1</v>
      </c>
      <c r="F1188" s="18" t="n">
        <v>22.5</v>
      </c>
      <c r="G1188" s="18">
        <f>IF(D1188="","",D1188*'参数与说明'!$B$6/45.3592)</f>
        <v/>
      </c>
      <c r="H1188" s="19">
        <f>IFERROR(IF(D1188="","",D1188/INDEX($D:$D,MATCH(EDATE($A1188,-1),$A:$A,0))-1),"")</f>
        <v/>
      </c>
      <c r="I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44.4</v>
      </c>
      <c r="E1189" s="14" t="n">
        <v>45.5</v>
      </c>
      <c r="F1189" s="14" t="n">
        <v>17.3</v>
      </c>
      <c r="G1189" s="14">
        <f>IF(D1189="","",D1189*'参数与说明'!$B$6/45.3592)</f>
        <v/>
      </c>
      <c r="H1189" s="15">
        <f>IFERROR(IF(D1189="","",D1189/INDEX($D:$D,MATCH(EDATE($A1189,-1),$A:$A,0))-1),"")</f>
        <v/>
      </c>
      <c r="I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55.3</v>
      </c>
      <c r="E1190" s="18" t="n">
        <v>56.6</v>
      </c>
      <c r="F1190" s="18" t="n">
        <v>25.3</v>
      </c>
      <c r="G1190" s="18">
        <f>IF(D1190="","",D1190*'参数与说明'!$B$6/45.3592)</f>
        <v/>
      </c>
      <c r="H1190" s="19">
        <f>IFERROR(IF(D1190="","",D1190/INDEX($D:$D,MATCH(EDATE($A1190,-1),$A:$A,0))-1),"")</f>
        <v/>
      </c>
      <c r="I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53.4</v>
      </c>
      <c r="E1191" s="14" t="n">
        <v>54.6</v>
      </c>
      <c r="F1191" s="14" t="n">
        <v>26.5</v>
      </c>
      <c r="G1191" s="14">
        <f>IF(D1191="","",D1191*'参数与说明'!$B$6/45.3592)</f>
        <v/>
      </c>
      <c r="H1191" s="15">
        <f>IFERROR(IF(D1191="","",D1191/INDEX($D:$D,MATCH(EDATE($A1191,-1),$A:$A,0))-1),"")</f>
        <v/>
      </c>
      <c r="I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54.3</v>
      </c>
      <c r="E1192" s="18" t="n">
        <v>55.9</v>
      </c>
      <c r="F1192" s="18" t="n">
        <v>20.2</v>
      </c>
      <c r="G1192" s="18">
        <f>IF(D1192="","",D1192*'参数与说明'!$B$6/45.3592)</f>
        <v/>
      </c>
      <c r="H1192" s="19">
        <f>IFERROR(IF(D1192="","",D1192/INDEX($D:$D,MATCH(EDATE($A1192,-1),$A:$A,0))-1),"")</f>
        <v/>
      </c>
      <c r="I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60.7</v>
      </c>
      <c r="E1193" s="14" t="n">
        <v>61.7</v>
      </c>
      <c r="F1193" s="14" t="n">
        <v>40.5</v>
      </c>
      <c r="G1193" s="14">
        <f>IF(D1193="","",D1193*'参数与说明'!$B$6/45.3592)</f>
        <v/>
      </c>
      <c r="H1193" s="15">
        <f>IFERROR(IF(D1193="","",D1193/INDEX($D:$D,MATCH(EDATE($A1193,-1),$A:$A,0))-1),"")</f>
        <v/>
      </c>
      <c r="I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52.6</v>
      </c>
      <c r="E1194" s="18" t="n">
        <v>52.7</v>
      </c>
      <c r="F1194" s="18" t="n">
        <v>49.8</v>
      </c>
      <c r="G1194" s="18">
        <f>IF(D1194="","",D1194*'参数与说明'!$B$6/45.3592)</f>
        <v/>
      </c>
      <c r="H1194" s="19">
        <f>IFERROR(IF(D1194="","",D1194/INDEX($D:$D,MATCH(EDATE($A1194,-1),$A:$A,0))-1),"")</f>
        <v/>
      </c>
      <c r="I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48.5</v>
      </c>
      <c r="E1195" s="14" t="n">
        <v>48.7</v>
      </c>
      <c r="F1195" s="14" t="n">
        <v>45.1</v>
      </c>
      <c r="G1195" s="14">
        <f>IF(D1195="","",D1195*'参数与说明'!$B$6/45.3592)</f>
        <v/>
      </c>
      <c r="H1195" s="15">
        <f>IFERROR(IF(D1195="","",D1195/INDEX($D:$D,MATCH(EDATE($A1195,-1),$A:$A,0))-1),"")</f>
        <v/>
      </c>
      <c r="I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40.7</v>
      </c>
      <c r="E1196" s="18" t="n">
        <v>41</v>
      </c>
      <c r="F1196" s="18" t="n">
        <v>36.2</v>
      </c>
      <c r="G1196" s="18">
        <f>IF(D1196="","",D1196*'参数与说明'!$B$6/45.3592)</f>
        <v/>
      </c>
      <c r="H1196" s="19">
        <f>IFERROR(IF(D1196="","",D1196/INDEX($D:$D,MATCH(EDATE($A1196,-1),$A:$A,0))-1),"")</f>
        <v/>
      </c>
      <c r="I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42</v>
      </c>
      <c r="E1197" s="14" t="n">
        <v>42</v>
      </c>
      <c r="F1197" s="14" t="n">
        <v>43.5</v>
      </c>
      <c r="G1197" s="14">
        <f>IF(D1197="","",D1197*'参数与说明'!$B$6/45.3592)</f>
        <v/>
      </c>
      <c r="H1197" s="15">
        <f>IFERROR(IF(D1197="","",D1197/INDEX($D:$D,MATCH(EDATE($A1197,-1),$A:$A,0))-1),"")</f>
        <v/>
      </c>
      <c r="I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42.8</v>
      </c>
      <c r="E1198" s="18" t="n">
        <v>42.7</v>
      </c>
      <c r="F1198" s="18" t="n">
        <v>44.1</v>
      </c>
      <c r="G1198" s="18">
        <f>IF(D1198="","",D1198*'参数与说明'!$B$6/45.3592)</f>
        <v/>
      </c>
      <c r="H1198" s="19">
        <f>IFERROR(IF(D1198="","",D1198/INDEX($D:$D,MATCH(EDATE($A1198,-1),$A:$A,0))-1),"")</f>
        <v/>
      </c>
      <c r="I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43.8</v>
      </c>
      <c r="E1199" s="14" t="n">
        <v>43.8</v>
      </c>
      <c r="F1199" s="14" t="n">
        <v>43.3</v>
      </c>
      <c r="G1199" s="14">
        <f>IF(D1199="","",D1199*'参数与说明'!$B$6/45.3592)</f>
        <v/>
      </c>
      <c r="H1199" s="15">
        <f>IFERROR(IF(D1199="","",D1199/INDEX($D:$D,MATCH(EDATE($A1199,-1),$A:$A,0))-1),"")</f>
        <v/>
      </c>
      <c r="I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43.9</v>
      </c>
      <c r="E1200" s="18" t="n">
        <v>44</v>
      </c>
      <c r="F1200" s="18" t="n">
        <v>41.9</v>
      </c>
      <c r="G1200" s="18">
        <f>IF(D1200="","",D1200*'参数与说明'!$B$6/45.3592)</f>
        <v/>
      </c>
      <c r="H1200" s="19">
        <f>IFERROR(IF(D1200="","",D1200/INDEX($D:$D,MATCH(EDATE($A1200,-1),$A:$A,0))-1),"")</f>
        <v/>
      </c>
      <c r="I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44</v>
      </c>
      <c r="E1201" s="14" t="n">
        <v>44.2</v>
      </c>
      <c r="F1201" s="14" t="n">
        <v>41.5</v>
      </c>
      <c r="G1201" s="14">
        <f>IF(D1201="","",D1201*'参数与说明'!$B$6/45.3592)</f>
        <v/>
      </c>
      <c r="H1201" s="15">
        <f>IFERROR(IF(D1201="","",D1201/INDEX($D:$D,MATCH(EDATE($A1201,-1),$A:$A,0))-1),"")</f>
        <v/>
      </c>
      <c r="I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44.6</v>
      </c>
      <c r="E1202" s="18" t="n">
        <v>44.6</v>
      </c>
      <c r="F1202" s="18" t="n">
        <v>43.3</v>
      </c>
      <c r="G1202" s="18">
        <f>IF(D1202="","",D1202*'参数与说明'!$B$6/45.3592)</f>
        <v/>
      </c>
      <c r="H1202" s="19">
        <f>IFERROR(IF(D1202="","",D1202/INDEX($D:$D,MATCH(EDATE($A1202,-1),$A:$A,0))-1),"")</f>
        <v/>
      </c>
      <c r="I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43.3</v>
      </c>
      <c r="E1203" s="14" t="n">
        <v>43.7</v>
      </c>
      <c r="F1203" s="14" t="n">
        <v>32.8</v>
      </c>
      <c r="G1203" s="14">
        <f>IF(D1203="","",D1203*'参数与说明'!$B$6/45.3592)</f>
        <v/>
      </c>
      <c r="H1203" s="15">
        <f>IFERROR(IF(D1203="","",D1203/INDEX($D:$D,MATCH(EDATE($A1203,-1),$A:$A,0))-1),"")</f>
        <v/>
      </c>
      <c r="I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43.3</v>
      </c>
      <c r="E1204" s="18" t="n">
        <v>44</v>
      </c>
      <c r="F1204" s="18" t="n">
        <v>28.3</v>
      </c>
      <c r="G1204" s="18">
        <f>IF(D1204="","",D1204*'参数与说明'!$B$6/45.3592)</f>
        <v/>
      </c>
      <c r="H1204" s="19">
        <f>IFERROR(IF(D1204="","",D1204/INDEX($D:$D,MATCH(EDATE($A1204,-1),$A:$A,0))-1),"")</f>
        <v/>
      </c>
      <c r="I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37.3</v>
      </c>
      <c r="E1205" s="14" t="n">
        <v>37.6</v>
      </c>
      <c r="F1205" s="14" t="n">
        <v>30</v>
      </c>
      <c r="G1205" s="14">
        <f>IF(D1205="","",D1205*'参数与说明'!$B$6/45.3592)</f>
        <v/>
      </c>
      <c r="H1205" s="15">
        <f>IFERROR(IF(D1205="","",D1205/INDEX($D:$D,MATCH(EDATE($A1205,-1),$A:$A,0))-1),"")</f>
        <v/>
      </c>
      <c r="I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37.7</v>
      </c>
      <c r="E1206" s="18" t="n">
        <v>38.2</v>
      </c>
      <c r="F1206" s="18" t="n">
        <v>24.1</v>
      </c>
      <c r="G1206" s="18">
        <f>IF(D1206="","",D1206*'参数与说明'!$B$6/45.3592)</f>
        <v/>
      </c>
      <c r="H1206" s="19">
        <f>IFERROR(IF(D1206="","",D1206/INDEX($D:$D,MATCH(EDATE($A1206,-1),$A:$A,0))-1),"")</f>
        <v/>
      </c>
      <c r="I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37.8</v>
      </c>
      <c r="E1207" s="14" t="n">
        <v>38.3</v>
      </c>
      <c r="F1207" s="14" t="n">
        <v>27.4</v>
      </c>
      <c r="G1207" s="14">
        <f>IF(D1207="","",D1207*'参数与说明'!$B$6/45.3592)</f>
        <v/>
      </c>
      <c r="H1207" s="15">
        <f>IFERROR(IF(D1207="","",D1207/INDEX($D:$D,MATCH(EDATE($A1207,-1),$A:$A,0))-1),"")</f>
        <v/>
      </c>
      <c r="I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40.3</v>
      </c>
      <c r="E1208" s="18" t="n">
        <v>40.5</v>
      </c>
      <c r="F1208" s="18" t="n">
        <v>36.1</v>
      </c>
      <c r="G1208" s="18">
        <f>IF(D1208="","",D1208*'参数与说明'!$B$6/45.3592)</f>
        <v/>
      </c>
      <c r="H1208" s="19">
        <f>IFERROR(IF(D1208="","",D1208/INDEX($D:$D,MATCH(EDATE($A1208,-1),$A:$A,0))-1),"")</f>
        <v/>
      </c>
      <c r="I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45.1</v>
      </c>
      <c r="E1209" s="14" t="n">
        <v>45.6</v>
      </c>
      <c r="F1209" s="14" t="n">
        <v>32.1</v>
      </c>
      <c r="G1209" s="14">
        <f>IF(D1209="","",D1209*'参数与说明'!$B$6/45.3592)</f>
        <v/>
      </c>
      <c r="H1209" s="15">
        <f>IFERROR(IF(D1209="","",D1209/INDEX($D:$D,MATCH(EDATE($A1209,-1),$A:$A,0))-1),"")</f>
        <v/>
      </c>
      <c r="I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48.4</v>
      </c>
      <c r="E1210" s="18" t="n">
        <v>48.9</v>
      </c>
      <c r="F1210" s="18" t="n">
        <v>38.3</v>
      </c>
      <c r="G1210" s="18">
        <f>IF(D1210="","",D1210*'参数与说明'!$B$6/45.3592)</f>
        <v/>
      </c>
      <c r="H1210" s="19">
        <f>IFERROR(IF(D1210="","",D1210/INDEX($D:$D,MATCH(EDATE($A1210,-1),$A:$A,0))-1),"")</f>
        <v/>
      </c>
      <c r="I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48.9</v>
      </c>
      <c r="E1211" s="14" t="n">
        <v>48.9</v>
      </c>
      <c r="F1211" s="14" t="n">
        <v>49.2</v>
      </c>
      <c r="G1211" s="14">
        <f>IF(D1211="","",D1211*'参数与说明'!$B$6/45.3592)</f>
        <v/>
      </c>
      <c r="H1211" s="15">
        <f>IFERROR(IF(D1211="","",D1211/INDEX($D:$D,MATCH(EDATE($A1211,-1),$A:$A,0))-1),"")</f>
        <v/>
      </c>
      <c r="I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52.1</v>
      </c>
      <c r="E1212" s="18" t="n">
        <v>52.3</v>
      </c>
      <c r="F1212" s="18" t="n">
        <v>48.8</v>
      </c>
      <c r="G1212" s="18">
        <f>IF(D1212="","",D1212*'参数与说明'!$B$6/45.3592)</f>
        <v/>
      </c>
      <c r="H1212" s="19">
        <f>IFERROR(IF(D1212="","",D1212/INDEX($D:$D,MATCH(EDATE($A1212,-1),$A:$A,0))-1),"")</f>
        <v/>
      </c>
      <c r="I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56.5</v>
      </c>
      <c r="E1213" s="14" t="n">
        <v>56.6</v>
      </c>
      <c r="F1213" s="14" t="n">
        <v>53.3</v>
      </c>
      <c r="G1213" s="14">
        <f>IF(D1213="","",D1213*'参数与说明'!$B$6/45.3592)</f>
        <v/>
      </c>
      <c r="H1213" s="15">
        <f>IFERROR(IF(D1213="","",D1213/INDEX($D:$D,MATCH(EDATE($A1213,-1),$A:$A,0))-1),"")</f>
        <v/>
      </c>
      <c r="I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62.2</v>
      </c>
      <c r="E1214" s="18" t="n">
        <v>62.4</v>
      </c>
      <c r="F1214" s="18" t="n">
        <v>56.7</v>
      </c>
      <c r="G1214" s="18">
        <f>IF(D1214="","",D1214*'参数与说明'!$B$6/45.3592)</f>
        <v/>
      </c>
      <c r="H1214" s="19">
        <f>IFERROR(IF(D1214="","",D1214/INDEX($D:$D,MATCH(EDATE($A1214,-1),$A:$A,0))-1),"")</f>
        <v/>
      </c>
      <c r="I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58.2</v>
      </c>
      <c r="E1215" s="14" t="n">
        <v>58.5</v>
      </c>
      <c r="F1215" s="14" t="n">
        <v>53.2</v>
      </c>
      <c r="G1215" s="14">
        <f>IF(D1215="","",D1215*'参数与说明'!$B$6/45.3592)</f>
        <v/>
      </c>
      <c r="H1215" s="15">
        <f>IFERROR(IF(D1215="","",D1215/INDEX($D:$D,MATCH(EDATE($A1215,-1),$A:$A,0))-1),"")</f>
        <v/>
      </c>
      <c r="I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58.5</v>
      </c>
      <c r="E1216" s="18" t="n">
        <v>58.7</v>
      </c>
      <c r="F1216" s="18" t="n">
        <v>54.2</v>
      </c>
      <c r="G1216" s="18">
        <f>IF(D1216="","",D1216*'参数与说明'!$B$6/45.3592)</f>
        <v/>
      </c>
      <c r="H1216" s="19">
        <f>IFERROR(IF(D1216="","",D1216/INDEX($D:$D,MATCH(EDATE($A1216,-1),$A:$A,0))-1),"")</f>
        <v/>
      </c>
      <c r="I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61.3</v>
      </c>
      <c r="E1217" s="14" t="n">
        <v>61.5</v>
      </c>
      <c r="F1217" s="14" t="n">
        <v>57.9</v>
      </c>
      <c r="G1217" s="14">
        <f>IF(D1217="","",D1217*'参数与说明'!$B$6/45.3592)</f>
        <v/>
      </c>
      <c r="H1217" s="15">
        <f>IFERROR(IF(D1217="","",D1217/INDEX($D:$D,MATCH(EDATE($A1217,-1),$A:$A,0))-1),"")</f>
        <v/>
      </c>
      <c r="I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61</v>
      </c>
      <c r="E1218" s="18" t="n">
        <v>61.2</v>
      </c>
      <c r="F1218" s="18" t="n">
        <v>57.8</v>
      </c>
      <c r="G1218" s="18">
        <f>IF(D1218="","",D1218*'参数与说明'!$B$6/45.3592)</f>
        <v/>
      </c>
      <c r="H1218" s="19">
        <f>IFERROR(IF(D1218="","",D1218/INDEX($D:$D,MATCH(EDATE($A1218,-1),$A:$A,0))-1),"")</f>
        <v/>
      </c>
      <c r="I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53.3</v>
      </c>
      <c r="E1219" s="14" t="n">
        <v>53.5</v>
      </c>
      <c r="F1219" s="14" t="n">
        <v>49.4</v>
      </c>
      <c r="G1219" s="14">
        <f>IF(D1219="","",D1219*'参数与说明'!$B$6/45.3592)</f>
        <v/>
      </c>
      <c r="H1219" s="15">
        <f>IFERROR(IF(D1219="","",D1219/INDEX($D:$D,MATCH(EDATE($A1219,-1),$A:$A,0))-1),"")</f>
        <v/>
      </c>
      <c r="I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47.8</v>
      </c>
      <c r="E1220" s="18" t="n">
        <v>48</v>
      </c>
      <c r="F1220" s="18" t="n">
        <v>43.3</v>
      </c>
      <c r="G1220" s="18">
        <f>IF(D1220="","",D1220*'参数与说明'!$B$6/45.3592)</f>
        <v/>
      </c>
      <c r="H1220" s="19">
        <f>IFERROR(IF(D1220="","",D1220/INDEX($D:$D,MATCH(EDATE($A1220,-1),$A:$A,0))-1),"")</f>
        <v/>
      </c>
      <c r="I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52.4</v>
      </c>
      <c r="E1221" s="14" t="n">
        <v>52.6</v>
      </c>
      <c r="F1221" s="14" t="n">
        <v>48.6</v>
      </c>
      <c r="G1221" s="14">
        <f>IF(D1221="","",D1221*'参数与说明'!$B$6/45.3592)</f>
        <v/>
      </c>
      <c r="H1221" s="15">
        <f>IFERROR(IF(D1221="","",D1221/INDEX($D:$D,MATCH(EDATE($A1221,-1),$A:$A,0))-1),"")</f>
        <v/>
      </c>
      <c r="I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56</v>
      </c>
      <c r="E1222" s="18" t="n">
        <v>56.3</v>
      </c>
      <c r="F1222" s="18" t="n">
        <v>47.8</v>
      </c>
      <c r="G1222" s="18">
        <f>IF(D1222="","",D1222*'参数与说明'!$B$6/45.3592)</f>
        <v/>
      </c>
      <c r="H1222" s="19">
        <f>IFERROR(IF(D1222="","",D1222/INDEX($D:$D,MATCH(EDATE($A1222,-1),$A:$A,0))-1),"")</f>
        <v/>
      </c>
      <c r="I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61.4</v>
      </c>
      <c r="E1223" s="14" t="n">
        <v>61.7</v>
      </c>
      <c r="F1223" s="14" t="n">
        <v>53.3</v>
      </c>
      <c r="G1223" s="14">
        <f>IF(D1223="","",D1223*'参数与说明'!$B$6/45.3592)</f>
        <v/>
      </c>
      <c r="H1223" s="15">
        <f>IFERROR(IF(D1223="","",D1223/INDEX($D:$D,MATCH(EDATE($A1223,-1),$A:$A,0))-1),"")</f>
        <v/>
      </c>
      <c r="I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62.9</v>
      </c>
      <c r="E1224" s="18" t="n">
        <v>63.1</v>
      </c>
      <c r="F1224" s="18" t="n">
        <v>58</v>
      </c>
      <c r="G1224" s="18">
        <f>IF(D1224="","",D1224*'参数与说明'!$B$6/45.3592)</f>
        <v/>
      </c>
      <c r="H1224" s="19">
        <f>IFERROR(IF(D1224="","",D1224/INDEX($D:$D,MATCH(EDATE($A1224,-1),$A:$A,0))-1),"")</f>
        <v/>
      </c>
      <c r="I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67.8</v>
      </c>
      <c r="E1225" s="14" t="n">
        <v>68.2</v>
      </c>
      <c r="F1225" s="14" t="n">
        <v>57.9</v>
      </c>
      <c r="G1225" s="14">
        <f>IF(D1225="","",D1225*'参数与说明'!$B$6/45.3592)</f>
        <v/>
      </c>
      <c r="H1225" s="15">
        <f>IFERROR(IF(D1225="","",D1225/INDEX($D:$D,MATCH(EDATE($A1225,-1),$A:$A,0))-1),"")</f>
        <v/>
      </c>
      <c r="I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68.59999999999999</v>
      </c>
      <c r="E1226" s="18" t="n">
        <v>69.2</v>
      </c>
      <c r="F1226" s="18" t="n">
        <v>56</v>
      </c>
      <c r="G1226" s="18">
        <f>IF(D1226="","",D1226*'参数与说明'!$B$6/45.3592)</f>
        <v/>
      </c>
      <c r="H1226" s="19">
        <f>IFERROR(IF(D1226="","",D1226/INDEX($D:$D,MATCH(EDATE($A1226,-1),$A:$A,0))-1),"")</f>
        <v/>
      </c>
      <c r="I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69.7</v>
      </c>
      <c r="E1227" s="14" t="n">
        <v>70.40000000000001</v>
      </c>
      <c r="F1227" s="14" t="n">
        <v>53.7</v>
      </c>
      <c r="G1227" s="14">
        <f>IF(D1227="","",D1227*'参数与说明'!$B$6/45.3592)</f>
        <v/>
      </c>
      <c r="H1227" s="15">
        <f>IFERROR(IF(D1227="","",D1227/INDEX($D:$D,MATCH(EDATE($A1227,-1),$A:$A,0))-1),"")</f>
        <v/>
      </c>
      <c r="I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71.7</v>
      </c>
      <c r="E1228" s="18" t="n">
        <v>72.40000000000001</v>
      </c>
      <c r="F1228" s="18" t="n">
        <v>55.8</v>
      </c>
      <c r="G1228" s="18">
        <f>IF(D1228="","",D1228*'参数与说明'!$B$6/45.3592)</f>
        <v/>
      </c>
      <c r="H1228" s="19">
        <f>IFERROR(IF(D1228="","",D1228/INDEX($D:$D,MATCH(EDATE($A1228,-1),$A:$A,0))-1),"")</f>
        <v/>
      </c>
      <c r="I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75.8</v>
      </c>
      <c r="E1229" s="14" t="n">
        <v>76.09999999999999</v>
      </c>
      <c r="F1229" s="14" t="n">
        <v>68.90000000000001</v>
      </c>
      <c r="G1229" s="14">
        <f>IF(D1229="","",D1229*'参数与说明'!$B$6/45.3592)</f>
        <v/>
      </c>
      <c r="H1229" s="15">
        <f>IFERROR(IF(D1229="","",D1229/INDEX($D:$D,MATCH(EDATE($A1229,-1),$A:$A,0))-1),"")</f>
        <v/>
      </c>
      <c r="I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67.09999999999999</v>
      </c>
      <c r="E1230" s="18" t="n">
        <v>67.2</v>
      </c>
      <c r="F1230" s="18" t="n">
        <v>65.09999999999999</v>
      </c>
      <c r="G1230" s="18">
        <f>IF(D1230="","",D1230*'参数与说明'!$B$6/45.3592)</f>
        <v/>
      </c>
      <c r="H1230" s="19">
        <f>IFERROR(IF(D1230="","",D1230/INDEX($D:$D,MATCH(EDATE($A1230,-1),$A:$A,0))-1),"")</f>
        <v/>
      </c>
      <c r="I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68.7</v>
      </c>
      <c r="E1231" s="14" t="n">
        <v>69</v>
      </c>
      <c r="F1231" s="14" t="n">
        <v>61.8</v>
      </c>
      <c r="G1231" s="14">
        <f>IF(D1231="","",D1231*'参数与说明'!$B$6/45.3592)</f>
        <v/>
      </c>
      <c r="H1231" s="15">
        <f>IFERROR(IF(D1231="","",D1231/INDEX($D:$D,MATCH(EDATE($A1231,-1),$A:$A,0))-1),"")</f>
        <v/>
      </c>
      <c r="I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64.40000000000001</v>
      </c>
      <c r="E1232" s="18" t="n">
        <v>64.5</v>
      </c>
      <c r="F1232" s="18" t="n">
        <v>60.8</v>
      </c>
      <c r="G1232" s="18">
        <f>IF(D1232="","",D1232*'参数与说明'!$B$6/45.3592)</f>
        <v/>
      </c>
      <c r="H1232" s="19">
        <f>IFERROR(IF(D1232="","",D1232/INDEX($D:$D,MATCH(EDATE($A1232,-1),$A:$A,0))-1),"")</f>
        <v/>
      </c>
      <c r="I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63.5</v>
      </c>
      <c r="E1233" s="14" t="n">
        <v>63.7</v>
      </c>
      <c r="F1233" s="14" t="n">
        <v>55.9</v>
      </c>
      <c r="G1233" s="14">
        <f>IF(D1233="","",D1233*'参数与说明'!$B$6/45.3592)</f>
        <v/>
      </c>
      <c r="H1233" s="15">
        <f>IFERROR(IF(D1233="","",D1233/INDEX($D:$D,MATCH(EDATE($A1233,-1),$A:$A,0))-1),"")</f>
        <v/>
      </c>
      <c r="I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63.5</v>
      </c>
      <c r="E1234" s="18" t="n">
        <v>63.7</v>
      </c>
      <c r="F1234" s="18" t="n">
        <v>56.6</v>
      </c>
      <c r="G1234" s="18">
        <f>IF(D1234="","",D1234*'参数与说明'!$B$6/45.3592)</f>
        <v/>
      </c>
      <c r="H1234" s="19">
        <f>IFERROR(IF(D1234="","",D1234/INDEX($D:$D,MATCH(EDATE($A1234,-1),$A:$A,0))-1),"")</f>
        <v/>
      </c>
      <c r="I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65.5</v>
      </c>
      <c r="E1235" s="14" t="n">
        <v>65.8</v>
      </c>
      <c r="F1235" s="14" t="n">
        <v>58.3</v>
      </c>
      <c r="G1235" s="14">
        <f>IF(D1235="","",D1235*'参数与说明'!$B$6/45.3592)</f>
        <v/>
      </c>
      <c r="H1235" s="15">
        <f>IFERROR(IF(D1235="","",D1235/INDEX($D:$D,MATCH(EDATE($A1235,-1),$A:$A,0))-1),"")</f>
        <v/>
      </c>
      <c r="I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65.2</v>
      </c>
      <c r="E1236" s="18" t="n">
        <v>65.5</v>
      </c>
      <c r="F1236" s="18" t="n">
        <v>59.6</v>
      </c>
      <c r="G1236" s="18">
        <f>IF(D1236="","",D1236*'参数与说明'!$B$6/45.3592)</f>
        <v/>
      </c>
      <c r="H1236" s="19">
        <f>IFERROR(IF(D1236="","",D1236/INDEX($D:$D,MATCH(EDATE($A1236,-1),$A:$A,0))-1),"")</f>
        <v/>
      </c>
      <c r="I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62.8</v>
      </c>
      <c r="E1237" s="14" t="n">
        <v>63.1</v>
      </c>
      <c r="F1237" s="14" t="n">
        <v>55.2</v>
      </c>
      <c r="G1237" s="14">
        <f>IF(D1237="","",D1237*'参数与说明'!$B$6/45.3592)</f>
        <v/>
      </c>
      <c r="H1237" s="15">
        <f>IFERROR(IF(D1237="","",D1237/INDEX($D:$D,MATCH(EDATE($A1237,-1),$A:$A,0))-1),"")</f>
        <v/>
      </c>
      <c r="I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62.8</v>
      </c>
      <c r="E1238" s="18" t="n">
        <v>63.2</v>
      </c>
      <c r="F1238" s="18" t="n">
        <v>52.1</v>
      </c>
      <c r="G1238" s="18">
        <f>IF(D1238="","",D1238*'参数与说明'!$B$6/45.3592)</f>
        <v/>
      </c>
      <c r="H1238" s="19">
        <f>IFERROR(IF(D1238="","",D1238/INDEX($D:$D,MATCH(EDATE($A1238,-1),$A:$A,0))-1),"")</f>
        <v/>
      </c>
      <c r="I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70.2</v>
      </c>
      <c r="E1239" s="14" t="n">
        <v>71</v>
      </c>
      <c r="F1239" s="14" t="n">
        <v>51.8</v>
      </c>
      <c r="G1239" s="14">
        <f>IF(D1239="","",D1239*'参数与说明'!$B$6/45.3592)</f>
        <v/>
      </c>
      <c r="H1239" s="15">
        <f>IFERROR(IF(D1239="","",D1239/INDEX($D:$D,MATCH(EDATE($A1239,-1),$A:$A,0))-1),"")</f>
        <v/>
      </c>
      <c r="I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72.09999999999999</v>
      </c>
      <c r="E1240" s="18" t="n">
        <v>73.09999999999999</v>
      </c>
      <c r="F1240" s="18" t="n">
        <v>47.9</v>
      </c>
      <c r="G1240" s="18">
        <f>IF(D1240="","",D1240*'参数与说明'!$B$6/45.3592)</f>
        <v/>
      </c>
      <c r="H1240" s="19">
        <f>IFERROR(IF(D1240="","",D1240/INDEX($D:$D,MATCH(EDATE($A1240,-1),$A:$A,0))-1),"")</f>
        <v/>
      </c>
      <c r="I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66.90000000000001</v>
      </c>
      <c r="E1241" s="14" t="n">
        <v>68</v>
      </c>
      <c r="F1241" s="14" t="n">
        <v>40.4</v>
      </c>
      <c r="G1241" s="14">
        <f>IF(D1241="","",D1241*'参数与说明'!$B$6/45.3592)</f>
        <v/>
      </c>
      <c r="H1241" s="15">
        <f>IFERROR(IF(D1241="","",D1241/INDEX($D:$D,MATCH(EDATE($A1241,-1),$A:$A,0))-1),"")</f>
        <v/>
      </c>
      <c r="I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55.7</v>
      </c>
      <c r="E1242" s="18" t="n">
        <v>56.3</v>
      </c>
      <c r="F1242" s="18" t="n">
        <v>39.1</v>
      </c>
      <c r="G1242" s="18">
        <f>IF(D1242="","",D1242*'参数与说明'!$B$6/45.3592)</f>
        <v/>
      </c>
      <c r="H1242" s="19">
        <f>IFERROR(IF(D1242="","",D1242/INDEX($D:$D,MATCH(EDATE($A1242,-1),$A:$A,0))-1),"")</f>
        <v/>
      </c>
      <c r="I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62</v>
      </c>
      <c r="E1243" s="14" t="n">
        <v>62.7</v>
      </c>
      <c r="F1243" s="14" t="n">
        <v>43.3</v>
      </c>
      <c r="G1243" s="14">
        <f>IF(D1243="","",D1243*'参数与说明'!$B$6/45.3592)</f>
        <v/>
      </c>
      <c r="H1243" s="15">
        <f>IFERROR(IF(D1243="","",D1243/INDEX($D:$D,MATCH(EDATE($A1243,-1),$A:$A,0))-1),"")</f>
        <v/>
      </c>
      <c r="I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61.1</v>
      </c>
      <c r="E1244" s="18" t="n">
        <v>61.2</v>
      </c>
      <c r="F1244" s="18" t="n">
        <v>58.9</v>
      </c>
      <c r="G1244" s="18">
        <f>IF(D1244="","",D1244*'参数与说明'!$B$6/45.3592)</f>
        <v/>
      </c>
      <c r="H1244" s="19">
        <f>IFERROR(IF(D1244="","",D1244/INDEX($D:$D,MATCH(EDATE($A1244,-1),$A:$A,0))-1),"")</f>
        <v/>
      </c>
      <c r="I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62.4</v>
      </c>
      <c r="E1245" s="14" t="n">
        <v>62.7</v>
      </c>
      <c r="F1245" s="14" t="n">
        <v>54.8</v>
      </c>
      <c r="G1245" s="14">
        <f>IF(D1245="","",D1245*'参数与说明'!$B$6/45.3592)</f>
        <v/>
      </c>
      <c r="H1245" s="15">
        <f>IFERROR(IF(D1245="","",D1245/INDEX($D:$D,MATCH(EDATE($A1245,-1),$A:$A,0))-1),"")</f>
        <v/>
      </c>
      <c r="I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63.8</v>
      </c>
      <c r="E1246" s="18" t="n">
        <v>64.40000000000001</v>
      </c>
      <c r="F1246" s="18" t="n">
        <v>49.4</v>
      </c>
      <c r="G1246" s="18">
        <f>IF(D1246="","",D1246*'参数与说明'!$B$6/45.3592)</f>
        <v/>
      </c>
      <c r="H1246" s="19">
        <f>IFERROR(IF(D1246="","",D1246/INDEX($D:$D,MATCH(EDATE($A1246,-1),$A:$A,0))-1),"")</f>
        <v/>
      </c>
      <c r="I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64.5</v>
      </c>
      <c r="E1247" s="14" t="n">
        <v>65.09999999999999</v>
      </c>
      <c r="F1247" s="14" t="n">
        <v>49.2</v>
      </c>
      <c r="G1247" s="14">
        <f>IF(D1247="","",D1247*'参数与说明'!$B$6/45.3592)</f>
        <v/>
      </c>
      <c r="H1247" s="15">
        <f>IFERROR(IF(D1247="","",D1247/INDEX($D:$D,MATCH(EDATE($A1247,-1),$A:$A,0))-1),"")</f>
        <v/>
      </c>
      <c r="I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59.2</v>
      </c>
      <c r="E1248" s="18" t="n">
        <v>59.1</v>
      </c>
      <c r="F1248" s="18" t="n">
        <v>62.7</v>
      </c>
      <c r="G1248" s="18">
        <f>IF(D1248="","",D1248*'参数与说明'!$B$6/45.3592)</f>
        <v/>
      </c>
      <c r="H1248" s="19">
        <f>IFERROR(IF(D1248="","",D1248/INDEX($D:$D,MATCH(EDATE($A1248,-1),$A:$A,0))-1),"")</f>
        <v/>
      </c>
      <c r="I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61.8</v>
      </c>
      <c r="E1249" s="14" t="n">
        <v>61.9</v>
      </c>
      <c r="F1249" s="14" t="n">
        <v>57.9</v>
      </c>
      <c r="G1249" s="14">
        <f>IF(D1249="","",D1249*'参数与说明'!$B$6/45.3592)</f>
        <v/>
      </c>
      <c r="H1249" s="15">
        <f>IFERROR(IF(D1249="","",D1249/INDEX($D:$D,MATCH(EDATE($A1249,-1),$A:$A,0))-1),"")</f>
        <v/>
      </c>
      <c r="I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68.59999999999999</v>
      </c>
      <c r="E1250" s="18" t="n">
        <v>69.09999999999999</v>
      </c>
      <c r="F1250" s="18" t="n">
        <v>55.2</v>
      </c>
      <c r="G1250" s="18">
        <f>IF(D1250="","",D1250*'参数与说明'!$B$6/45.3592)</f>
        <v/>
      </c>
      <c r="H1250" s="19">
        <f>IFERROR(IF(D1250="","",D1250/INDEX($D:$D,MATCH(EDATE($A1250,-1),$A:$A,0))-1),"")</f>
        <v/>
      </c>
      <c r="I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74.40000000000001</v>
      </c>
      <c r="E1251" s="14" t="n">
        <v>75</v>
      </c>
      <c r="F1251" s="14" t="n">
        <v>60</v>
      </c>
      <c r="G1251" s="14">
        <f>IF(D1251="","",D1251*'参数与说明'!$B$6/45.3592)</f>
        <v/>
      </c>
      <c r="H1251" s="15">
        <f>IFERROR(IF(D1251="","",D1251/INDEX($D:$D,MATCH(EDATE($A1251,-1),$A:$A,0))-1),"")</f>
        <v/>
      </c>
      <c r="I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75.8</v>
      </c>
      <c r="E1252" s="18" t="n">
        <v>76</v>
      </c>
      <c r="F1252" s="18" t="n">
        <v>72.59999999999999</v>
      </c>
      <c r="G1252" s="18">
        <f>IF(D1252="","",D1252*'参数与说明'!$B$6/45.3592)</f>
        <v/>
      </c>
      <c r="H1252" s="19">
        <f>IFERROR(IF(D1252="","",D1252/INDEX($D:$D,MATCH(EDATE($A1252,-1),$A:$A,0))-1),"")</f>
        <v/>
      </c>
      <c r="I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74.2</v>
      </c>
      <c r="E1253" s="14" t="n">
        <v>74.09999999999999</v>
      </c>
      <c r="F1253" s="14" t="n">
        <v>75.90000000000001</v>
      </c>
      <c r="G1253" s="14">
        <f>IF(D1253="","",D1253*'参数与说明'!$B$6/45.3592)</f>
        <v/>
      </c>
      <c r="H1253" s="15">
        <f>IFERROR(IF(D1253="","",D1253/INDEX($D:$D,MATCH(EDATE($A1253,-1),$A:$A,0))-1),"")</f>
        <v/>
      </c>
      <c r="I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70.7</v>
      </c>
      <c r="E1254" s="18" t="n">
        <v>70.59999999999999</v>
      </c>
      <c r="F1254" s="18" t="n">
        <v>74.40000000000001</v>
      </c>
      <c r="G1254" s="18">
        <f>IF(D1254="","",D1254*'参数与说明'!$B$6/45.3592)</f>
        <v/>
      </c>
      <c r="H1254" s="19">
        <f>IFERROR(IF(D1254="","",D1254/INDEX($D:$D,MATCH(EDATE($A1254,-1),$A:$A,0))-1),"")</f>
        <v/>
      </c>
      <c r="I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68.5</v>
      </c>
      <c r="E1255" s="14" t="n">
        <v>68.40000000000001</v>
      </c>
      <c r="F1255" s="14" t="n">
        <v>71.90000000000001</v>
      </c>
      <c r="G1255" s="14">
        <f>IF(D1255="","",D1255*'参数与说明'!$B$6/45.3592)</f>
        <v/>
      </c>
      <c r="H1255" s="15">
        <f>IFERROR(IF(D1255="","",D1255/INDEX($D:$D,MATCH(EDATE($A1255,-1),$A:$A,0))-1),"")</f>
        <v/>
      </c>
      <c r="I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63.6</v>
      </c>
      <c r="E1256" s="18" t="n">
        <v>63.3</v>
      </c>
      <c r="F1256" s="18" t="n">
        <v>71</v>
      </c>
      <c r="G1256" s="18">
        <f>IF(D1256="","",D1256*'参数与说明'!$B$6/45.3592)</f>
        <v/>
      </c>
      <c r="H1256" s="19">
        <f>IFERROR(IF(D1256="","",D1256/INDEX($D:$D,MATCH(EDATE($A1256,-1),$A:$A,0))-1),"")</f>
        <v/>
      </c>
      <c r="I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61.5</v>
      </c>
      <c r="E1257" s="14" t="n">
        <v>61.3</v>
      </c>
      <c r="F1257" s="14" t="n">
        <v>70.09999999999999</v>
      </c>
      <c r="G1257" s="14">
        <f>IF(D1257="","",D1257*'参数与说明'!$B$6/45.3592)</f>
        <v/>
      </c>
      <c r="H1257" s="15">
        <f>IFERROR(IF(D1257="","",D1257/INDEX($D:$D,MATCH(EDATE($A1257,-1),$A:$A,0))-1),"")</f>
        <v/>
      </c>
      <c r="I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61.2</v>
      </c>
      <c r="E1258" s="18" t="n">
        <v>61.1</v>
      </c>
      <c r="F1258" s="18" t="n">
        <v>64.40000000000001</v>
      </c>
      <c r="G1258" s="18">
        <f>IF(D1258="","",D1258*'参数与说明'!$B$6/45.3592)</f>
        <v/>
      </c>
      <c r="H1258" s="19">
        <f>IFERROR(IF(D1258="","",D1258/INDEX($D:$D,MATCH(EDATE($A1258,-1),$A:$A,0))-1),"")</f>
        <v/>
      </c>
      <c r="I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65.5</v>
      </c>
      <c r="E1259" s="14" t="n">
        <v>65.59999999999999</v>
      </c>
      <c r="F1259" s="14" t="n">
        <v>63.4</v>
      </c>
      <c r="G1259" s="14">
        <f>IF(D1259="","",D1259*'参数与说明'!$B$6/45.3592)</f>
        <v/>
      </c>
      <c r="H1259" s="15">
        <f>IFERROR(IF(D1259="","",D1259/INDEX($D:$D,MATCH(EDATE($A1259,-1),$A:$A,0))-1),"")</f>
        <v/>
      </c>
      <c r="I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81.90000000000001</v>
      </c>
      <c r="E1260" s="18" t="n">
        <v>82</v>
      </c>
      <c r="F1260" s="18" t="n">
        <v>79.3</v>
      </c>
      <c r="G1260" s="18">
        <f>IF(D1260="","",D1260*'参数与说明'!$B$6/45.3592)</f>
        <v/>
      </c>
      <c r="H1260" s="19">
        <f>IFERROR(IF(D1260="","",D1260/INDEX($D:$D,MATCH(EDATE($A1260,-1),$A:$A,0))-1),"")</f>
        <v/>
      </c>
      <c r="I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88.8</v>
      </c>
      <c r="E1261" s="14" t="n">
        <v>88.40000000000001</v>
      </c>
      <c r="F1261" s="14" t="n">
        <v>98</v>
      </c>
      <c r="G1261" s="14">
        <f>IF(D1261="","",D1261*'参数与说明'!$B$6/45.3592)</f>
        <v/>
      </c>
      <c r="H1261" s="15">
        <f>IFERROR(IF(D1261="","",D1261/INDEX($D:$D,MATCH(EDATE($A1261,-1),$A:$A,0))-1),"")</f>
        <v/>
      </c>
      <c r="I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82.8</v>
      </c>
      <c r="E1262" s="18" t="n">
        <v>82.59999999999999</v>
      </c>
      <c r="F1262" s="18" t="n">
        <v>89.3</v>
      </c>
      <c r="G1262" s="18">
        <f>IF(D1262="","",D1262*'参数与说明'!$B$6/45.3592)</f>
        <v/>
      </c>
      <c r="H1262" s="19">
        <f>IFERROR(IF(D1262="","",D1262/INDEX($D:$D,MATCH(EDATE($A1262,-1),$A:$A,0))-1),"")</f>
        <v/>
      </c>
      <c r="I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84.8</v>
      </c>
      <c r="E1263" s="14" t="n">
        <v>85</v>
      </c>
      <c r="F1263" s="14" t="n">
        <v>80.40000000000001</v>
      </c>
      <c r="G1263" s="14">
        <f>IF(D1263="","",D1263*'参数与说明'!$B$6/45.3592)</f>
        <v/>
      </c>
      <c r="H1263" s="15">
        <f>IFERROR(IF(D1263="","",D1263/INDEX($D:$D,MATCH(EDATE($A1263,-1),$A:$A,0))-1),"")</f>
        <v/>
      </c>
      <c r="I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93.3</v>
      </c>
      <c r="E1264" s="18" t="n">
        <v>93.59999999999999</v>
      </c>
      <c r="F1264" s="18" t="n">
        <v>85.09999999999999</v>
      </c>
      <c r="G1264" s="18">
        <f>IF(D1264="","",D1264*'参数与说明'!$B$6/45.3592)</f>
        <v/>
      </c>
      <c r="H1264" s="19">
        <f>IFERROR(IF(D1264="","",D1264/INDEX($D:$D,MATCH(EDATE($A1264,-1),$A:$A,0))-1),"")</f>
        <v/>
      </c>
      <c r="I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83.2</v>
      </c>
      <c r="E1265" s="14" t="n">
        <v>82.90000000000001</v>
      </c>
      <c r="F1265" s="14" t="n">
        <v>91.59999999999999</v>
      </c>
      <c r="G1265" s="14">
        <f>IF(D1265="","",D1265*'参数与说明'!$B$6/45.3592)</f>
        <v/>
      </c>
      <c r="H1265" s="15">
        <f>IFERROR(IF(D1265="","",D1265/INDEX($D:$D,MATCH(EDATE($A1265,-1),$A:$A,0))-1),"")</f>
        <v/>
      </c>
      <c r="I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75.7</v>
      </c>
      <c r="E1266" s="18" t="n">
        <v>76</v>
      </c>
      <c r="F1266" s="18" t="n">
        <v>67.09999999999999</v>
      </c>
      <c r="G1266" s="18">
        <f>IF(D1266="","",D1266*'参数与说明'!$B$6/45.3592)</f>
        <v/>
      </c>
      <c r="H1266" s="19">
        <f>IFERROR(IF(D1266="","",D1266/INDEX($D:$D,MATCH(EDATE($A1266,-1),$A:$A,0))-1),"")</f>
        <v/>
      </c>
      <c r="I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77</v>
      </c>
      <c r="E1267" s="14" t="n">
        <v>77.40000000000001</v>
      </c>
      <c r="F1267" s="14" t="n">
        <v>66.40000000000001</v>
      </c>
      <c r="G1267" s="14">
        <f>IF(D1267="","",D1267*'参数与说明'!$B$6/45.3592)</f>
        <v/>
      </c>
      <c r="H1267" s="15">
        <f>IFERROR(IF(D1267="","",D1267/INDEX($D:$D,MATCH(EDATE($A1267,-1),$A:$A,0))-1),"")</f>
        <v/>
      </c>
      <c r="I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66.7</v>
      </c>
      <c r="E1268" s="18" t="n">
        <v>66.40000000000001</v>
      </c>
      <c r="F1268" s="18" t="n">
        <v>74.2</v>
      </c>
      <c r="G1268" s="18">
        <f>IF(D1268="","",D1268*'参数与说明'!$B$6/45.3592)</f>
        <v/>
      </c>
      <c r="H1268" s="19">
        <f>IFERROR(IF(D1268="","",D1268/INDEX($D:$D,MATCH(EDATE($A1268,-1),$A:$A,0))-1),"")</f>
        <v/>
      </c>
      <c r="I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64.3</v>
      </c>
      <c r="E1269" s="14" t="n">
        <v>64.2</v>
      </c>
      <c r="F1269" s="14" t="n">
        <v>65.8</v>
      </c>
      <c r="G1269" s="14">
        <f>IF(D1269="","",D1269*'参数与说明'!$B$6/45.3592)</f>
        <v/>
      </c>
      <c r="H1269" s="15">
        <f>IFERROR(IF(D1269="","",D1269/INDEX($D:$D,MATCH(EDATE($A1269,-1),$A:$A,0))-1),"")</f>
        <v/>
      </c>
      <c r="I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57.4</v>
      </c>
      <c r="E1270" s="18" t="n">
        <v>57.7</v>
      </c>
      <c r="F1270" s="18" t="n">
        <v>48</v>
      </c>
      <c r="G1270" s="18">
        <f>IF(D1270="","",D1270*'参数与说明'!$B$6/45.3592)</f>
        <v/>
      </c>
      <c r="H1270" s="19">
        <f>IFERROR(IF(D1270="","",D1270/INDEX($D:$D,MATCH(EDATE($A1270,-1),$A:$A,0))-1),"")</f>
        <v/>
      </c>
      <c r="I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50.4</v>
      </c>
      <c r="E1271" s="14" t="n">
        <v>50.8</v>
      </c>
      <c r="F1271" s="14" t="n">
        <v>39.7</v>
      </c>
      <c r="G1271" s="14">
        <f>IF(D1271="","",D1271*'参数与说明'!$B$6/45.3592)</f>
        <v/>
      </c>
      <c r="H1271" s="15">
        <f>IFERROR(IF(D1271="","",D1271/INDEX($D:$D,MATCH(EDATE($A1271,-1),$A:$A,0))-1),"")</f>
        <v/>
      </c>
      <c r="I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50.3</v>
      </c>
      <c r="E1272" s="18" t="n">
        <v>50.7</v>
      </c>
      <c r="F1272" s="18" t="n">
        <v>38.2</v>
      </c>
      <c r="G1272" s="18">
        <f>IF(D1272="","",D1272*'参数与说明'!$B$6/45.3592)</f>
        <v/>
      </c>
      <c r="H1272" s="19">
        <f>IFERROR(IF(D1272="","",D1272/INDEX($D:$D,MATCH(EDATE($A1272,-1),$A:$A,0))-1),"")</f>
        <v/>
      </c>
      <c r="I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49</v>
      </c>
      <c r="E1273" s="14" t="n">
        <v>49.4</v>
      </c>
      <c r="F1273" s="14" t="n">
        <v>38.5</v>
      </c>
      <c r="G1273" s="14">
        <f>IF(D1273="","",D1273*'参数与说明'!$B$6/45.3592)</f>
        <v/>
      </c>
      <c r="H1273" s="15">
        <f>IFERROR(IF(D1273="","",D1273/INDEX($D:$D,MATCH(EDATE($A1273,-1),$A:$A,0))-1),"")</f>
        <v/>
      </c>
      <c r="I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58.9</v>
      </c>
      <c r="E1274" s="18" t="n">
        <v>60</v>
      </c>
      <c r="F1274" s="18" t="n">
        <v>31.4</v>
      </c>
      <c r="G1274" s="18">
        <f>IF(D1274="","",D1274*'参数与说明'!$B$6/45.3592)</f>
        <v/>
      </c>
      <c r="H1274" s="19">
        <f>IFERROR(IF(D1274="","",D1274/INDEX($D:$D,MATCH(EDATE($A1274,-1),$A:$A,0))-1),"")</f>
        <v/>
      </c>
      <c r="I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59.9</v>
      </c>
      <c r="E1275" s="14" t="n">
        <v>60.8</v>
      </c>
      <c r="F1275" s="14" t="n">
        <v>36.8</v>
      </c>
      <c r="G1275" s="14">
        <f>IF(D1275="","",D1275*'参数与说明'!$B$6/45.3592)</f>
        <v/>
      </c>
      <c r="H1275" s="15">
        <f>IFERROR(IF(D1275="","",D1275/INDEX($D:$D,MATCH(EDATE($A1275,-1),$A:$A,0))-1),"")</f>
        <v/>
      </c>
      <c r="I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58.7</v>
      </c>
      <c r="E1276" s="18" t="n">
        <v>59.5</v>
      </c>
      <c r="F1276" s="18" t="n">
        <v>40</v>
      </c>
      <c r="G1276" s="18">
        <f>IF(D1276="","",D1276*'参数与说明'!$B$6/45.3592)</f>
        <v/>
      </c>
      <c r="H1276" s="19">
        <f>IFERROR(IF(D1276="","",D1276/INDEX($D:$D,MATCH(EDATE($A1276,-1),$A:$A,0))-1),"")</f>
        <v/>
      </c>
      <c r="I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59</v>
      </c>
      <c r="E1277" s="14" t="n">
        <v>59.3</v>
      </c>
      <c r="F1277" s="14" t="n">
        <v>50.7</v>
      </c>
      <c r="G1277" s="14">
        <f>IF(D1277="","",D1277*'参数与说明'!$B$6/45.3592)</f>
        <v/>
      </c>
      <c r="H1277" s="15">
        <f>IFERROR(IF(D1277="","",D1277/INDEX($D:$D,MATCH(EDATE($A1277,-1),$A:$A,0))-1),"")</f>
        <v/>
      </c>
      <c r="I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54.5</v>
      </c>
      <c r="E1278" s="18" t="n">
        <v>54.9</v>
      </c>
      <c r="F1278" s="18" t="n">
        <v>45.2</v>
      </c>
      <c r="G1278" s="18">
        <f>IF(D1278="","",D1278*'参数与说明'!$B$6/45.3592)</f>
        <v/>
      </c>
      <c r="H1278" s="19">
        <f>IFERROR(IF(D1278="","",D1278/INDEX($D:$D,MATCH(EDATE($A1278,-1),$A:$A,0))-1),"")</f>
        <v/>
      </c>
      <c r="I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55.5</v>
      </c>
      <c r="E1279" s="14" t="n">
        <v>55.4</v>
      </c>
      <c r="F1279" s="14" t="n">
        <v>57.4</v>
      </c>
      <c r="G1279" s="14">
        <f>IF(D1279="","",D1279*'参数与说明'!$B$6/45.3592)</f>
        <v/>
      </c>
      <c r="H1279" s="15">
        <f>IFERROR(IF(D1279="","",D1279/INDEX($D:$D,MATCH(EDATE($A1279,-1),$A:$A,0))-1),"")</f>
        <v/>
      </c>
      <c r="I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45.9</v>
      </c>
      <c r="E1280" s="18" t="n">
        <v>45.8</v>
      </c>
      <c r="F1280" s="18" t="n">
        <v>48.5</v>
      </c>
      <c r="G1280" s="18">
        <f>IF(D1280="","",D1280*'参数与说明'!$B$6/45.3592)</f>
        <v/>
      </c>
      <c r="H1280" s="19">
        <f>IFERROR(IF(D1280="","",D1280/INDEX($D:$D,MATCH(EDATE($A1280,-1),$A:$A,0))-1),"")</f>
        <v/>
      </c>
      <c r="I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42.8</v>
      </c>
      <c r="E1281" s="14" t="n">
        <v>43.3</v>
      </c>
      <c r="F1281" s="14" t="n">
        <v>28.4</v>
      </c>
      <c r="G1281" s="14">
        <f>IF(D1281="","",D1281*'参数与说明'!$B$6/45.3592)</f>
        <v/>
      </c>
      <c r="H1281" s="15">
        <f>IFERROR(IF(D1281="","",D1281/INDEX($D:$D,MATCH(EDATE($A1281,-1),$A:$A,0))-1),"")</f>
        <v/>
      </c>
      <c r="I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43.6</v>
      </c>
      <c r="E1282" s="18" t="n">
        <v>44</v>
      </c>
      <c r="F1282" s="18" t="n">
        <v>31.5</v>
      </c>
      <c r="G1282" s="18">
        <f>IF(D1282="","",D1282*'参数与说明'!$B$6/45.3592)</f>
        <v/>
      </c>
      <c r="H1282" s="19">
        <f>IFERROR(IF(D1282="","",D1282/INDEX($D:$D,MATCH(EDATE($A1282,-1),$A:$A,0))-1),"")</f>
        <v/>
      </c>
      <c r="I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49.6</v>
      </c>
      <c r="E1283" s="14" t="n">
        <v>49.8</v>
      </c>
      <c r="F1283" s="14" t="n">
        <v>45.4</v>
      </c>
      <c r="G1283" s="14">
        <f>IF(D1283="","",D1283*'参数与说明'!$B$6/45.3592)</f>
        <v/>
      </c>
      <c r="H1283" s="15">
        <f>IFERROR(IF(D1283="","",D1283/INDEX($D:$D,MATCH(EDATE($A1283,-1),$A:$A,0))-1),"")</f>
        <v/>
      </c>
      <c r="I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50</v>
      </c>
      <c r="E1284" s="18" t="n">
        <v>50.5</v>
      </c>
      <c r="F1284" s="18" t="n">
        <v>36.3</v>
      </c>
      <c r="G1284" s="18">
        <f>IF(D1284="","",D1284*'参数与说明'!$B$6/45.3592)</f>
        <v/>
      </c>
      <c r="H1284" s="19">
        <f>IFERROR(IF(D1284="","",D1284/INDEX($D:$D,MATCH(EDATE($A1284,-1),$A:$A,0))-1),"")</f>
        <v/>
      </c>
      <c r="I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51</v>
      </c>
      <c r="E1285" s="14" t="n">
        <v>51.4</v>
      </c>
      <c r="F1285" s="14" t="n">
        <v>41.3</v>
      </c>
      <c r="G1285" s="14">
        <f>IF(D1285="","",D1285*'参数与说明'!$B$6/45.3592)</f>
        <v/>
      </c>
      <c r="H1285" s="15">
        <f>IFERROR(IF(D1285="","",D1285/INDEX($D:$D,MATCH(EDATE($A1285,-1),$A:$A,0))-1),"")</f>
        <v/>
      </c>
      <c r="I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57.2</v>
      </c>
      <c r="E1286" s="18" t="n">
        <v>57.5</v>
      </c>
      <c r="F1286" s="18" t="n">
        <v>49</v>
      </c>
      <c r="G1286" s="18">
        <f>IF(D1286="","",D1286*'参数与说明'!$B$6/45.3592)</f>
        <v/>
      </c>
      <c r="H1286" s="19">
        <f>IFERROR(IF(D1286="","",D1286/INDEX($D:$D,MATCH(EDATE($A1286,-1),$A:$A,0))-1),"")</f>
        <v/>
      </c>
      <c r="I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60.6</v>
      </c>
      <c r="E1287" s="14" t="n">
        <v>61</v>
      </c>
      <c r="F1287" s="14" t="n">
        <v>49.2</v>
      </c>
      <c r="G1287" s="14">
        <f>IF(D1287="","",D1287*'参数与说明'!$B$6/45.3592)</f>
        <v/>
      </c>
      <c r="H1287" s="15">
        <f>IFERROR(IF(D1287="","",D1287/INDEX($D:$D,MATCH(EDATE($A1287,-1),$A:$A,0))-1),"")</f>
        <v/>
      </c>
      <c r="I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59.4</v>
      </c>
      <c r="E1288" s="18" t="n">
        <v>60.1</v>
      </c>
      <c r="F1288" s="18" t="n">
        <v>44.5</v>
      </c>
      <c r="G1288" s="18">
        <f>IF(D1288="","",D1288*'参数与说明'!$B$6/45.3592)</f>
        <v/>
      </c>
      <c r="H1288" s="19">
        <f>IFERROR(IF(D1288="","",D1288/INDEX($D:$D,MATCH(EDATE($A1288,-1),$A:$A,0))-1),"")</f>
        <v/>
      </c>
      <c r="I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52.6</v>
      </c>
      <c r="E1289" s="14" t="n">
        <v>52.6</v>
      </c>
      <c r="F1289" s="14" t="n">
        <v>50.8</v>
      </c>
      <c r="G1289" s="14">
        <f>IF(D1289="","",D1289*'参数与说明'!$B$6/45.3592)</f>
        <v/>
      </c>
      <c r="H1289" s="15">
        <f>IFERROR(IF(D1289="","",D1289/INDEX($D:$D,MATCH(EDATE($A1289,-1),$A:$A,0))-1),"")</f>
        <v/>
      </c>
      <c r="I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47.8</v>
      </c>
      <c r="E1290" s="18" t="n">
        <v>47.9</v>
      </c>
      <c r="F1290" s="18" t="n">
        <v>46.3</v>
      </c>
      <c r="G1290" s="18">
        <f>IF(D1290="","",D1290*'参数与说明'!$B$6/45.3592)</f>
        <v/>
      </c>
      <c r="H1290" s="19">
        <f>IFERROR(IF(D1290="","",D1290/INDEX($D:$D,MATCH(EDATE($A1290,-1),$A:$A,0))-1),"")</f>
        <v/>
      </c>
      <c r="I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41.7</v>
      </c>
      <c r="E1291" s="14" t="n">
        <v>42</v>
      </c>
      <c r="F1291" s="14" t="n">
        <v>33.2</v>
      </c>
      <c r="G1291" s="14">
        <f>IF(D1291="","",D1291*'参数与说明'!$B$6/45.3592)</f>
        <v/>
      </c>
      <c r="H1291" s="15">
        <f>IFERROR(IF(D1291="","",D1291/INDEX($D:$D,MATCH(EDATE($A1291,-1),$A:$A,0))-1),"")</f>
        <v/>
      </c>
      <c r="I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39</v>
      </c>
      <c r="E1292" s="18" t="n">
        <v>39.3</v>
      </c>
      <c r="F1292" s="18" t="n">
        <v>30.4</v>
      </c>
      <c r="G1292" s="18">
        <f>IF(D1292="","",D1292*'参数与说明'!$B$6/45.3592)</f>
        <v/>
      </c>
      <c r="H1292" s="19">
        <f>IFERROR(IF(D1292="","",D1292/INDEX($D:$D,MATCH(EDATE($A1292,-1),$A:$A,0))-1),"")</f>
        <v/>
      </c>
      <c r="I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43.1</v>
      </c>
      <c r="E1293" s="14" t="n">
        <v>43.6</v>
      </c>
      <c r="F1293" s="14" t="n">
        <v>27.6</v>
      </c>
      <c r="G1293" s="14">
        <f>IF(D1293="","",D1293*'参数与说明'!$B$6/45.3592)</f>
        <v/>
      </c>
      <c r="H1293" s="15">
        <f>IFERROR(IF(D1293="","",D1293/INDEX($D:$D,MATCH(EDATE($A1293,-1),$A:$A,0))-1),"")</f>
        <v/>
      </c>
      <c r="I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48.1</v>
      </c>
      <c r="E1294" s="18" t="n">
        <v>48.7</v>
      </c>
      <c r="F1294" s="18" t="n">
        <v>31.9</v>
      </c>
      <c r="G1294" s="18">
        <f>IF(D1294="","",D1294*'参数与说明'!$B$6/45.3592)</f>
        <v/>
      </c>
      <c r="H1294" s="19">
        <f>IFERROR(IF(D1294="","",D1294/INDEX($D:$D,MATCH(EDATE($A1294,-1),$A:$A,0))-1),"")</f>
        <v/>
      </c>
      <c r="I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54.4</v>
      </c>
      <c r="E1295" s="14" t="n">
        <v>55.3</v>
      </c>
      <c r="F1295" s="14" t="n">
        <v>33.2</v>
      </c>
      <c r="G1295" s="14">
        <f>IF(D1295="","",D1295*'参数与说明'!$B$6/45.3592)</f>
        <v/>
      </c>
      <c r="H1295" s="15">
        <f>IFERROR(IF(D1295="","",D1295/INDEX($D:$D,MATCH(EDATE($A1295,-1),$A:$A,0))-1),"")</f>
        <v/>
      </c>
      <c r="I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53</v>
      </c>
      <c r="E1296" s="18" t="n">
        <v>53.7</v>
      </c>
      <c r="F1296" s="18" t="n">
        <v>36.2</v>
      </c>
      <c r="G1296" s="18">
        <f>IF(D1296="","",D1296*'参数与说明'!$B$6/45.3592)</f>
        <v/>
      </c>
      <c r="H1296" s="19">
        <f>IFERROR(IF(D1296="","",D1296/INDEX($D:$D,MATCH(EDATE($A1296,-1),$A:$A,0))-1),"")</f>
        <v/>
      </c>
      <c r="I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48.4</v>
      </c>
      <c r="E1297" s="14" t="n">
        <v>48.7</v>
      </c>
      <c r="F1297" s="14" t="n">
        <v>42.7</v>
      </c>
      <c r="G1297" s="14">
        <f>IF(D1297="","",D1297*'参数与说明'!$B$6/45.3592)</f>
        <v/>
      </c>
      <c r="H1297" s="15">
        <f>IFERROR(IF(D1297="","",D1297/INDEX($D:$D,MATCH(EDATE($A1297,-1),$A:$A,0))-1),"")</f>
        <v/>
      </c>
      <c r="I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53.6</v>
      </c>
      <c r="E1298" s="18" t="n">
        <v>53.8</v>
      </c>
      <c r="F1298" s="18" t="n">
        <v>50</v>
      </c>
      <c r="G1298" s="18">
        <f>IF(D1298="","",D1298*'参数与说明'!$B$6/45.3592)</f>
        <v/>
      </c>
      <c r="H1298" s="19">
        <f>IFERROR(IF(D1298="","",D1298/INDEX($D:$D,MATCH(EDATE($A1298,-1),$A:$A,0))-1),"")</f>
        <v/>
      </c>
      <c r="I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62.1</v>
      </c>
      <c r="E1299" s="14" t="n">
        <v>62.7</v>
      </c>
      <c r="F1299" s="14" t="n">
        <v>49.3</v>
      </c>
      <c r="G1299" s="14">
        <f>IF(D1299="","",D1299*'参数与说明'!$B$6/45.3592)</f>
        <v/>
      </c>
      <c r="H1299" s="15">
        <f>IFERROR(IF(D1299="","",D1299/INDEX($D:$D,MATCH(EDATE($A1299,-1),$A:$A,0))-1),"")</f>
        <v/>
      </c>
      <c r="I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67.3</v>
      </c>
      <c r="E1300" s="18" t="n">
        <v>67.40000000000001</v>
      </c>
      <c r="F1300" s="18" t="n">
        <v>64.8</v>
      </c>
      <c r="G1300" s="18">
        <f>IF(D1300="","",D1300*'参数与说明'!$B$6/45.3592)</f>
        <v/>
      </c>
      <c r="H1300" s="19">
        <f>IFERROR(IF(D1300="","",D1300/INDEX($D:$D,MATCH(EDATE($A1300,-1),$A:$A,0))-1),"")</f>
        <v/>
      </c>
      <c r="I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61.5</v>
      </c>
      <c r="E1301" s="14" t="n">
        <v>61.2</v>
      </c>
      <c r="F1301" s="14" t="n">
        <v>71.8</v>
      </c>
      <c r="G1301" s="14">
        <f>IF(D1301="","",D1301*'参数与说明'!$B$6/45.3592)</f>
        <v/>
      </c>
      <c r="H1301" s="15">
        <f>IFERROR(IF(D1301="","",D1301/INDEX($D:$D,MATCH(EDATE($A1301,-1),$A:$A,0))-1),"")</f>
        <v/>
      </c>
      <c r="I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48.9</v>
      </c>
      <c r="E1302" s="18" t="n">
        <v>49</v>
      </c>
      <c r="F1302" s="18" t="n">
        <v>45.5</v>
      </c>
      <c r="G1302" s="18">
        <f>IF(D1302="","",D1302*'参数与说明'!$B$6/45.3592)</f>
        <v/>
      </c>
      <c r="H1302" s="19">
        <f>IFERROR(IF(D1302="","",D1302/INDEX($D:$D,MATCH(EDATE($A1302,-1),$A:$A,0))-1),"")</f>
        <v/>
      </c>
      <c r="I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47.3</v>
      </c>
      <c r="E1303" s="14" t="n">
        <v>47.6</v>
      </c>
      <c r="F1303" s="14" t="n">
        <v>36.3</v>
      </c>
      <c r="G1303" s="14">
        <f>IF(D1303="","",D1303*'参数与说明'!$B$6/45.3592)</f>
        <v/>
      </c>
      <c r="H1303" s="15">
        <f>IFERROR(IF(D1303="","",D1303/INDEX($D:$D,MATCH(EDATE($A1303,-1),$A:$A,0))-1),"")</f>
        <v/>
      </c>
      <c r="I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50</v>
      </c>
      <c r="E1304" s="18" t="n">
        <v>50.2</v>
      </c>
      <c r="F1304" s="18" t="n">
        <v>44.6</v>
      </c>
      <c r="G1304" s="18">
        <f>IF(D1304="","",D1304*'参数与说明'!$B$6/45.3592)</f>
        <v/>
      </c>
      <c r="H1304" s="19">
        <f>IFERROR(IF(D1304="","",D1304/INDEX($D:$D,MATCH(EDATE($A1304,-1),$A:$A,0))-1),"")</f>
        <v/>
      </c>
      <c r="I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48.6</v>
      </c>
      <c r="E1305" s="14" t="n">
        <v>48.8</v>
      </c>
      <c r="F1305" s="14" t="n">
        <v>41.8</v>
      </c>
      <c r="G1305" s="14">
        <f>IF(D1305="","",D1305*'参数与说明'!$B$6/45.3592)</f>
        <v/>
      </c>
      <c r="H1305" s="15">
        <f>IFERROR(IF(D1305="","",D1305/INDEX($D:$D,MATCH(EDATE($A1305,-1),$A:$A,0))-1),"")</f>
        <v/>
      </c>
      <c r="I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52.5</v>
      </c>
      <c r="E1306" s="18" t="n">
        <v>52.9</v>
      </c>
      <c r="F1306" s="18" t="n">
        <v>40.4</v>
      </c>
      <c r="G1306" s="18">
        <f>IF(D1306="","",D1306*'参数与说明'!$B$6/45.3592)</f>
        <v/>
      </c>
      <c r="H1306" s="19">
        <f>IFERROR(IF(D1306="","",D1306/INDEX($D:$D,MATCH(EDATE($A1306,-1),$A:$A,0))-1),"")</f>
        <v/>
      </c>
      <c r="I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54.6</v>
      </c>
      <c r="E1307" s="14" t="n">
        <v>54.6</v>
      </c>
      <c r="F1307" s="14" t="n">
        <v>54.5</v>
      </c>
      <c r="G1307" s="14">
        <f>IF(D1307="","",D1307*'参数与说明'!$B$6/45.3592)</f>
        <v/>
      </c>
      <c r="H1307" s="15">
        <f>IFERROR(IF(D1307="","",D1307/INDEX($D:$D,MATCH(EDATE($A1307,-1),$A:$A,0))-1),"")</f>
        <v/>
      </c>
      <c r="I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50</v>
      </c>
      <c r="E1308" s="18" t="n">
        <v>50</v>
      </c>
      <c r="F1308" s="18" t="n">
        <v>47.7</v>
      </c>
      <c r="G1308" s="18">
        <f>IF(D1308="","",D1308*'参数与说明'!$B$6/45.3592)</f>
        <v/>
      </c>
      <c r="H1308" s="19">
        <f>IFERROR(IF(D1308="","",D1308/INDEX($D:$D,MATCH(EDATE($A1308,-1),$A:$A,0))-1),"")</f>
        <v/>
      </c>
      <c r="I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45.3</v>
      </c>
      <c r="E1309" s="14" t="n">
        <v>45.5</v>
      </c>
      <c r="F1309" s="14" t="n">
        <v>40.2</v>
      </c>
      <c r="G1309" s="14">
        <f>IF(D1309="","",D1309*'参数与说明'!$B$6/45.3592)</f>
        <v/>
      </c>
      <c r="H1309" s="15">
        <f>IFERROR(IF(D1309="","",D1309/INDEX($D:$D,MATCH(EDATE($A1309,-1),$A:$A,0))-1),"")</f>
        <v/>
      </c>
      <c r="I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51.5</v>
      </c>
      <c r="E1310" s="18" t="n">
        <v>51.8</v>
      </c>
      <c r="F1310" s="18" t="n">
        <v>43.5</v>
      </c>
      <c r="G1310" s="18">
        <f>IF(D1310="","",D1310*'参数与说明'!$B$6/45.3592)</f>
        <v/>
      </c>
      <c r="H1310" s="19">
        <f>IFERROR(IF(D1310="","",D1310/INDEX($D:$D,MATCH(EDATE($A1310,-1),$A:$A,0))-1),"")</f>
        <v/>
      </c>
      <c r="I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59.1</v>
      </c>
      <c r="E1311" s="14" t="n">
        <v>59.8</v>
      </c>
      <c r="F1311" s="14" t="n">
        <v>42</v>
      </c>
      <c r="G1311" s="14">
        <f>IF(D1311="","",D1311*'参数与说明'!$B$6/45.3592)</f>
        <v/>
      </c>
      <c r="H1311" s="15">
        <f>IFERROR(IF(D1311="","",D1311/INDEX($D:$D,MATCH(EDATE($A1311,-1),$A:$A,0))-1),"")</f>
        <v/>
      </c>
      <c r="I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58.6</v>
      </c>
      <c r="E1312" s="18" t="n">
        <v>59.2</v>
      </c>
      <c r="F1312" s="18" t="n">
        <v>43.6</v>
      </c>
      <c r="G1312" s="18">
        <f>IF(D1312="","",D1312*'参数与说明'!$B$6/45.3592)</f>
        <v/>
      </c>
      <c r="H1312" s="19">
        <f>IFERROR(IF(D1312="","",D1312/INDEX($D:$D,MATCH(EDATE($A1312,-1),$A:$A,0))-1),"")</f>
        <v/>
      </c>
      <c r="I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44.3</v>
      </c>
      <c r="E1313" s="14" t="n">
        <v>44.7</v>
      </c>
      <c r="F1313" s="14" t="n">
        <v>34</v>
      </c>
      <c r="G1313" s="14">
        <f>IF(D1313="","",D1313*'参数与说明'!$B$6/45.3592)</f>
        <v/>
      </c>
      <c r="H1313" s="15">
        <f>IFERROR(IF(D1313="","",D1313/INDEX($D:$D,MATCH(EDATE($A1313,-1),$A:$A,0))-1),"")</f>
        <v/>
      </c>
      <c r="I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43.2</v>
      </c>
      <c r="E1314" s="18" t="n">
        <v>43.7</v>
      </c>
      <c r="F1314" s="18" t="n">
        <v>28.6</v>
      </c>
      <c r="G1314" s="18">
        <f>IF(D1314="","",D1314*'参数与说明'!$B$6/45.3592)</f>
        <v/>
      </c>
      <c r="H1314" s="19">
        <f>IFERROR(IF(D1314="","",D1314/INDEX($D:$D,MATCH(EDATE($A1314,-1),$A:$A,0))-1),"")</f>
        <v/>
      </c>
      <c r="I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50.3</v>
      </c>
      <c r="E1315" s="14" t="n">
        <v>50.8</v>
      </c>
      <c r="F1315" s="14" t="n">
        <v>35.2</v>
      </c>
      <c r="G1315" s="14">
        <f>IF(D1315="","",D1315*'参数与说明'!$B$6/45.3592)</f>
        <v/>
      </c>
      <c r="H1315" s="15">
        <f>IFERROR(IF(D1315="","",D1315/INDEX($D:$D,MATCH(EDATE($A1315,-1),$A:$A,0))-1),"")</f>
        <v/>
      </c>
      <c r="I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46.2</v>
      </c>
      <c r="E1316" s="18" t="n">
        <v>46.3</v>
      </c>
      <c r="F1316" s="18" t="n">
        <v>43.3</v>
      </c>
      <c r="G1316" s="18">
        <f>IF(D1316="","",D1316*'参数与说明'!$B$6/45.3592)</f>
        <v/>
      </c>
      <c r="H1316" s="19">
        <f>IFERROR(IF(D1316="","",D1316/INDEX($D:$D,MATCH(EDATE($A1316,-1),$A:$A,0))-1),"")</f>
        <v/>
      </c>
      <c r="I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43.4</v>
      </c>
      <c r="E1317" s="14" t="n">
        <v>43.6</v>
      </c>
      <c r="F1317" s="14" t="n">
        <v>38</v>
      </c>
      <c r="G1317" s="14">
        <f>IF(D1317="","",D1317*'参数与说明'!$B$6/45.3592)</f>
        <v/>
      </c>
      <c r="H1317" s="15">
        <f>IFERROR(IF(D1317="","",D1317/INDEX($D:$D,MATCH(EDATE($A1317,-1),$A:$A,0))-1),"")</f>
        <v/>
      </c>
      <c r="I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44.6</v>
      </c>
      <c r="E1318" s="18" t="n">
        <v>45</v>
      </c>
      <c r="F1318" s="18" t="n">
        <v>32.3</v>
      </c>
      <c r="G1318" s="18">
        <f>IF(D1318="","",D1318*'参数与说明'!$B$6/45.3592)</f>
        <v/>
      </c>
      <c r="H1318" s="19">
        <f>IFERROR(IF(D1318="","",D1318/INDEX($D:$D,MATCH(EDATE($A1318,-1),$A:$A,0))-1),"")</f>
        <v/>
      </c>
      <c r="I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43.4</v>
      </c>
      <c r="E1319" s="14" t="n">
        <v>43.6</v>
      </c>
      <c r="F1319" s="14" t="n">
        <v>36.2</v>
      </c>
      <c r="G1319" s="14">
        <f>IF(D1319="","",D1319*'参数与说明'!$B$6/45.3592)</f>
        <v/>
      </c>
      <c r="H1319" s="15">
        <f>IFERROR(IF(D1319="","",D1319/INDEX($D:$D,MATCH(EDATE($A1319,-1),$A:$A,0))-1),"")</f>
        <v/>
      </c>
      <c r="I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46.5</v>
      </c>
      <c r="E1320" s="18" t="n">
        <v>46.5</v>
      </c>
      <c r="F1320" s="18" t="n">
        <v>43.9</v>
      </c>
      <c r="G1320" s="18">
        <f>IF(D1320="","",D1320*'参数与说明'!$B$6/45.3592)</f>
        <v/>
      </c>
      <c r="H1320" s="19">
        <f>IFERROR(IF(D1320="","",D1320/INDEX($D:$D,MATCH(EDATE($A1320,-1),$A:$A,0))-1),"")</f>
        <v/>
      </c>
      <c r="I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59.4</v>
      </c>
      <c r="E1321" s="14" t="n">
        <v>59.7</v>
      </c>
      <c r="F1321" s="14" t="n">
        <v>50.6</v>
      </c>
      <c r="G1321" s="14">
        <f>IF(D1321="","",D1321*'参数与说明'!$B$6/45.3592)</f>
        <v/>
      </c>
      <c r="H1321" s="15">
        <f>IFERROR(IF(D1321="","",D1321/INDEX($D:$D,MATCH(EDATE($A1321,-1),$A:$A,0))-1),"")</f>
        <v/>
      </c>
      <c r="I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62.3</v>
      </c>
      <c r="E1322" s="18" t="n">
        <v>62.3</v>
      </c>
      <c r="F1322" s="18" t="n">
        <v>61.8</v>
      </c>
      <c r="G1322" s="18">
        <f>IF(D1322="","",D1322*'参数与说明'!$B$6/45.3592)</f>
        <v/>
      </c>
      <c r="H1322" s="19">
        <f>IFERROR(IF(D1322="","",D1322/INDEX($D:$D,MATCH(EDATE($A1322,-1),$A:$A,0))-1),"")</f>
        <v/>
      </c>
      <c r="I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59.5</v>
      </c>
      <c r="E1323" s="14" t="n">
        <v>60</v>
      </c>
      <c r="F1323" s="14" t="n">
        <v>47.5</v>
      </c>
      <c r="G1323" s="14">
        <f>IF(D1323="","",D1323*'参数与说明'!$B$6/45.3592)</f>
        <v/>
      </c>
      <c r="H1323" s="15">
        <f>IFERROR(IF(D1323="","",D1323/INDEX($D:$D,MATCH(EDATE($A1323,-1),$A:$A,0))-1),"")</f>
        <v/>
      </c>
      <c r="I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56.6</v>
      </c>
      <c r="E1324" s="18" t="n">
        <v>57.4</v>
      </c>
      <c r="F1324" s="18" t="n">
        <v>35.6</v>
      </c>
      <c r="G1324" s="18">
        <f>IF(D1324="","",D1324*'参数与说明'!$B$6/45.3592)</f>
        <v/>
      </c>
      <c r="H1324" s="19">
        <f>IFERROR(IF(D1324="","",D1324/INDEX($D:$D,MATCH(EDATE($A1324,-1),$A:$A,0))-1),"")</f>
        <v/>
      </c>
      <c r="I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58.5</v>
      </c>
      <c r="E1325" s="14" t="n">
        <v>59.3</v>
      </c>
      <c r="F1325" s="14" t="n">
        <v>38.3</v>
      </c>
      <c r="G1325" s="14">
        <f>IF(D1325="","",D1325*'参数与说明'!$B$6/45.3592)</f>
        <v/>
      </c>
      <c r="H1325" s="15">
        <f>IFERROR(IF(D1325="","",D1325/INDEX($D:$D,MATCH(EDATE($A1325,-1),$A:$A,0))-1),"")</f>
        <v/>
      </c>
      <c r="I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47.7</v>
      </c>
      <c r="E1326" s="18" t="n">
        <v>48.3</v>
      </c>
      <c r="F1326" s="18" t="n">
        <v>31.9</v>
      </c>
      <c r="G1326" s="18">
        <f>IF(D1326="","",D1326*'参数与说明'!$B$6/45.3592)</f>
        <v/>
      </c>
      <c r="H1326" s="19">
        <f>IFERROR(IF(D1326="","",D1326/INDEX($D:$D,MATCH(EDATE($A1326,-1),$A:$A,0))-1),"")</f>
        <v/>
      </c>
      <c r="I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49.1</v>
      </c>
      <c r="E1327" s="14" t="n">
        <v>49.7</v>
      </c>
      <c r="F1327" s="14" t="n">
        <v>33.1</v>
      </c>
      <c r="G1327" s="14">
        <f>IF(D1327="","",D1327*'参数与说明'!$B$6/45.3592)</f>
        <v/>
      </c>
      <c r="H1327" s="15">
        <f>IFERROR(IF(D1327="","",D1327/INDEX($D:$D,MATCH(EDATE($A1327,-1),$A:$A,0))-1),"")</f>
        <v/>
      </c>
      <c r="I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48</v>
      </c>
      <c r="E1328" s="18" t="n">
        <v>48.2</v>
      </c>
      <c r="F1328" s="18" t="n">
        <v>41.9</v>
      </c>
      <c r="G1328" s="18">
        <f>IF(D1328="","",D1328*'参数与说明'!$B$6/45.3592)</f>
        <v/>
      </c>
      <c r="H1328" s="19">
        <f>IFERROR(IF(D1328="","",D1328/INDEX($D:$D,MATCH(EDATE($A1328,-1),$A:$A,0))-1),"")</f>
        <v/>
      </c>
      <c r="I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47.3</v>
      </c>
      <c r="E1329" s="14" t="n">
        <v>47.7</v>
      </c>
      <c r="F1329" s="14" t="n">
        <v>33.4</v>
      </c>
      <c r="G1329" s="14">
        <f>IF(D1329="","",D1329*'参数与说明'!$B$6/45.3592)</f>
        <v/>
      </c>
      <c r="H1329" s="15">
        <f>IFERROR(IF(D1329="","",D1329/INDEX($D:$D,MATCH(EDATE($A1329,-1),$A:$A,0))-1),"")</f>
        <v/>
      </c>
      <c r="I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47.8</v>
      </c>
      <c r="E1330" s="18" t="n">
        <v>48.6</v>
      </c>
      <c r="F1330" s="18" t="n">
        <v>25.7</v>
      </c>
      <c r="G1330" s="18">
        <f>IF(D1330="","",D1330*'参数与说明'!$B$6/45.3592)</f>
        <v/>
      </c>
      <c r="H1330" s="19">
        <f>IFERROR(IF(D1330="","",D1330/INDEX($D:$D,MATCH(EDATE($A1330,-1),$A:$A,0))-1),"")</f>
        <v/>
      </c>
      <c r="I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45.5</v>
      </c>
      <c r="E1331" s="14" t="n">
        <v>46.3</v>
      </c>
      <c r="F1331" s="14" t="n">
        <v>26.1</v>
      </c>
      <c r="G1331" s="14">
        <f>IF(D1331="","",D1331*'参数与说明'!$B$6/45.3592)</f>
        <v/>
      </c>
      <c r="H1331" s="15">
        <f>IFERROR(IF(D1331="","",D1331/INDEX($D:$D,MATCH(EDATE($A1331,-1),$A:$A,0))-1),"")</f>
        <v/>
      </c>
      <c r="I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47.7</v>
      </c>
      <c r="E1332" s="18" t="n">
        <v>48.3</v>
      </c>
      <c r="F1332" s="18" t="n">
        <v>31.5</v>
      </c>
      <c r="G1332" s="18">
        <f>IF(D1332="","",D1332*'参数与说明'!$B$6/45.3592)</f>
        <v/>
      </c>
      <c r="H1332" s="19">
        <f>IFERROR(IF(D1332="","",D1332/INDEX($D:$D,MATCH(EDATE($A1332,-1),$A:$A,0))-1),"")</f>
        <v/>
      </c>
      <c r="I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42.3</v>
      </c>
      <c r="E1333" s="14" t="n">
        <v>42.6</v>
      </c>
      <c r="F1333" s="14" t="n">
        <v>36.2</v>
      </c>
      <c r="G1333" s="14">
        <f>IF(D1333="","",D1333*'参数与说明'!$B$6/45.3592)</f>
        <v/>
      </c>
      <c r="H1333" s="15">
        <f>IFERROR(IF(D1333="","",D1333/INDEX($D:$D,MATCH(EDATE($A1333,-1),$A:$A,0))-1),"")</f>
        <v/>
      </c>
      <c r="I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51</v>
      </c>
      <c r="E1334" s="18" t="n">
        <v>52.7</v>
      </c>
      <c r="F1334" s="18" t="n">
        <v>22.4</v>
      </c>
      <c r="G1334" s="18">
        <f>IF(D1334="","",D1334*'参数与说明'!$B$6/45.3592)</f>
        <v/>
      </c>
      <c r="H1334" s="19">
        <f>IFERROR(IF(D1334="","",D1334/INDEX($D:$D,MATCH(EDATE($A1334,-1),$A:$A,0))-1),"")</f>
        <v/>
      </c>
      <c r="I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41.3</v>
      </c>
      <c r="E1335" s="14" t="n">
        <v>42.2</v>
      </c>
      <c r="F1335" s="14" t="n">
        <v>21</v>
      </c>
      <c r="G1335" s="14">
        <f>IF(D1335="","",D1335*'参数与说明'!$B$6/45.3592)</f>
        <v/>
      </c>
      <c r="H1335" s="15">
        <f>IFERROR(IF(D1335="","",D1335/INDEX($D:$D,MATCH(EDATE($A1335,-1),$A:$A,0))-1),"")</f>
        <v/>
      </c>
      <c r="I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39.9</v>
      </c>
      <c r="E1336" s="18" t="n">
        <v>40.7</v>
      </c>
      <c r="F1336" s="18" t="n">
        <v>21.2</v>
      </c>
      <c r="G1336" s="18">
        <f>IF(D1336="","",D1336*'参数与说明'!$B$6/45.3592)</f>
        <v/>
      </c>
      <c r="H1336" s="19">
        <f>IFERROR(IF(D1336="","",D1336/INDEX($D:$D,MATCH(EDATE($A1336,-1),$A:$A,0))-1),"")</f>
        <v/>
      </c>
      <c r="I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42.9</v>
      </c>
      <c r="E1337" s="14" t="n">
        <v>43.8</v>
      </c>
      <c r="F1337" s="14" t="n">
        <v>22.3</v>
      </c>
      <c r="G1337" s="14">
        <f>IF(D1337="","",D1337*'参数与说明'!$B$6/45.3592)</f>
        <v/>
      </c>
      <c r="H1337" s="15">
        <f>IFERROR(IF(D1337="","",D1337/INDEX($D:$D,MATCH(EDATE($A1337,-1),$A:$A,0))-1),"")</f>
        <v/>
      </c>
      <c r="I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49.7</v>
      </c>
      <c r="E1338" s="18" t="n">
        <v>50.9</v>
      </c>
      <c r="F1338" s="18" t="n">
        <v>22.4</v>
      </c>
      <c r="G1338" s="18">
        <f>IF(D1338="","",D1338*'参数与说明'!$B$6/45.3592)</f>
        <v/>
      </c>
      <c r="H1338" s="19">
        <f>IFERROR(IF(D1338="","",D1338/INDEX($D:$D,MATCH(EDATE($A1338,-1),$A:$A,0))-1),"")</f>
        <v/>
      </c>
      <c r="I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56.3</v>
      </c>
      <c r="E1339" s="14" t="n">
        <v>57.3</v>
      </c>
      <c r="F1339" s="14" t="n">
        <v>29.9</v>
      </c>
      <c r="G1339" s="14">
        <f>IF(D1339="","",D1339*'参数与说明'!$B$6/45.3592)</f>
        <v/>
      </c>
      <c r="H1339" s="15">
        <f>IFERROR(IF(D1339="","",D1339/INDEX($D:$D,MATCH(EDATE($A1339,-1),$A:$A,0))-1),"")</f>
        <v/>
      </c>
      <c r="I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51.9</v>
      </c>
      <c r="E1340" s="18" t="n">
        <v>52.3</v>
      </c>
      <c r="F1340" s="18" t="n">
        <v>41.8</v>
      </c>
      <c r="G1340" s="18">
        <f>IF(D1340="","",D1340*'参数与说明'!$B$6/45.3592)</f>
        <v/>
      </c>
      <c r="H1340" s="19">
        <f>IFERROR(IF(D1340="","",D1340/INDEX($D:$D,MATCH(EDATE($A1340,-1),$A:$A,0))-1),"")</f>
        <v/>
      </c>
      <c r="I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49.1</v>
      </c>
      <c r="E1341" s="14" t="n">
        <v>49.4</v>
      </c>
      <c r="F1341" s="14" t="n">
        <v>42.2</v>
      </c>
      <c r="G1341" s="14">
        <f>IF(D1341="","",D1341*'参数与说明'!$B$6/45.3592)</f>
        <v/>
      </c>
      <c r="H1341" s="15">
        <f>IFERROR(IF(D1341="","",D1341/INDEX($D:$D,MATCH(EDATE($A1341,-1),$A:$A,0))-1),"")</f>
        <v/>
      </c>
      <c r="I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50.2</v>
      </c>
      <c r="E1342" s="18" t="n">
        <v>50.5</v>
      </c>
      <c r="F1342" s="18" t="n">
        <v>42.5</v>
      </c>
      <c r="G1342" s="18">
        <f>IF(D1342="","",D1342*'参数与说明'!$B$6/45.3592)</f>
        <v/>
      </c>
      <c r="H1342" s="19">
        <f>IFERROR(IF(D1342="","",D1342/INDEX($D:$D,MATCH(EDATE($A1342,-1),$A:$A,0))-1),"")</f>
        <v/>
      </c>
      <c r="I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56.4</v>
      </c>
      <c r="E1343" s="14" t="n">
        <v>56.4</v>
      </c>
      <c r="F1343" s="14" t="n">
        <v>56.9</v>
      </c>
      <c r="G1343" s="14">
        <f>IF(D1343="","",D1343*'参数与说明'!$B$6/45.3592)</f>
        <v/>
      </c>
      <c r="H1343" s="15">
        <f>IFERROR(IF(D1343="","",D1343/INDEX($D:$D,MATCH(EDATE($A1343,-1),$A:$A,0))-1),"")</f>
        <v/>
      </c>
      <c r="I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67.2</v>
      </c>
      <c r="E1344" s="18" t="n">
        <v>66.59999999999999</v>
      </c>
      <c r="F1344" s="18" t="n">
        <v>78.8</v>
      </c>
      <c r="G1344" s="18">
        <f>IF(D1344="","",D1344*'参数与说明'!$B$6/45.3592)</f>
        <v/>
      </c>
      <c r="H1344" s="19">
        <f>IFERROR(IF(D1344="","",D1344/INDEX($D:$D,MATCH(EDATE($A1344,-1),$A:$A,0))-1),"")</f>
        <v/>
      </c>
      <c r="I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75.59999999999999</v>
      </c>
      <c r="E1345" s="14" t="n">
        <v>75.40000000000001</v>
      </c>
      <c r="F1345" s="14" t="n">
        <v>79.90000000000001</v>
      </c>
      <c r="G1345" s="14">
        <f>IF(D1345="","",D1345*'参数与说明'!$B$6/45.3592)</f>
        <v/>
      </c>
      <c r="H1345" s="15">
        <f>IFERROR(IF(D1345="","",D1345/INDEX($D:$D,MATCH(EDATE($A1345,-1),$A:$A,0))-1),"")</f>
        <v/>
      </c>
      <c r="I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79.3</v>
      </c>
      <c r="E1346" s="18" t="n">
        <v>80</v>
      </c>
      <c r="F1346" s="18" t="n">
        <v>63.3</v>
      </c>
      <c r="G1346" s="18">
        <f>IF(D1346="","",D1346*'参数与说明'!$B$6/45.3592)</f>
        <v/>
      </c>
      <c r="H1346" s="19">
        <f>IFERROR(IF(D1346="","",D1346/INDEX($D:$D,MATCH(EDATE($A1346,-1),$A:$A,0))-1),"")</f>
        <v/>
      </c>
      <c r="I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82.7</v>
      </c>
      <c r="E1347" s="14" t="n">
        <v>84.2</v>
      </c>
      <c r="F1347" s="14" t="n">
        <v>52.4</v>
      </c>
      <c r="G1347" s="14">
        <f>IF(D1347="","",D1347*'参数与说明'!$B$6/45.3592)</f>
        <v/>
      </c>
      <c r="H1347" s="15">
        <f>IFERROR(IF(D1347="","",D1347/INDEX($D:$D,MATCH(EDATE($A1347,-1),$A:$A,0))-1),"")</f>
        <v/>
      </c>
      <c r="I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80</v>
      </c>
      <c r="E1348" s="18" t="n">
        <v>80.7</v>
      </c>
      <c r="F1348" s="18" t="n">
        <v>67.09999999999999</v>
      </c>
      <c r="G1348" s="18">
        <f>IF(D1348="","",D1348*'参数与说明'!$B$6/45.3592)</f>
        <v/>
      </c>
      <c r="H1348" s="19">
        <f>IFERROR(IF(D1348="","",D1348/INDEX($D:$D,MATCH(EDATE($A1348,-1),$A:$A,0))-1),"")</f>
        <v/>
      </c>
      <c r="I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79</v>
      </c>
      <c r="E1349" s="14" t="n">
        <v>78.59999999999999</v>
      </c>
      <c r="F1349" s="14" t="n">
        <v>88.5</v>
      </c>
      <c r="G1349" s="14">
        <f>IF(D1349="","",D1349*'参数与说明'!$B$6/45.3592)</f>
        <v/>
      </c>
      <c r="H1349" s="15">
        <f>IFERROR(IF(D1349="","",D1349/INDEX($D:$D,MATCH(EDATE($A1349,-1),$A:$A,0))-1),"")</f>
        <v/>
      </c>
      <c r="I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70.8</v>
      </c>
      <c r="E1350" s="18" t="n">
        <v>70.40000000000001</v>
      </c>
      <c r="F1350" s="18" t="n">
        <v>79.5</v>
      </c>
      <c r="G1350" s="18">
        <f>IF(D1350="","",D1350*'参数与说明'!$B$6/45.3592)</f>
        <v/>
      </c>
      <c r="H1350" s="19">
        <f>IFERROR(IF(D1350="","",D1350/INDEX($D:$D,MATCH(EDATE($A1350,-1),$A:$A,0))-1),"")</f>
        <v/>
      </c>
      <c r="I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65.5</v>
      </c>
      <c r="E1351" s="14" t="n">
        <v>65.59999999999999</v>
      </c>
      <c r="F1351" s="14" t="n">
        <v>62</v>
      </c>
      <c r="G1351" s="14">
        <f>IF(D1351="","",D1351*'参数与说明'!$B$6/45.3592)</f>
        <v/>
      </c>
      <c r="H1351" s="15">
        <f>IFERROR(IF(D1351="","",D1351/INDEX($D:$D,MATCH(EDATE($A1351,-1),$A:$A,0))-1),"")</f>
        <v/>
      </c>
      <c r="I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58.6</v>
      </c>
      <c r="E1352" s="18" t="n">
        <v>58.2</v>
      </c>
      <c r="F1352" s="18" t="n">
        <v>69.59999999999999</v>
      </c>
      <c r="G1352" s="18">
        <f>IF(D1352="","",D1352*'参数与说明'!$B$6/45.3592)</f>
        <v/>
      </c>
      <c r="H1352" s="19">
        <f>IFERROR(IF(D1352="","",D1352/INDEX($D:$D,MATCH(EDATE($A1352,-1),$A:$A,0))-1),"")</f>
        <v/>
      </c>
      <c r="I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56.5</v>
      </c>
      <c r="E1353" s="14" t="n">
        <v>56.2</v>
      </c>
      <c r="F1353" s="14" t="n">
        <v>64.3</v>
      </c>
      <c r="G1353" s="14">
        <f>IF(D1353="","",D1353*'参数与说明'!$B$6/45.3592)</f>
        <v/>
      </c>
      <c r="H1353" s="15">
        <f>IFERROR(IF(D1353="","",D1353/INDEX($D:$D,MATCH(EDATE($A1353,-1),$A:$A,0))-1),"")</f>
        <v/>
      </c>
      <c r="I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58.8</v>
      </c>
      <c r="E1354" s="18" t="n">
        <v>59.3</v>
      </c>
      <c r="F1354" s="18" t="n">
        <v>45.9</v>
      </c>
      <c r="G1354" s="18">
        <f>IF(D1354="","",D1354*'参数与说明'!$B$6/45.3592)</f>
        <v/>
      </c>
      <c r="H1354" s="19">
        <f>IFERROR(IF(D1354="","",D1354/INDEX($D:$D,MATCH(EDATE($A1354,-1),$A:$A,0))-1),"")</f>
        <v/>
      </c>
      <c r="I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68.59999999999999</v>
      </c>
      <c r="E1355" s="14" t="n">
        <v>68.8</v>
      </c>
      <c r="F1355" s="14" t="n">
        <v>63.7</v>
      </c>
      <c r="G1355" s="14">
        <f>IF(D1355="","",D1355*'参数与说明'!$B$6/45.3592)</f>
        <v/>
      </c>
      <c r="H1355" s="15">
        <f>IFERROR(IF(D1355="","",D1355/INDEX($D:$D,MATCH(EDATE($A1355,-1),$A:$A,0))-1),"")</f>
        <v/>
      </c>
      <c r="I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75.09999999999999</v>
      </c>
      <c r="E1356" s="18" t="n">
        <v>74.59999999999999</v>
      </c>
      <c r="F1356" s="18" t="n">
        <v>84.59999999999999</v>
      </c>
      <c r="G1356" s="18">
        <f>IF(D1356="","",D1356*'参数与说明'!$B$6/45.3592)</f>
        <v/>
      </c>
      <c r="H1356" s="19">
        <f>IFERROR(IF(D1356="","",D1356/INDEX($D:$D,MATCH(EDATE($A1356,-1),$A:$A,0))-1),"")</f>
        <v/>
      </c>
      <c r="I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76.2</v>
      </c>
      <c r="E1357" s="14" t="n">
        <v>75.40000000000001</v>
      </c>
      <c r="F1357" s="14" t="n">
        <v>94.7</v>
      </c>
      <c r="G1357" s="14">
        <f>IF(D1357="","",D1357*'参数与说明'!$B$6/45.3592)</f>
        <v/>
      </c>
      <c r="H1357" s="15">
        <f>IFERROR(IF(D1357="","",D1357/INDEX($D:$D,MATCH(EDATE($A1357,-1),$A:$A,0))-1),"")</f>
        <v/>
      </c>
      <c r="I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75.90000000000001</v>
      </c>
      <c r="E1358" s="18" t="n">
        <v>76.09999999999999</v>
      </c>
      <c r="F1358" s="18" t="n">
        <v>72.09999999999999</v>
      </c>
      <c r="G1358" s="18">
        <f>IF(D1358="","",D1358*'参数与说明'!$B$6/45.3592)</f>
        <v/>
      </c>
      <c r="H1358" s="19">
        <f>IFERROR(IF(D1358="","",D1358/INDEX($D:$D,MATCH(EDATE($A1358,-1),$A:$A,0))-1),"")</f>
        <v/>
      </c>
      <c r="I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78.7</v>
      </c>
      <c r="E1359" s="14" t="n">
        <v>80</v>
      </c>
      <c r="F1359" s="14" t="n">
        <v>51.1</v>
      </c>
      <c r="G1359" s="14">
        <f>IF(D1359="","",D1359*'参数与说明'!$B$6/45.3592)</f>
        <v/>
      </c>
      <c r="H1359" s="15">
        <f>IFERROR(IF(D1359="","",D1359/INDEX($D:$D,MATCH(EDATE($A1359,-1),$A:$A,0))-1),"")</f>
        <v/>
      </c>
      <c r="I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83</v>
      </c>
      <c r="E1360" s="18" t="n">
        <v>84</v>
      </c>
      <c r="F1360" s="18" t="n">
        <v>61.4</v>
      </c>
      <c r="G1360" s="18">
        <f>IF(D1360="","",D1360*'参数与说明'!$B$6/45.3592)</f>
        <v/>
      </c>
      <c r="H1360" s="19">
        <f>IFERROR(IF(D1360="","",D1360/INDEX($D:$D,MATCH(EDATE($A1360,-1),$A:$A,0))-1),"")</f>
        <v/>
      </c>
      <c r="I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85.8</v>
      </c>
      <c r="E1361" s="14" t="n">
        <v>86</v>
      </c>
      <c r="F1361" s="14" t="n">
        <v>82.90000000000001</v>
      </c>
      <c r="G1361" s="14">
        <f>IF(D1361="","",D1361*'参数与说明'!$B$6/45.3592)</f>
        <v/>
      </c>
      <c r="H1361" s="15">
        <f>IFERROR(IF(D1361="","",D1361/INDEX($D:$D,MATCH(EDATE($A1361,-1),$A:$A,0))-1),"")</f>
        <v/>
      </c>
      <c r="I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73.8</v>
      </c>
      <c r="E1362" s="18" t="n">
        <v>73.90000000000001</v>
      </c>
      <c r="F1362" s="18" t="n">
        <v>70.90000000000001</v>
      </c>
      <c r="G1362" s="18">
        <f>IF(D1362="","",D1362*'参数与说明'!$B$6/45.3592)</f>
        <v/>
      </c>
      <c r="H1362" s="19">
        <f>IFERROR(IF(D1362="","",D1362/INDEX($D:$D,MATCH(EDATE($A1362,-1),$A:$A,0))-1),"")</f>
        <v/>
      </c>
      <c r="I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70.5</v>
      </c>
      <c r="E1363" s="14" t="n">
        <v>70.5</v>
      </c>
      <c r="F1363" s="14" t="n">
        <v>70.40000000000001</v>
      </c>
      <c r="G1363" s="14">
        <f>IF(D1363="","",D1363*'参数与说明'!$B$6/45.3592)</f>
        <v/>
      </c>
      <c r="H1363" s="15">
        <f>IFERROR(IF(D1363="","",D1363/INDEX($D:$D,MATCH(EDATE($A1363,-1),$A:$A,0))-1),"")</f>
        <v/>
      </c>
      <c r="I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66.7</v>
      </c>
      <c r="E1364" s="18" t="n">
        <v>66.90000000000001</v>
      </c>
      <c r="F1364" s="18" t="n">
        <v>63.8</v>
      </c>
      <c r="G1364" s="18">
        <f>IF(D1364="","",D1364*'参数与说明'!$B$6/45.3592)</f>
        <v/>
      </c>
      <c r="H1364" s="19">
        <f>IFERROR(IF(D1364="","",D1364/INDEX($D:$D,MATCH(EDATE($A1364,-1),$A:$A,0))-1),"")</f>
        <v/>
      </c>
      <c r="I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62.5</v>
      </c>
      <c r="E1365" s="14" t="n">
        <v>63</v>
      </c>
      <c r="F1365" s="14" t="n">
        <v>51.9</v>
      </c>
      <c r="G1365" s="14">
        <f>IF(D1365="","",D1365*'参数与说明'!$B$6/45.3592)</f>
        <v/>
      </c>
      <c r="H1365" s="15">
        <f>IFERROR(IF(D1365="","",D1365/INDEX($D:$D,MATCH(EDATE($A1365,-1),$A:$A,0))-1),"")</f>
        <v/>
      </c>
      <c r="I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58.5</v>
      </c>
      <c r="E1366" s="18" t="n">
        <v>59.3</v>
      </c>
      <c r="F1366" s="18" t="n">
        <v>42.7</v>
      </c>
      <c r="G1366" s="18">
        <f>IF(D1366="","",D1366*'参数与说明'!$B$6/45.3592)</f>
        <v/>
      </c>
      <c r="H1366" s="19">
        <f>IFERROR(IF(D1366="","",D1366/INDEX($D:$D,MATCH(EDATE($A1366,-1),$A:$A,0))-1),"")</f>
        <v/>
      </c>
      <c r="I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59.6</v>
      </c>
      <c r="E1367" s="14" t="n">
        <v>59.7</v>
      </c>
      <c r="F1367" s="14" t="n">
        <v>57.5</v>
      </c>
      <c r="G1367" s="14">
        <f>IF(D1367="","",D1367*'参数与说明'!$B$6/45.3592)</f>
        <v/>
      </c>
      <c r="H1367" s="15">
        <f>IFERROR(IF(D1367="","",D1367/INDEX($D:$D,MATCH(EDATE($A1367,-1),$A:$A,0))-1),"")</f>
        <v/>
      </c>
      <c r="I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61.7</v>
      </c>
      <c r="E1368" s="18" t="n">
        <v>61.6</v>
      </c>
      <c r="F1368" s="18" t="n">
        <v>64.40000000000001</v>
      </c>
      <c r="G1368" s="18">
        <f>IF(D1368="","",D1368*'参数与说明'!$B$6/45.3592)</f>
        <v/>
      </c>
      <c r="H1368" s="19">
        <f>IFERROR(IF(D1368="","",D1368/INDEX($D:$D,MATCH(EDATE($A1368,-1),$A:$A,0))-1),"")</f>
        <v/>
      </c>
      <c r="I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57</v>
      </c>
      <c r="E1369" s="14" t="n">
        <v>57.7</v>
      </c>
      <c r="F1369" s="14" t="n">
        <v>41.2</v>
      </c>
      <c r="G1369" s="14">
        <f>IF(D1369="","",D1369*'参数与说明'!$B$6/45.3592)</f>
        <v/>
      </c>
      <c r="H1369" s="15">
        <f>IFERROR(IF(D1369="","",D1369/INDEX($D:$D,MATCH(EDATE($A1369,-1),$A:$A,0))-1),"")</f>
        <v/>
      </c>
      <c r="I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58.8</v>
      </c>
      <c r="E1370" s="18" t="n">
        <v>60.7</v>
      </c>
      <c r="F1370" s="18" t="n">
        <v>23</v>
      </c>
      <c r="G1370" s="18">
        <f>IF(D1370="","",D1370*'参数与说明'!$B$6/45.3592)</f>
        <v/>
      </c>
      <c r="H1370" s="19">
        <f>IFERROR(IF(D1370="","",D1370/INDEX($D:$D,MATCH(EDATE($A1370,-1),$A:$A,0))-1),"")</f>
        <v/>
      </c>
      <c r="I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64.59999999999999</v>
      </c>
      <c r="E1371" s="14" t="n">
        <v>66.8</v>
      </c>
      <c r="F1371" s="14" t="n">
        <v>30.1</v>
      </c>
      <c r="G1371" s="14">
        <f>IF(D1371="","",D1371*'参数与说明'!$B$6/45.3592)</f>
        <v/>
      </c>
      <c r="H1371" s="15">
        <f>IFERROR(IF(D1371="","",D1371/INDEX($D:$D,MATCH(EDATE($A1371,-1),$A:$A,0))-1),"")</f>
        <v/>
      </c>
      <c r="I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74.3</v>
      </c>
      <c r="E1372" s="18" t="n">
        <v>76.09999999999999</v>
      </c>
      <c r="F1372" s="18" t="n">
        <v>46</v>
      </c>
      <c r="G1372" s="18">
        <f>IF(D1372="","",D1372*'参数与说明'!$B$6/45.3592)</f>
        <v/>
      </c>
      <c r="H1372" s="19">
        <f>IFERROR(IF(D1372="","",D1372/INDEX($D:$D,MATCH(EDATE($A1372,-1),$A:$A,0))-1),"")</f>
        <v/>
      </c>
      <c r="I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73.7</v>
      </c>
      <c r="E1373" s="14" t="n">
        <v>74.3</v>
      </c>
      <c r="F1373" s="14" t="n">
        <v>64.09999999999999</v>
      </c>
      <c r="G1373" s="14">
        <f>IF(D1373="","",D1373*'参数与说明'!$B$6/45.3592)</f>
        <v/>
      </c>
      <c r="H1373" s="15">
        <f>IFERROR(IF(D1373="","",D1373/INDEX($D:$D,MATCH(EDATE($A1373,-1),$A:$A,0))-1),"")</f>
        <v/>
      </c>
      <c r="I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64.90000000000001</v>
      </c>
      <c r="E1374" s="18" t="n">
        <v>65.59999999999999</v>
      </c>
      <c r="F1374" s="18" t="n">
        <v>50.2</v>
      </c>
      <c r="G1374" s="18">
        <f>IF(D1374="","",D1374*'参数与说明'!$B$6/45.3592)</f>
        <v/>
      </c>
      <c r="H1374" s="19">
        <f>IFERROR(IF(D1374="","",D1374/INDEX($D:$D,MATCH(EDATE($A1374,-1),$A:$A,0))-1),"")</f>
        <v/>
      </c>
      <c r="I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60.4</v>
      </c>
      <c r="E1375" s="14" t="n">
        <v>61.5</v>
      </c>
      <c r="F1375" s="14" t="n">
        <v>39.5</v>
      </c>
      <c r="G1375" s="14">
        <f>IF(D1375="","",D1375*'参数与说明'!$B$6/45.3592)</f>
        <v/>
      </c>
      <c r="H1375" s="15">
        <f>IFERROR(IF(D1375="","",D1375/INDEX($D:$D,MATCH(EDATE($A1375,-1),$A:$A,0))-1),"")</f>
        <v/>
      </c>
      <c r="I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57.5</v>
      </c>
      <c r="E1376" s="18" t="n">
        <v>57.5</v>
      </c>
      <c r="F1376" s="18" t="n">
        <v>58.1</v>
      </c>
      <c r="G1376" s="18">
        <f>IF(D1376="","",D1376*'参数与说明'!$B$6/45.3592)</f>
        <v/>
      </c>
      <c r="H1376" s="19">
        <f>IFERROR(IF(D1376="","",D1376/INDEX($D:$D,MATCH(EDATE($A1376,-1),$A:$A,0))-1),"")</f>
        <v/>
      </c>
      <c r="I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53.3</v>
      </c>
      <c r="E1377" s="14" t="n">
        <v>53.5</v>
      </c>
      <c r="F1377" s="14" t="n">
        <v>48.9</v>
      </c>
      <c r="G1377" s="14">
        <f>IF(D1377="","",D1377*'参数与说明'!$B$6/45.3592)</f>
        <v/>
      </c>
      <c r="H1377" s="15">
        <f>IFERROR(IF(D1377="","",D1377/INDEX($D:$D,MATCH(EDATE($A1377,-1),$A:$A,0))-1),"")</f>
        <v/>
      </c>
      <c r="I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53</v>
      </c>
      <c r="E1378" s="18" t="n">
        <v>53.9</v>
      </c>
      <c r="F1378" s="18" t="n">
        <v>36.8</v>
      </c>
      <c r="G1378" s="18">
        <f>IF(D1378="","",D1378*'参数与说明'!$B$6/45.3592)</f>
        <v/>
      </c>
      <c r="H1378" s="19">
        <f>IFERROR(IF(D1378="","",D1378/INDEX($D:$D,MATCH(EDATE($A1378,-1),$A:$A,0))-1),"")</f>
        <v/>
      </c>
      <c r="I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58.2</v>
      </c>
      <c r="E1379" s="14" t="n">
        <v>58.7</v>
      </c>
      <c r="F1379" s="14" t="n">
        <v>50.1</v>
      </c>
      <c r="G1379" s="14">
        <f>IF(D1379="","",D1379*'参数与说明'!$B$6/45.3592)</f>
        <v/>
      </c>
      <c r="H1379" s="15">
        <f>IFERROR(IF(D1379="","",D1379/INDEX($D:$D,MATCH(EDATE($A1379,-1),$A:$A,0))-1),"")</f>
        <v/>
      </c>
      <c r="I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62.8</v>
      </c>
      <c r="E1380" s="18" t="n">
        <v>62.7</v>
      </c>
      <c r="F1380" s="18" t="n">
        <v>64.5</v>
      </c>
      <c r="G1380" s="18">
        <f>IF(D1380="","",D1380*'参数与说明'!$B$6/45.3592)</f>
        <v/>
      </c>
      <c r="H1380" s="19">
        <f>IFERROR(IF(D1380="","",D1380/INDEX($D:$D,MATCH(EDATE($A1380,-1),$A:$A,0))-1),"")</f>
        <v/>
      </c>
      <c r="I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66.90000000000001</v>
      </c>
      <c r="E1381" s="14" t="n">
        <v>67.09999999999999</v>
      </c>
      <c r="F1381" s="14" t="n">
        <v>62.5</v>
      </c>
      <c r="G1381" s="14">
        <f>IF(D1381="","",D1381*'参数与说明'!$B$6/45.3592)</f>
        <v/>
      </c>
      <c r="H1381" s="15">
        <f>IFERROR(IF(D1381="","",D1381/INDEX($D:$D,MATCH(EDATE($A1381,-1),$A:$A,0))-1),"")</f>
        <v/>
      </c>
      <c r="I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67.90000000000001</v>
      </c>
      <c r="E1382" s="18" t="n">
        <v>69</v>
      </c>
      <c r="F1382" s="18" t="n">
        <v>49.2</v>
      </c>
      <c r="G1382" s="18">
        <f>IF(D1382="","",D1382*'参数与说明'!$B$6/45.3592)</f>
        <v/>
      </c>
      <c r="H1382" s="19">
        <f>IFERROR(IF(D1382="","",D1382/INDEX($D:$D,MATCH(EDATE($A1382,-1),$A:$A,0))-1),"")</f>
        <v/>
      </c>
      <c r="I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68.8</v>
      </c>
      <c r="E1383" s="14" t="n">
        <v>68.90000000000001</v>
      </c>
      <c r="F1383" s="14" t="n">
        <v>67</v>
      </c>
      <c r="G1383" s="14">
        <f>IF(D1383="","",D1383*'参数与说明'!$B$6/45.3592)</f>
        <v/>
      </c>
      <c r="H1383" s="15">
        <f>IFERROR(IF(D1383="","",D1383/INDEX($D:$D,MATCH(EDATE($A1383,-1),$A:$A,0))-1),"")</f>
        <v/>
      </c>
      <c r="I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68.40000000000001</v>
      </c>
      <c r="E1384" s="18" t="n">
        <v>68.5</v>
      </c>
      <c r="F1384" s="18" t="n">
        <v>67.2</v>
      </c>
      <c r="G1384" s="18">
        <f>IF(D1384="","",D1384*'参数与说明'!$B$6/45.3592)</f>
        <v/>
      </c>
      <c r="H1384" s="19">
        <f>IFERROR(IF(D1384="","",D1384/INDEX($D:$D,MATCH(EDATE($A1384,-1),$A:$A,0))-1),"")</f>
        <v/>
      </c>
      <c r="I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67.8</v>
      </c>
      <c r="E1385" s="14" t="n">
        <v>67.90000000000001</v>
      </c>
      <c r="F1385" s="14" t="n">
        <v>66.8</v>
      </c>
      <c r="G1385" s="14">
        <f>IF(D1385="","",D1385*'参数与说明'!$B$6/45.3592)</f>
        <v/>
      </c>
      <c r="H1385" s="15">
        <f>IFERROR(IF(D1385="","",D1385/INDEX($D:$D,MATCH(EDATE($A1385,-1),$A:$A,0))-1),"")</f>
        <v/>
      </c>
      <c r="I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64.3</v>
      </c>
      <c r="E1386" s="18" t="n">
        <v>64</v>
      </c>
      <c r="F1386" s="18" t="n">
        <v>70.2</v>
      </c>
      <c r="G1386" s="18">
        <f>IF(D1386="","",D1386*'参数与说明'!$B$6/45.3592)</f>
        <v/>
      </c>
      <c r="H1386" s="19">
        <f>IFERROR(IF(D1386="","",D1386/INDEX($D:$D,MATCH(EDATE($A1386,-1),$A:$A,0))-1),"")</f>
        <v/>
      </c>
      <c r="I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63.9</v>
      </c>
      <c r="E1387" s="14" t="n">
        <v>63.6</v>
      </c>
      <c r="F1387" s="14" t="n">
        <v>70.59999999999999</v>
      </c>
      <c r="G1387" s="14">
        <f>IF(D1387="","",D1387*'参数与说明'!$B$6/45.3592)</f>
        <v/>
      </c>
      <c r="H1387" s="15">
        <f>IFERROR(IF(D1387="","",D1387/INDEX($D:$D,MATCH(EDATE($A1387,-1),$A:$A,0))-1),"")</f>
        <v/>
      </c>
      <c r="I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65.40000000000001</v>
      </c>
      <c r="E1388" s="18" t="n">
        <v>65.3</v>
      </c>
      <c r="F1388" s="18" t="n">
        <v>66.09999999999999</v>
      </c>
      <c r="G1388" s="18">
        <f>IF(D1388="","",D1388*'参数与说明'!$B$6/45.3592)</f>
        <v/>
      </c>
      <c r="H1388" s="19">
        <f>IFERROR(IF(D1388="","",D1388/INDEX($D:$D,MATCH(EDATE($A1388,-1),$A:$A,0))-1),"")</f>
        <v/>
      </c>
      <c r="I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62.3</v>
      </c>
      <c r="E1389" s="14" t="n">
        <v>62.9</v>
      </c>
      <c r="F1389" s="14" t="n">
        <v>50.6</v>
      </c>
      <c r="G1389" s="14">
        <f>IF(D1389="","",D1389*'参数与说明'!$B$6/45.3592)</f>
        <v/>
      </c>
      <c r="H1389" s="15">
        <f>IFERROR(IF(D1389="","",D1389/INDEX($D:$D,MATCH(EDATE($A1389,-1),$A:$A,0))-1),"")</f>
        <v/>
      </c>
      <c r="I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61.1</v>
      </c>
      <c r="E1390" s="18" t="n">
        <v>61.4</v>
      </c>
      <c r="F1390" s="18" t="n">
        <v>55.3</v>
      </c>
      <c r="G1390" s="18">
        <f>IF(D1390="","",D1390*'参数与说明'!$B$6/45.3592)</f>
        <v/>
      </c>
      <c r="H1390" s="19">
        <f>IFERROR(IF(D1390="","",D1390/INDEX($D:$D,MATCH(EDATE($A1390,-1),$A:$A,0))-1),"")</f>
        <v/>
      </c>
      <c r="I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66</v>
      </c>
      <c r="E1391" s="14" t="n">
        <v>65.59999999999999</v>
      </c>
      <c r="F1391" s="14" t="n">
        <v>74.3</v>
      </c>
      <c r="G1391" s="14">
        <f>IF(D1391="","",D1391*'参数与说明'!$B$6/45.3592)</f>
        <v/>
      </c>
      <c r="H1391" s="15">
        <f>IFERROR(IF(D1391="","",D1391/INDEX($D:$D,MATCH(EDATE($A1391,-1),$A:$A,0))-1),"")</f>
        <v/>
      </c>
      <c r="I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67</v>
      </c>
      <c r="E1392" s="18" t="n">
        <v>66.5</v>
      </c>
      <c r="F1392" s="18" t="n">
        <v>75.90000000000001</v>
      </c>
      <c r="G1392" s="18">
        <f>IF(D1392="","",D1392*'参数与说明'!$B$6/45.3592)</f>
        <v/>
      </c>
      <c r="H1392" s="19">
        <f>IFERROR(IF(D1392="","",D1392/INDEX($D:$D,MATCH(EDATE($A1392,-1),$A:$A,0))-1),"")</f>
        <v/>
      </c>
      <c r="I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65.5</v>
      </c>
      <c r="E1393" s="14" t="n">
        <v>65.7</v>
      </c>
      <c r="F1393" s="14" t="n">
        <v>62.4</v>
      </c>
      <c r="G1393" s="14">
        <f>IF(D1393="","",D1393*'参数与说明'!$B$6/45.3592)</f>
        <v/>
      </c>
      <c r="H1393" s="15">
        <f>IFERROR(IF(D1393="","",D1393/INDEX($D:$D,MATCH(EDATE($A1393,-1),$A:$A,0))-1),"")</f>
        <v/>
      </c>
      <c r="I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68.40000000000001</v>
      </c>
      <c r="E1394" s="18" t="n">
        <v>68.8</v>
      </c>
      <c r="F1394" s="18" t="n">
        <v>62.2</v>
      </c>
      <c r="G1394" s="18">
        <f>IF(D1394="","",D1394*'参数与说明'!$B$6/45.3592)</f>
        <v/>
      </c>
      <c r="H1394" s="19">
        <f>IFERROR(IF(D1394="","",D1394/INDEX($D:$D,MATCH(EDATE($A1394,-1),$A:$A,0))-1),"")</f>
        <v/>
      </c>
      <c r="I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76.7</v>
      </c>
      <c r="E1395" s="14" t="n">
        <v>77</v>
      </c>
      <c r="F1395" s="14" t="n">
        <v>70.59999999999999</v>
      </c>
      <c r="G1395" s="14">
        <f>IF(D1395="","",D1395*'参数与说明'!$B$6/45.3592)</f>
        <v/>
      </c>
      <c r="H1395" s="15">
        <f>IFERROR(IF(D1395="","",D1395/INDEX($D:$D,MATCH(EDATE($A1395,-1),$A:$A,0))-1),"")</f>
        <v/>
      </c>
      <c r="I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79.8</v>
      </c>
      <c r="E1396" s="18" t="n">
        <v>79.5</v>
      </c>
      <c r="F1396" s="18" t="n">
        <v>84.2</v>
      </c>
      <c r="G1396" s="18">
        <f>IF(D1396="","",D1396*'参数与说明'!$B$6/45.3592)</f>
        <v/>
      </c>
      <c r="H1396" s="19">
        <f>IFERROR(IF(D1396="","",D1396/INDEX($D:$D,MATCH(EDATE($A1396,-1),$A:$A,0))-1),"")</f>
        <v/>
      </c>
      <c r="I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79.8</v>
      </c>
      <c r="E1397" s="14" t="n">
        <v>79.09999999999999</v>
      </c>
      <c r="F1397" s="14" t="n">
        <v>95.2</v>
      </c>
      <c r="G1397" s="14">
        <f>IF(D1397="","",D1397*'参数与说明'!$B$6/45.3592)</f>
        <v/>
      </c>
      <c r="H1397" s="15">
        <f>IFERROR(IF(D1397="","",D1397/INDEX($D:$D,MATCH(EDATE($A1397,-1),$A:$A,0))-1),"")</f>
        <v/>
      </c>
      <c r="I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77.2</v>
      </c>
      <c r="E1398" s="18" t="n">
        <v>76.59999999999999</v>
      </c>
      <c r="F1398" s="18" t="n">
        <v>89.59999999999999</v>
      </c>
      <c r="G1398" s="18">
        <f>IF(D1398="","",D1398*'参数与说明'!$B$6/45.3592)</f>
        <v/>
      </c>
      <c r="H1398" s="19">
        <f>IFERROR(IF(D1398="","",D1398/INDEX($D:$D,MATCH(EDATE($A1398,-1),$A:$A,0))-1),"")</f>
        <v/>
      </c>
      <c r="I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71.3</v>
      </c>
      <c r="E1399" s="14" t="n">
        <v>71.09999999999999</v>
      </c>
      <c r="F1399" s="14" t="n">
        <v>75.90000000000001</v>
      </c>
      <c r="G1399" s="14">
        <f>IF(D1399="","",D1399*'参数与说明'!$B$6/45.3592)</f>
        <v/>
      </c>
      <c r="H1399" s="15">
        <f>IFERROR(IF(D1399="","",D1399/INDEX($D:$D,MATCH(EDATE($A1399,-1),$A:$A,0))-1),"")</f>
        <v/>
      </c>
      <c r="I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65.09999999999999</v>
      </c>
      <c r="E1400" s="18" t="n">
        <v>64.90000000000001</v>
      </c>
      <c r="F1400" s="18" t="n">
        <v>69.7</v>
      </c>
      <c r="G1400" s="18">
        <f>IF(D1400="","",D1400*'参数与说明'!$B$6/45.3592)</f>
        <v/>
      </c>
      <c r="H1400" s="19">
        <f>IFERROR(IF(D1400="","",D1400/INDEX($D:$D,MATCH(EDATE($A1400,-1),$A:$A,0))-1),"")</f>
        <v/>
      </c>
      <c r="I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62.3</v>
      </c>
      <c r="E1401" s="14" t="n">
        <v>62.4</v>
      </c>
      <c r="F1401" s="14" t="n">
        <v>60</v>
      </c>
      <c r="G1401" s="14">
        <f>IF(D1401="","",D1401*'参数与说明'!$B$6/45.3592)</f>
        <v/>
      </c>
      <c r="H1401" s="15">
        <f>IFERROR(IF(D1401="","",D1401/INDEX($D:$D,MATCH(EDATE($A1401,-1),$A:$A,0))-1),"")</f>
        <v/>
      </c>
      <c r="I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62.2</v>
      </c>
      <c r="E1402" s="18" t="n">
        <v>62.3</v>
      </c>
      <c r="F1402" s="18" t="n">
        <v>60.8</v>
      </c>
      <c r="G1402" s="18">
        <f>IF(D1402="","",D1402*'参数与说明'!$B$6/45.3592)</f>
        <v/>
      </c>
      <c r="H1402" s="19">
        <f>IFERROR(IF(D1402="","",D1402/INDEX($D:$D,MATCH(EDATE($A1402,-1),$A:$A,0))-1),"")</f>
        <v/>
      </c>
      <c r="I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65.90000000000001</v>
      </c>
      <c r="E1403" s="14" t="n">
        <v>65.59999999999999</v>
      </c>
      <c r="F1403" s="14" t="n">
        <v>71.3</v>
      </c>
      <c r="G1403" s="14">
        <f>IF(D1403="","",D1403*'参数与说明'!$B$6/45.3592)</f>
        <v/>
      </c>
      <c r="H1403" s="15">
        <f>IFERROR(IF(D1403="","",D1403/INDEX($D:$D,MATCH(EDATE($A1403,-1),$A:$A,0))-1),"")</f>
        <v/>
      </c>
      <c r="I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68.7</v>
      </c>
      <c r="E1404" s="18" t="n">
        <v>68.3</v>
      </c>
      <c r="F1404" s="18" t="n">
        <v>76.8</v>
      </c>
      <c r="G1404" s="18">
        <f>IF(D1404="","",D1404*'参数与说明'!$B$6/45.3592)</f>
        <v/>
      </c>
      <c r="H1404" s="19">
        <f>IFERROR(IF(D1404="","",D1404/INDEX($D:$D,MATCH(EDATE($A1404,-1),$A:$A,0))-1),"")</f>
        <v/>
      </c>
      <c r="I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67.8</v>
      </c>
      <c r="E1405" s="14" t="n">
        <v>68.09999999999999</v>
      </c>
      <c r="F1405" s="14" t="n">
        <v>63.1</v>
      </c>
      <c r="G1405" s="14">
        <f>IF(D1405="","",D1405*'参数与说明'!$B$6/45.3592)</f>
        <v/>
      </c>
      <c r="H1405" s="15">
        <f>IFERROR(IF(D1405="","",D1405/INDEX($D:$D,MATCH(EDATE($A1405,-1),$A:$A,0))-1),"")</f>
        <v/>
      </c>
      <c r="I1405" s="15">
        <f>IFERROR(IF(D1405="","",D1405/INDEX($D:$D,MATCH(EDATE($A1405,-12),$A:$A,0))-1),"")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生鲜乳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生鲜乳(全部)
($ / CWT)</t>
        </is>
      </c>
      <c r="E4" s="11" t="inlineStr">
        <is>
          <t>饮用级(Fluid grade)
($ / CWT)</t>
        </is>
      </c>
      <c r="F4" s="11" t="inlineStr">
        <is>
          <t>制造级(Manufacturing)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29221</v>
      </c>
      <c r="B5" s="13" t="n">
        <v>1980</v>
      </c>
      <c r="C5" s="13" t="n">
        <v>1</v>
      </c>
      <c r="D5" s="14" t="n">
        <v>12.8</v>
      </c>
      <c r="E5" s="14" t="n">
        <v>13</v>
      </c>
      <c r="F5" s="14" t="n">
        <v>11.7</v>
      </c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29252</v>
      </c>
      <c r="B6" s="17" t="n">
        <v>1980</v>
      </c>
      <c r="C6" s="17" t="n">
        <v>2</v>
      </c>
      <c r="D6" s="18" t="n">
        <v>12.8</v>
      </c>
      <c r="E6" s="18" t="n">
        <v>13</v>
      </c>
      <c r="F6" s="18" t="n">
        <v>11.7</v>
      </c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29281</v>
      </c>
      <c r="B7" s="13" t="n">
        <v>1980</v>
      </c>
      <c r="C7" s="13" t="n">
        <v>3</v>
      </c>
      <c r="D7" s="14" t="n">
        <v>12.8</v>
      </c>
      <c r="E7" s="14" t="n">
        <v>12.9</v>
      </c>
      <c r="F7" s="14" t="n">
        <v>11.8</v>
      </c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29312</v>
      </c>
      <c r="B8" s="17" t="n">
        <v>1980</v>
      </c>
      <c r="C8" s="17" t="n">
        <v>4</v>
      </c>
      <c r="D8" s="18" t="n">
        <v>12.7</v>
      </c>
      <c r="E8" s="18" t="n">
        <v>12.8</v>
      </c>
      <c r="F8" s="18" t="n">
        <v>11.8</v>
      </c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29342</v>
      </c>
      <c r="B9" s="13" t="n">
        <v>1980</v>
      </c>
      <c r="C9" s="13" t="n">
        <v>5</v>
      </c>
      <c r="D9" s="14" t="n">
        <v>12.6</v>
      </c>
      <c r="E9" s="14" t="n">
        <v>12.7</v>
      </c>
      <c r="F9" s="14" t="n">
        <v>11.7</v>
      </c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29373</v>
      </c>
      <c r="B10" s="17" t="n">
        <v>1980</v>
      </c>
      <c r="C10" s="17" t="n">
        <v>6</v>
      </c>
      <c r="D10" s="18" t="n">
        <v>12.5</v>
      </c>
      <c r="E10" s="18" t="n">
        <v>12.7</v>
      </c>
      <c r="F10" s="18" t="n">
        <v>11.7</v>
      </c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29403</v>
      </c>
      <c r="B11" s="13" t="n">
        <v>1980</v>
      </c>
      <c r="C11" s="13" t="n">
        <v>7</v>
      </c>
      <c r="D11" s="14" t="n">
        <v>12.6</v>
      </c>
      <c r="E11" s="14" t="n">
        <v>12.7</v>
      </c>
      <c r="F11" s="14" t="n">
        <v>11.6</v>
      </c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29434</v>
      </c>
      <c r="B12" s="17" t="n">
        <v>1980</v>
      </c>
      <c r="C12" s="17" t="n">
        <v>8</v>
      </c>
      <c r="D12" s="18" t="n">
        <v>12.8</v>
      </c>
      <c r="E12" s="18" t="n">
        <v>13</v>
      </c>
      <c r="F12" s="18" t="n">
        <v>11.8</v>
      </c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29465</v>
      </c>
      <c r="B13" s="13" t="n">
        <v>1980</v>
      </c>
      <c r="C13" s="13" t="n">
        <v>9</v>
      </c>
      <c r="D13" s="14" t="n">
        <v>13.2</v>
      </c>
      <c r="E13" s="14" t="n">
        <v>13.4</v>
      </c>
      <c r="F13" s="14" t="n">
        <v>12.2</v>
      </c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29495</v>
      </c>
      <c r="B14" s="17" t="n">
        <v>1980</v>
      </c>
      <c r="C14" s="17" t="n">
        <v>10</v>
      </c>
      <c r="D14" s="18" t="n">
        <v>13.7</v>
      </c>
      <c r="E14" s="18" t="n">
        <v>13.9</v>
      </c>
      <c r="F14" s="18" t="n">
        <v>12.7</v>
      </c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29526</v>
      </c>
      <c r="B15" s="13" t="n">
        <v>1980</v>
      </c>
      <c r="C15" s="13" t="n">
        <v>11</v>
      </c>
      <c r="D15" s="14" t="n">
        <v>14</v>
      </c>
      <c r="E15" s="14" t="n">
        <v>14.1</v>
      </c>
      <c r="F15" s="14" t="n">
        <v>12.9</v>
      </c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29556</v>
      </c>
      <c r="B16" s="17" t="n">
        <v>1980</v>
      </c>
      <c r="C16" s="17" t="n">
        <v>12</v>
      </c>
      <c r="D16" s="18" t="n">
        <v>14.1</v>
      </c>
      <c r="E16" s="18" t="n">
        <v>14.3</v>
      </c>
      <c r="F16" s="18" t="n">
        <v>13</v>
      </c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29587</v>
      </c>
      <c r="B17" s="13" t="n">
        <v>1981</v>
      </c>
      <c r="C17" s="13" t="n">
        <v>1</v>
      </c>
      <c r="D17" s="14" t="n">
        <v>14.1</v>
      </c>
      <c r="E17" s="14" t="n">
        <v>14.2</v>
      </c>
      <c r="F17" s="14" t="n">
        <v>13</v>
      </c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29618</v>
      </c>
      <c r="B18" s="17" t="n">
        <v>1981</v>
      </c>
      <c r="C18" s="17" t="n">
        <v>2</v>
      </c>
      <c r="D18" s="18" t="n">
        <v>14</v>
      </c>
      <c r="E18" s="18" t="n">
        <v>14.2</v>
      </c>
      <c r="F18" s="18" t="n">
        <v>12.9</v>
      </c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29646</v>
      </c>
      <c r="B19" s="13" t="n">
        <v>1981</v>
      </c>
      <c r="C19" s="13" t="n">
        <v>3</v>
      </c>
      <c r="D19" s="14" t="n">
        <v>13.8</v>
      </c>
      <c r="E19" s="14" t="n">
        <v>14</v>
      </c>
      <c r="F19" s="14" t="n">
        <v>12.8</v>
      </c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29677</v>
      </c>
      <c r="B20" s="17" t="n">
        <v>1981</v>
      </c>
      <c r="C20" s="17" t="n">
        <v>4</v>
      </c>
      <c r="D20" s="18" t="n">
        <v>13.7</v>
      </c>
      <c r="E20" s="18" t="n">
        <v>13.8</v>
      </c>
      <c r="F20" s="18" t="n">
        <v>12.7</v>
      </c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29707</v>
      </c>
      <c r="B21" s="13" t="n">
        <v>1981</v>
      </c>
      <c r="C21" s="13" t="n">
        <v>5</v>
      </c>
      <c r="D21" s="14" t="n">
        <v>13.5</v>
      </c>
      <c r="E21" s="14" t="n">
        <v>13.7</v>
      </c>
      <c r="F21" s="14" t="n">
        <v>12.6</v>
      </c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29738</v>
      </c>
      <c r="B22" s="17" t="n">
        <v>1981</v>
      </c>
      <c r="C22" s="17" t="n">
        <v>6</v>
      </c>
      <c r="D22" s="18" t="n">
        <v>13.4</v>
      </c>
      <c r="E22" s="18" t="n">
        <v>13.6</v>
      </c>
      <c r="F22" s="18" t="n">
        <v>12.5</v>
      </c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29768</v>
      </c>
      <c r="B23" s="13" t="n">
        <v>1981</v>
      </c>
      <c r="C23" s="13" t="n">
        <v>7</v>
      </c>
      <c r="D23" s="14" t="n">
        <v>13.4</v>
      </c>
      <c r="E23" s="14" t="n">
        <v>13.6</v>
      </c>
      <c r="F23" s="14" t="n">
        <v>12.4</v>
      </c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29799</v>
      </c>
      <c r="B24" s="17" t="n">
        <v>1981</v>
      </c>
      <c r="C24" s="17" t="n">
        <v>8</v>
      </c>
      <c r="D24" s="18" t="n">
        <v>13.5</v>
      </c>
      <c r="E24" s="18" t="n">
        <v>13.7</v>
      </c>
      <c r="F24" s="18" t="n">
        <v>12.4</v>
      </c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29830</v>
      </c>
      <c r="B25" s="13" t="n">
        <v>1981</v>
      </c>
      <c r="C25" s="13" t="n">
        <v>9</v>
      </c>
      <c r="D25" s="14" t="n">
        <v>13.7</v>
      </c>
      <c r="E25" s="14" t="n">
        <v>13.9</v>
      </c>
      <c r="F25" s="14" t="n">
        <v>12.6</v>
      </c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29860</v>
      </c>
      <c r="B26" s="17" t="n">
        <v>1981</v>
      </c>
      <c r="C26" s="17" t="n">
        <v>10</v>
      </c>
      <c r="D26" s="18" t="n">
        <v>14</v>
      </c>
      <c r="E26" s="18" t="n">
        <v>14.2</v>
      </c>
      <c r="F26" s="18" t="n">
        <v>12.9</v>
      </c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29891</v>
      </c>
      <c r="B27" s="13" t="n">
        <v>1981</v>
      </c>
      <c r="C27" s="13" t="n">
        <v>11</v>
      </c>
      <c r="D27" s="14" t="n">
        <v>14</v>
      </c>
      <c r="E27" s="14" t="n">
        <v>14.2</v>
      </c>
      <c r="F27" s="14" t="n">
        <v>13</v>
      </c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29921</v>
      </c>
      <c r="B28" s="17" t="n">
        <v>1981</v>
      </c>
      <c r="C28" s="17" t="n">
        <v>12</v>
      </c>
      <c r="D28" s="18" t="n">
        <v>14</v>
      </c>
      <c r="E28" s="18" t="n">
        <v>14.2</v>
      </c>
      <c r="F28" s="18" t="n">
        <v>13</v>
      </c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29952</v>
      </c>
      <c r="B29" s="13" t="n">
        <v>1982</v>
      </c>
      <c r="C29" s="13" t="n">
        <v>1</v>
      </c>
      <c r="D29" s="14" t="n">
        <v>14</v>
      </c>
      <c r="E29" s="14" t="n">
        <v>14.1</v>
      </c>
      <c r="F29" s="14" t="n">
        <v>13</v>
      </c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29983</v>
      </c>
      <c r="B30" s="17" t="n">
        <v>1982</v>
      </c>
      <c r="C30" s="17" t="n">
        <v>2</v>
      </c>
      <c r="D30" s="18" t="n">
        <v>13.8</v>
      </c>
      <c r="E30" s="18" t="n">
        <v>14</v>
      </c>
      <c r="F30" s="18" t="n">
        <v>12.8</v>
      </c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30011</v>
      </c>
      <c r="B31" s="13" t="n">
        <v>1982</v>
      </c>
      <c r="C31" s="13" t="n">
        <v>3</v>
      </c>
      <c r="D31" s="14" t="n">
        <v>13.7</v>
      </c>
      <c r="E31" s="14" t="n">
        <v>13.8</v>
      </c>
      <c r="F31" s="14" t="n">
        <v>12.7</v>
      </c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30042</v>
      </c>
      <c r="B32" s="17" t="n">
        <v>1982</v>
      </c>
      <c r="C32" s="17" t="n">
        <v>4</v>
      </c>
      <c r="D32" s="18" t="n">
        <v>13.5</v>
      </c>
      <c r="E32" s="18" t="n">
        <v>13.6</v>
      </c>
      <c r="F32" s="18" t="n">
        <v>12.6</v>
      </c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30072</v>
      </c>
      <c r="B33" s="13" t="n">
        <v>1982</v>
      </c>
      <c r="C33" s="13" t="n">
        <v>5</v>
      </c>
      <c r="D33" s="14" t="n">
        <v>13.2</v>
      </c>
      <c r="E33" s="14" t="n">
        <v>13.4</v>
      </c>
      <c r="F33" s="14" t="n">
        <v>12.4</v>
      </c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30103</v>
      </c>
      <c r="B34" s="17" t="n">
        <v>1982</v>
      </c>
      <c r="C34" s="17" t="n">
        <v>6</v>
      </c>
      <c r="D34" s="18" t="n">
        <v>13.2</v>
      </c>
      <c r="E34" s="18" t="n">
        <v>13.3</v>
      </c>
      <c r="F34" s="18" t="n">
        <v>12.3</v>
      </c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30133</v>
      </c>
      <c r="B35" s="13" t="n">
        <v>1982</v>
      </c>
      <c r="C35" s="13" t="n">
        <v>7</v>
      </c>
      <c r="D35" s="14" t="n">
        <v>13.2</v>
      </c>
      <c r="E35" s="14" t="n">
        <v>13.4</v>
      </c>
      <c r="F35" s="14" t="n">
        <v>12.3</v>
      </c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30164</v>
      </c>
      <c r="B36" s="17" t="n">
        <v>1982</v>
      </c>
      <c r="C36" s="17" t="n">
        <v>8</v>
      </c>
      <c r="D36" s="18" t="n">
        <v>13.3</v>
      </c>
      <c r="E36" s="18" t="n">
        <v>13.4</v>
      </c>
      <c r="F36" s="18" t="n">
        <v>12.3</v>
      </c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30195</v>
      </c>
      <c r="B37" s="13" t="n">
        <v>1982</v>
      </c>
      <c r="C37" s="13" t="n">
        <v>9</v>
      </c>
      <c r="D37" s="14" t="n">
        <v>13.6</v>
      </c>
      <c r="E37" s="14" t="n">
        <v>13.7</v>
      </c>
      <c r="F37" s="14" t="n">
        <v>12.6</v>
      </c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30225</v>
      </c>
      <c r="B38" s="17" t="n">
        <v>1982</v>
      </c>
      <c r="C38" s="17" t="n">
        <v>10</v>
      </c>
      <c r="D38" s="18" t="n">
        <v>13.8</v>
      </c>
      <c r="E38" s="18" t="n">
        <v>13.9</v>
      </c>
      <c r="F38" s="18" t="n">
        <v>12.9</v>
      </c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30256</v>
      </c>
      <c r="B39" s="13" t="n">
        <v>1982</v>
      </c>
      <c r="C39" s="13" t="n">
        <v>11</v>
      </c>
      <c r="D39" s="14" t="n">
        <v>13.9</v>
      </c>
      <c r="E39" s="14" t="n">
        <v>14.1</v>
      </c>
      <c r="F39" s="14" t="n">
        <v>13</v>
      </c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30286</v>
      </c>
      <c r="B40" s="17" t="n">
        <v>1982</v>
      </c>
      <c r="C40" s="17" t="n">
        <v>12</v>
      </c>
      <c r="D40" s="18" t="n">
        <v>13.9</v>
      </c>
      <c r="E40" s="18" t="n">
        <v>14.1</v>
      </c>
      <c r="F40" s="18" t="n">
        <v>13</v>
      </c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30317</v>
      </c>
      <c r="B41" s="13" t="n">
        <v>1983</v>
      </c>
      <c r="C41" s="13" t="n">
        <v>1</v>
      </c>
      <c r="D41" s="14" t="n">
        <v>13.9</v>
      </c>
      <c r="E41" s="14" t="n">
        <v>14</v>
      </c>
      <c r="F41" s="14" t="n">
        <v>12.9</v>
      </c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30348</v>
      </c>
      <c r="B42" s="17" t="n">
        <v>1983</v>
      </c>
      <c r="C42" s="17" t="n">
        <v>2</v>
      </c>
      <c r="D42" s="18" t="n">
        <v>13.8</v>
      </c>
      <c r="E42" s="18" t="n">
        <v>14</v>
      </c>
      <c r="F42" s="18" t="n">
        <v>12.8</v>
      </c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30376</v>
      </c>
      <c r="B43" s="13" t="n">
        <v>1983</v>
      </c>
      <c r="C43" s="13" t="n">
        <v>3</v>
      </c>
      <c r="D43" s="14" t="n">
        <v>13.6</v>
      </c>
      <c r="E43" s="14" t="n">
        <v>13.8</v>
      </c>
      <c r="F43" s="14" t="n">
        <v>12.7</v>
      </c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30407</v>
      </c>
      <c r="B44" s="17" t="n">
        <v>1983</v>
      </c>
      <c r="C44" s="17" t="n">
        <v>4</v>
      </c>
      <c r="D44" s="18" t="n">
        <v>13.6</v>
      </c>
      <c r="E44" s="18" t="n">
        <v>13.7</v>
      </c>
      <c r="F44" s="18" t="n">
        <v>12.7</v>
      </c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30437</v>
      </c>
      <c r="B45" s="13" t="n">
        <v>1983</v>
      </c>
      <c r="C45" s="13" t="n">
        <v>5</v>
      </c>
      <c r="D45" s="14" t="n">
        <v>13.3</v>
      </c>
      <c r="E45" s="14" t="n">
        <v>13.5</v>
      </c>
      <c r="F45" s="14" t="n">
        <v>12.5</v>
      </c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30468</v>
      </c>
      <c r="B46" s="17" t="n">
        <v>1983</v>
      </c>
      <c r="C46" s="17" t="n">
        <v>6</v>
      </c>
      <c r="D46" s="18" t="n">
        <v>13.2</v>
      </c>
      <c r="E46" s="18" t="n">
        <v>13.3</v>
      </c>
      <c r="F46" s="18" t="n">
        <v>12.4</v>
      </c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30498</v>
      </c>
      <c r="B47" s="13" t="n">
        <v>1983</v>
      </c>
      <c r="C47" s="13" t="n">
        <v>7</v>
      </c>
      <c r="D47" s="14" t="n">
        <v>13.2</v>
      </c>
      <c r="E47" s="14" t="n">
        <v>13.3</v>
      </c>
      <c r="F47" s="14" t="n">
        <v>12.3</v>
      </c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30529</v>
      </c>
      <c r="B48" s="17" t="n">
        <v>1983</v>
      </c>
      <c r="C48" s="17" t="n">
        <v>8</v>
      </c>
      <c r="D48" s="18" t="n">
        <v>13.3</v>
      </c>
      <c r="E48" s="18" t="n">
        <v>13.5</v>
      </c>
      <c r="F48" s="18" t="n">
        <v>12.2</v>
      </c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30560</v>
      </c>
      <c r="B49" s="13" t="n">
        <v>1983</v>
      </c>
      <c r="C49" s="13" t="n">
        <v>9</v>
      </c>
      <c r="D49" s="14" t="n">
        <v>13.5</v>
      </c>
      <c r="E49" s="14" t="n">
        <v>13.7</v>
      </c>
      <c r="F49" s="14" t="n">
        <v>12.5</v>
      </c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30590</v>
      </c>
      <c r="B50" s="17" t="n">
        <v>1983</v>
      </c>
      <c r="C50" s="17" t="n">
        <v>10</v>
      </c>
      <c r="D50" s="18" t="n">
        <v>13.8</v>
      </c>
      <c r="E50" s="18" t="n">
        <v>13.9</v>
      </c>
      <c r="F50" s="18" t="n">
        <v>12.9</v>
      </c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30621</v>
      </c>
      <c r="B51" s="13" t="n">
        <v>1983</v>
      </c>
      <c r="C51" s="13" t="n">
        <v>11</v>
      </c>
      <c r="D51" s="14" t="n">
        <v>13.9</v>
      </c>
      <c r="E51" s="14" t="n">
        <v>14.1</v>
      </c>
      <c r="F51" s="14" t="n">
        <v>13</v>
      </c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30651</v>
      </c>
      <c r="B52" s="17" t="n">
        <v>1983</v>
      </c>
      <c r="C52" s="17" t="n">
        <v>12</v>
      </c>
      <c r="D52" s="18" t="n">
        <v>13.7</v>
      </c>
      <c r="E52" s="18" t="n">
        <v>13.9</v>
      </c>
      <c r="F52" s="18" t="n">
        <v>12.7</v>
      </c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30682</v>
      </c>
      <c r="B53" s="13" t="n">
        <v>1984</v>
      </c>
      <c r="C53" s="13" t="n">
        <v>1</v>
      </c>
      <c r="D53" s="14" t="n">
        <v>13.6</v>
      </c>
      <c r="E53" s="14" t="n">
        <v>13.8</v>
      </c>
      <c r="F53" s="14" t="n">
        <v>12.5</v>
      </c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30713</v>
      </c>
      <c r="B54" s="17" t="n">
        <v>1984</v>
      </c>
      <c r="C54" s="17" t="n">
        <v>2</v>
      </c>
      <c r="D54" s="18" t="n">
        <v>13.4</v>
      </c>
      <c r="E54" s="18" t="n">
        <v>13.5</v>
      </c>
      <c r="F54" s="18" t="n">
        <v>12.4</v>
      </c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30742</v>
      </c>
      <c r="B55" s="13" t="n">
        <v>1984</v>
      </c>
      <c r="C55" s="13" t="n">
        <v>3</v>
      </c>
      <c r="D55" s="14" t="n">
        <v>13.3</v>
      </c>
      <c r="E55" s="14" t="n">
        <v>13.4</v>
      </c>
      <c r="F55" s="14" t="n">
        <v>12.4</v>
      </c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30773</v>
      </c>
      <c r="B56" s="17" t="n">
        <v>1984</v>
      </c>
      <c r="C56" s="17" t="n">
        <v>4</v>
      </c>
      <c r="D56" s="18" t="n">
        <v>13.1</v>
      </c>
      <c r="E56" s="18" t="n">
        <v>13.2</v>
      </c>
      <c r="F56" s="18" t="n">
        <v>12.3</v>
      </c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30803</v>
      </c>
      <c r="B57" s="13" t="n">
        <v>1984</v>
      </c>
      <c r="C57" s="13" t="n">
        <v>5</v>
      </c>
      <c r="D57" s="14" t="n">
        <v>13</v>
      </c>
      <c r="E57" s="14" t="n">
        <v>13.1</v>
      </c>
      <c r="F57" s="14" t="n">
        <v>12.2</v>
      </c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30834</v>
      </c>
      <c r="B58" s="17" t="n">
        <v>1984</v>
      </c>
      <c r="C58" s="17" t="n">
        <v>6</v>
      </c>
      <c r="D58" s="18" t="n">
        <v>12.9</v>
      </c>
      <c r="E58" s="18" t="n">
        <v>13</v>
      </c>
      <c r="F58" s="18" t="n">
        <v>12.1</v>
      </c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30864</v>
      </c>
      <c r="B59" s="13" t="n">
        <v>1984</v>
      </c>
      <c r="C59" s="13" t="n">
        <v>7</v>
      </c>
      <c r="D59" s="14" t="n">
        <v>13</v>
      </c>
      <c r="E59" s="14" t="n">
        <v>13.1</v>
      </c>
      <c r="F59" s="14" t="n">
        <v>12.1</v>
      </c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30895</v>
      </c>
      <c r="B60" s="17" t="n">
        <v>1984</v>
      </c>
      <c r="C60" s="17" t="n">
        <v>8</v>
      </c>
      <c r="D60" s="18" t="n">
        <v>13.2</v>
      </c>
      <c r="E60" s="18" t="n">
        <v>13.3</v>
      </c>
      <c r="F60" s="18" t="n">
        <v>12.2</v>
      </c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30926</v>
      </c>
      <c r="B61" s="13" t="n">
        <v>1984</v>
      </c>
      <c r="C61" s="13" t="n">
        <v>9</v>
      </c>
      <c r="D61" s="14" t="n">
        <v>13.6</v>
      </c>
      <c r="E61" s="14" t="n">
        <v>13.8</v>
      </c>
      <c r="F61" s="14" t="n">
        <v>12.8</v>
      </c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30956</v>
      </c>
      <c r="B62" s="17" t="n">
        <v>1984</v>
      </c>
      <c r="C62" s="17" t="n">
        <v>10</v>
      </c>
      <c r="D62" s="18" t="n">
        <v>14</v>
      </c>
      <c r="E62" s="18" t="n">
        <v>14.2</v>
      </c>
      <c r="F62" s="18" t="n">
        <v>13.1</v>
      </c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30987</v>
      </c>
      <c r="B63" s="13" t="n">
        <v>1984</v>
      </c>
      <c r="C63" s="13" t="n">
        <v>11</v>
      </c>
      <c r="D63" s="14" t="n">
        <v>14.3</v>
      </c>
      <c r="E63" s="14" t="n">
        <v>14.4</v>
      </c>
      <c r="F63" s="14" t="n">
        <v>13.3</v>
      </c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31017</v>
      </c>
      <c r="B64" s="17" t="n">
        <v>1984</v>
      </c>
      <c r="C64" s="17" t="n">
        <v>12</v>
      </c>
      <c r="D64" s="18" t="n">
        <v>14</v>
      </c>
      <c r="E64" s="18" t="n">
        <v>14.1</v>
      </c>
      <c r="F64" s="18" t="n">
        <v>13.1</v>
      </c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31048</v>
      </c>
      <c r="B65" s="13" t="n">
        <v>1985</v>
      </c>
      <c r="C65" s="13" t="n">
        <v>1</v>
      </c>
      <c r="D65" s="14" t="n">
        <v>13.9</v>
      </c>
      <c r="E65" s="14" t="n">
        <v>14.1</v>
      </c>
      <c r="F65" s="14" t="n">
        <v>12.8</v>
      </c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31079</v>
      </c>
      <c r="B66" s="17" t="n">
        <v>1985</v>
      </c>
      <c r="C66" s="17" t="n">
        <v>2</v>
      </c>
      <c r="D66" s="18" t="n">
        <v>13.7</v>
      </c>
      <c r="E66" s="18" t="n">
        <v>13.9</v>
      </c>
      <c r="F66" s="18" t="n">
        <v>12.7</v>
      </c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31107</v>
      </c>
      <c r="B67" s="13" t="n">
        <v>1985</v>
      </c>
      <c r="C67" s="13" t="n">
        <v>3</v>
      </c>
      <c r="D67" s="14" t="n">
        <v>13.3</v>
      </c>
      <c r="E67" s="14" t="n">
        <v>13.5</v>
      </c>
      <c r="F67" s="14" t="n">
        <v>12.3</v>
      </c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31138</v>
      </c>
      <c r="B68" s="17" t="n">
        <v>1985</v>
      </c>
      <c r="C68" s="17" t="n">
        <v>4</v>
      </c>
      <c r="D68" s="18" t="n">
        <v>12.9</v>
      </c>
      <c r="E68" s="18" t="n">
        <v>13</v>
      </c>
      <c r="F68" s="18" t="n">
        <v>11.9</v>
      </c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31168</v>
      </c>
      <c r="B69" s="13" t="n">
        <v>1985</v>
      </c>
      <c r="C69" s="13" t="n">
        <v>5</v>
      </c>
      <c r="D69" s="14" t="n">
        <v>12.5</v>
      </c>
      <c r="E69" s="14" t="n">
        <v>12.7</v>
      </c>
      <c r="F69" s="14" t="n">
        <v>11.6</v>
      </c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31199</v>
      </c>
      <c r="B70" s="17" t="n">
        <v>1985</v>
      </c>
      <c r="C70" s="17" t="n">
        <v>6</v>
      </c>
      <c r="D70" s="18" t="n">
        <v>12.2</v>
      </c>
      <c r="E70" s="18" t="n">
        <v>12.3</v>
      </c>
      <c r="F70" s="18" t="n">
        <v>11.3</v>
      </c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31229</v>
      </c>
      <c r="B71" s="13" t="n">
        <v>1985</v>
      </c>
      <c r="C71" s="13" t="n">
        <v>7</v>
      </c>
      <c r="D71" s="14" t="n">
        <v>12.1</v>
      </c>
      <c r="E71" s="14" t="n">
        <v>12.3</v>
      </c>
      <c r="F71" s="14" t="n">
        <v>11</v>
      </c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31260</v>
      </c>
      <c r="B72" s="17" t="n">
        <v>1985</v>
      </c>
      <c r="C72" s="17" t="n">
        <v>8</v>
      </c>
      <c r="D72" s="18" t="n">
        <v>12.1</v>
      </c>
      <c r="E72" s="18" t="n">
        <v>12.3</v>
      </c>
      <c r="F72" s="18" t="n">
        <v>11.1</v>
      </c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31291</v>
      </c>
      <c r="B73" s="13" t="n">
        <v>1985</v>
      </c>
      <c r="C73" s="13" t="n">
        <v>9</v>
      </c>
      <c r="D73" s="14" t="n">
        <v>12.3</v>
      </c>
      <c r="E73" s="14" t="n">
        <v>12.4</v>
      </c>
      <c r="F73" s="14" t="n">
        <v>11.4</v>
      </c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31321</v>
      </c>
      <c r="B74" s="17" t="n">
        <v>1985</v>
      </c>
      <c r="C74" s="17" t="n">
        <v>10</v>
      </c>
      <c r="D74" s="18" t="n">
        <v>12.6</v>
      </c>
      <c r="E74" s="18" t="n">
        <v>12.7</v>
      </c>
      <c r="F74" s="18" t="n">
        <v>11.7</v>
      </c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31352</v>
      </c>
      <c r="B75" s="13" t="n">
        <v>1985</v>
      </c>
      <c r="C75" s="13" t="n">
        <v>11</v>
      </c>
      <c r="D75" s="14" t="n">
        <v>12.6</v>
      </c>
      <c r="E75" s="14" t="n">
        <v>12.7</v>
      </c>
      <c r="F75" s="14" t="n">
        <v>11.8</v>
      </c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31382</v>
      </c>
      <c r="B76" s="17" t="n">
        <v>1985</v>
      </c>
      <c r="C76" s="17" t="n">
        <v>12</v>
      </c>
      <c r="D76" s="18" t="n">
        <v>12.6</v>
      </c>
      <c r="E76" s="18" t="n">
        <v>12.7</v>
      </c>
      <c r="F76" s="18" t="n">
        <v>11.7</v>
      </c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31413</v>
      </c>
      <c r="B77" s="13" t="n">
        <v>1986</v>
      </c>
      <c r="C77" s="13" t="n">
        <v>1</v>
      </c>
      <c r="D77" s="14" t="n">
        <v>12.5</v>
      </c>
      <c r="E77" s="14" t="n">
        <v>12.7</v>
      </c>
      <c r="F77" s="14" t="n">
        <v>11.6</v>
      </c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31444</v>
      </c>
      <c r="B78" s="17" t="n">
        <v>1986</v>
      </c>
      <c r="C78" s="17" t="n">
        <v>2</v>
      </c>
      <c r="D78" s="18" t="n">
        <v>12.4</v>
      </c>
      <c r="E78" s="18" t="n">
        <v>12.6</v>
      </c>
      <c r="F78" s="18" t="n">
        <v>11.5</v>
      </c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31472</v>
      </c>
      <c r="B79" s="13" t="n">
        <v>1986</v>
      </c>
      <c r="C79" s="13" t="n">
        <v>3</v>
      </c>
      <c r="D79" s="14" t="n">
        <v>12.2</v>
      </c>
      <c r="E79" s="14" t="n">
        <v>12.4</v>
      </c>
      <c r="F79" s="14" t="n">
        <v>11.3</v>
      </c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31503</v>
      </c>
      <c r="B80" s="17" t="n">
        <v>1986</v>
      </c>
      <c r="C80" s="17" t="n">
        <v>4</v>
      </c>
      <c r="D80" s="18" t="n">
        <v>12.1</v>
      </c>
      <c r="E80" s="18" t="n">
        <v>12.2</v>
      </c>
      <c r="F80" s="18" t="n">
        <v>11.2</v>
      </c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31533</v>
      </c>
      <c r="B81" s="13" t="n">
        <v>1986</v>
      </c>
      <c r="C81" s="13" t="n">
        <v>5</v>
      </c>
      <c r="D81" s="14" t="n">
        <v>12</v>
      </c>
      <c r="E81" s="14" t="n">
        <v>12.1</v>
      </c>
      <c r="F81" s="14" t="n">
        <v>11.1</v>
      </c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31564</v>
      </c>
      <c r="B82" s="17" t="n">
        <v>1986</v>
      </c>
      <c r="C82" s="17" t="n">
        <v>6</v>
      </c>
      <c r="D82" s="18" t="n">
        <v>11.9</v>
      </c>
      <c r="E82" s="18" t="n">
        <v>12</v>
      </c>
      <c r="F82" s="18" t="n">
        <v>11</v>
      </c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31594</v>
      </c>
      <c r="B83" s="13" t="n">
        <v>1986</v>
      </c>
      <c r="C83" s="13" t="n">
        <v>7</v>
      </c>
      <c r="D83" s="14" t="n">
        <v>12</v>
      </c>
      <c r="E83" s="14" t="n">
        <v>12.1</v>
      </c>
      <c r="F83" s="14" t="n">
        <v>10.9</v>
      </c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31625</v>
      </c>
      <c r="B84" s="17" t="n">
        <v>1986</v>
      </c>
      <c r="C84" s="17" t="n">
        <v>8</v>
      </c>
      <c r="D84" s="18" t="n">
        <v>12.3</v>
      </c>
      <c r="E84" s="18" t="n">
        <v>12.4</v>
      </c>
      <c r="F84" s="18" t="n">
        <v>11.3</v>
      </c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31656</v>
      </c>
      <c r="B85" s="13" t="n">
        <v>1986</v>
      </c>
      <c r="C85" s="13" t="n">
        <v>9</v>
      </c>
      <c r="D85" s="14" t="n">
        <v>12.8</v>
      </c>
      <c r="E85" s="14" t="n">
        <v>12.9</v>
      </c>
      <c r="F85" s="14" t="n">
        <v>11.8</v>
      </c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31686</v>
      </c>
      <c r="B86" s="17" t="n">
        <v>1986</v>
      </c>
      <c r="C86" s="17" t="n">
        <v>10</v>
      </c>
      <c r="D86" s="18" t="n">
        <v>13.2</v>
      </c>
      <c r="E86" s="18" t="n">
        <v>13.3</v>
      </c>
      <c r="F86" s="18" t="n">
        <v>12.2</v>
      </c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31717</v>
      </c>
      <c r="B87" s="13" t="n">
        <v>1986</v>
      </c>
      <c r="C87" s="13" t="n">
        <v>11</v>
      </c>
      <c r="D87" s="14" t="n">
        <v>13.4</v>
      </c>
      <c r="E87" s="14" t="n">
        <v>13.5</v>
      </c>
      <c r="F87" s="14" t="n">
        <v>12.4</v>
      </c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31747</v>
      </c>
      <c r="B88" s="17" t="n">
        <v>1986</v>
      </c>
      <c r="C88" s="17" t="n">
        <v>12</v>
      </c>
      <c r="D88" s="18" t="n">
        <v>13.4</v>
      </c>
      <c r="E88" s="18" t="n">
        <v>13.5</v>
      </c>
      <c r="F88" s="18" t="n">
        <v>12.3</v>
      </c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31778</v>
      </c>
      <c r="B89" s="13" t="n">
        <v>1987</v>
      </c>
      <c r="C89" s="13" t="n">
        <v>1</v>
      </c>
      <c r="D89" s="14" t="n">
        <v>13.2</v>
      </c>
      <c r="E89" s="14" t="n">
        <v>13.3</v>
      </c>
      <c r="F89" s="14" t="n">
        <v>12</v>
      </c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31809</v>
      </c>
      <c r="B90" s="17" t="n">
        <v>1987</v>
      </c>
      <c r="C90" s="17" t="n">
        <v>2</v>
      </c>
      <c r="D90" s="18" t="n">
        <v>12.9</v>
      </c>
      <c r="E90" s="18" t="n">
        <v>13</v>
      </c>
      <c r="F90" s="18" t="n">
        <v>11.6</v>
      </c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31837</v>
      </c>
      <c r="B91" s="13" t="n">
        <v>1987</v>
      </c>
      <c r="C91" s="13" t="n">
        <v>3</v>
      </c>
      <c r="D91" s="14" t="n">
        <v>12.5</v>
      </c>
      <c r="E91" s="14" t="n">
        <v>12.7</v>
      </c>
      <c r="F91" s="14" t="n">
        <v>11.4</v>
      </c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31868</v>
      </c>
      <c r="B92" s="17" t="n">
        <v>1987</v>
      </c>
      <c r="C92" s="17" t="n">
        <v>4</v>
      </c>
      <c r="D92" s="18" t="n">
        <v>12.2</v>
      </c>
      <c r="E92" s="18" t="n">
        <v>12.4</v>
      </c>
      <c r="F92" s="18" t="n">
        <v>11.2</v>
      </c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31898</v>
      </c>
      <c r="B93" s="13" t="n">
        <v>1987</v>
      </c>
      <c r="C93" s="13" t="n">
        <v>5</v>
      </c>
      <c r="D93" s="14" t="n">
        <v>11.9</v>
      </c>
      <c r="E93" s="14" t="n">
        <v>12.1</v>
      </c>
      <c r="F93" s="14" t="n">
        <v>11.1</v>
      </c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31929</v>
      </c>
      <c r="B94" s="17" t="n">
        <v>1987</v>
      </c>
      <c r="C94" s="17" t="n">
        <v>6</v>
      </c>
      <c r="D94" s="18" t="n">
        <v>11.9</v>
      </c>
      <c r="E94" s="18" t="n">
        <v>12</v>
      </c>
      <c r="F94" s="18" t="n">
        <v>10.9</v>
      </c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31959</v>
      </c>
      <c r="B95" s="13" t="n">
        <v>1987</v>
      </c>
      <c r="C95" s="13" t="n">
        <v>7</v>
      </c>
      <c r="D95" s="14" t="n">
        <v>12</v>
      </c>
      <c r="E95" s="14" t="n">
        <v>12.2</v>
      </c>
      <c r="F95" s="14" t="n">
        <v>11</v>
      </c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31990</v>
      </c>
      <c r="B96" s="17" t="n">
        <v>1987</v>
      </c>
      <c r="C96" s="17" t="n">
        <v>8</v>
      </c>
      <c r="D96" s="18" t="n">
        <v>12.2</v>
      </c>
      <c r="E96" s="18" t="n">
        <v>12.4</v>
      </c>
      <c r="F96" s="18" t="n">
        <v>11.2</v>
      </c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32021</v>
      </c>
      <c r="B97" s="13" t="n">
        <v>1987</v>
      </c>
      <c r="C97" s="13" t="n">
        <v>9</v>
      </c>
      <c r="D97" s="14" t="n">
        <v>12.6</v>
      </c>
      <c r="E97" s="14" t="n">
        <v>12.8</v>
      </c>
      <c r="F97" s="14" t="n">
        <v>11.6</v>
      </c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32051</v>
      </c>
      <c r="B98" s="17" t="n">
        <v>1987</v>
      </c>
      <c r="C98" s="17" t="n">
        <v>10</v>
      </c>
      <c r="D98" s="18" t="n">
        <v>12.9</v>
      </c>
      <c r="E98" s="18" t="n">
        <v>13</v>
      </c>
      <c r="F98" s="18" t="n">
        <v>11.8</v>
      </c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32082</v>
      </c>
      <c r="B99" s="13" t="n">
        <v>1987</v>
      </c>
      <c r="C99" s="13" t="n">
        <v>11</v>
      </c>
      <c r="D99" s="14" t="n">
        <v>12.9</v>
      </c>
      <c r="E99" s="14" t="n">
        <v>13</v>
      </c>
      <c r="F99" s="14" t="n">
        <v>11.8</v>
      </c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32112</v>
      </c>
      <c r="B100" s="17" t="n">
        <v>1987</v>
      </c>
      <c r="C100" s="17" t="n">
        <v>12</v>
      </c>
      <c r="D100" s="18" t="n">
        <v>12.7</v>
      </c>
      <c r="E100" s="18" t="n">
        <v>12.8</v>
      </c>
      <c r="F100" s="18" t="n">
        <v>11.5</v>
      </c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32143</v>
      </c>
      <c r="B101" s="13" t="n">
        <v>1988</v>
      </c>
      <c r="C101" s="13" t="n">
        <v>1</v>
      </c>
      <c r="D101" s="14" t="n">
        <v>12.5</v>
      </c>
      <c r="E101" s="14" t="n">
        <v>12.7</v>
      </c>
      <c r="F101" s="14" t="n">
        <v>11.3</v>
      </c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32174</v>
      </c>
      <c r="B102" s="17" t="n">
        <v>1988</v>
      </c>
      <c r="C102" s="17" t="n">
        <v>2</v>
      </c>
      <c r="D102" s="18" t="n">
        <v>12.2</v>
      </c>
      <c r="E102" s="18" t="n">
        <v>12.4</v>
      </c>
      <c r="F102" s="18" t="n">
        <v>11</v>
      </c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32203</v>
      </c>
      <c r="B103" s="13" t="n">
        <v>1988</v>
      </c>
      <c r="C103" s="13" t="n">
        <v>3</v>
      </c>
      <c r="D103" s="14" t="n">
        <v>11.9</v>
      </c>
      <c r="E103" s="14" t="n">
        <v>12.1</v>
      </c>
      <c r="F103" s="14" t="n">
        <v>10.8</v>
      </c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32234</v>
      </c>
      <c r="B104" s="17" t="n">
        <v>1988</v>
      </c>
      <c r="C104" s="17" t="n">
        <v>4</v>
      </c>
      <c r="D104" s="18" t="n">
        <v>11.6</v>
      </c>
      <c r="E104" s="18" t="n">
        <v>11.7</v>
      </c>
      <c r="F104" s="18" t="n">
        <v>10.6</v>
      </c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32264</v>
      </c>
      <c r="B105" s="13" t="n">
        <v>1988</v>
      </c>
      <c r="C105" s="13" t="n">
        <v>5</v>
      </c>
      <c r="D105" s="14" t="n">
        <v>11.4</v>
      </c>
      <c r="E105" s="14" t="n">
        <v>11.5</v>
      </c>
      <c r="F105" s="14" t="n">
        <v>10.4</v>
      </c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32295</v>
      </c>
      <c r="B106" s="17" t="n">
        <v>1988</v>
      </c>
      <c r="C106" s="17" t="n">
        <v>6</v>
      </c>
      <c r="D106" s="18" t="n">
        <v>11.3</v>
      </c>
      <c r="E106" s="18" t="n">
        <v>11.4</v>
      </c>
      <c r="F106" s="18" t="n">
        <v>10.3</v>
      </c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32325</v>
      </c>
      <c r="B107" s="13" t="n">
        <v>1988</v>
      </c>
      <c r="C107" s="13" t="n">
        <v>7</v>
      </c>
      <c r="D107" s="14" t="n">
        <v>11.4</v>
      </c>
      <c r="E107" s="14" t="n">
        <v>11.5</v>
      </c>
      <c r="F107" s="14" t="n">
        <v>10.4</v>
      </c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32356</v>
      </c>
      <c r="B108" s="17" t="n">
        <v>1988</v>
      </c>
      <c r="C108" s="17" t="n">
        <v>8</v>
      </c>
      <c r="D108" s="18" t="n">
        <v>11.8</v>
      </c>
      <c r="E108" s="18" t="n">
        <v>12</v>
      </c>
      <c r="F108" s="18" t="n">
        <v>10.9</v>
      </c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32387</v>
      </c>
      <c r="B109" s="13" t="n">
        <v>1988</v>
      </c>
      <c r="C109" s="13" t="n">
        <v>9</v>
      </c>
      <c r="D109" s="14" t="n">
        <v>12.4</v>
      </c>
      <c r="E109" s="14" t="n">
        <v>12.6</v>
      </c>
      <c r="F109" s="14" t="n">
        <v>11.6</v>
      </c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32417</v>
      </c>
      <c r="B110" s="17" t="n">
        <v>1988</v>
      </c>
      <c r="C110" s="17" t="n">
        <v>10</v>
      </c>
      <c r="D110" s="18" t="n">
        <v>13</v>
      </c>
      <c r="E110" s="18" t="n">
        <v>13.1</v>
      </c>
      <c r="F110" s="18" t="n">
        <v>12.3</v>
      </c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32448</v>
      </c>
      <c r="B111" s="13" t="n">
        <v>1988</v>
      </c>
      <c r="C111" s="13" t="n">
        <v>11</v>
      </c>
      <c r="D111" s="14" t="n">
        <v>13.4</v>
      </c>
      <c r="E111" s="14" t="n">
        <v>13.5</v>
      </c>
      <c r="F111" s="14" t="n">
        <v>12.5</v>
      </c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32478</v>
      </c>
      <c r="B112" s="17" t="n">
        <v>1988</v>
      </c>
      <c r="C112" s="17" t="n">
        <v>12</v>
      </c>
      <c r="D112" s="18" t="n">
        <v>13.5</v>
      </c>
      <c r="E112" s="18" t="n">
        <v>13.7</v>
      </c>
      <c r="F112" s="18" t="n">
        <v>12.6</v>
      </c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32509</v>
      </c>
      <c r="B113" s="13" t="n">
        <v>1989</v>
      </c>
      <c r="C113" s="13" t="n">
        <v>1</v>
      </c>
      <c r="D113" s="14" t="n">
        <v>13.5</v>
      </c>
      <c r="E113" s="14" t="n">
        <v>13.6</v>
      </c>
      <c r="F113" s="14" t="n">
        <v>12.2</v>
      </c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32540</v>
      </c>
      <c r="B114" s="17" t="n">
        <v>1989</v>
      </c>
      <c r="C114" s="17" t="n">
        <v>2</v>
      </c>
      <c r="D114" s="18" t="n">
        <v>13.2</v>
      </c>
      <c r="E114" s="18" t="n">
        <v>13.4</v>
      </c>
      <c r="F114" s="18" t="n">
        <v>11.6</v>
      </c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32568</v>
      </c>
      <c r="B115" s="13" t="n">
        <v>1989</v>
      </c>
      <c r="C115" s="13" t="n">
        <v>3</v>
      </c>
      <c r="D115" s="14" t="n">
        <v>12.7</v>
      </c>
      <c r="E115" s="14" t="n">
        <v>12.9</v>
      </c>
      <c r="F115" s="14" t="n">
        <v>11.3</v>
      </c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32599</v>
      </c>
      <c r="B116" s="17" t="n">
        <v>1989</v>
      </c>
      <c r="C116" s="17" t="n">
        <v>4</v>
      </c>
      <c r="D116" s="18" t="n">
        <v>12.4</v>
      </c>
      <c r="E116" s="18" t="n">
        <v>12.5</v>
      </c>
      <c r="F116" s="18" t="n">
        <v>11.2</v>
      </c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32629</v>
      </c>
      <c r="B117" s="13" t="n">
        <v>1989</v>
      </c>
      <c r="C117" s="13" t="n">
        <v>5</v>
      </c>
      <c r="D117" s="14" t="n">
        <v>12.3</v>
      </c>
      <c r="E117" s="14" t="n">
        <v>12.4</v>
      </c>
      <c r="F117" s="14" t="n">
        <v>11.2</v>
      </c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32660</v>
      </c>
      <c r="B118" s="17" t="n">
        <v>1989</v>
      </c>
      <c r="C118" s="17" t="n">
        <v>6</v>
      </c>
      <c r="D118" s="18" t="n">
        <v>12.4</v>
      </c>
      <c r="E118" s="18" t="n">
        <v>12.5</v>
      </c>
      <c r="F118" s="18" t="n">
        <v>11.3</v>
      </c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32690</v>
      </c>
      <c r="B119" s="13" t="n">
        <v>1989</v>
      </c>
      <c r="C119" s="13" t="n">
        <v>7</v>
      </c>
      <c r="D119" s="14" t="n">
        <v>12.6</v>
      </c>
      <c r="E119" s="14" t="n">
        <v>12.7</v>
      </c>
      <c r="F119" s="14" t="n">
        <v>11.6</v>
      </c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32721</v>
      </c>
      <c r="B120" s="17" t="n">
        <v>1989</v>
      </c>
      <c r="C120" s="17" t="n">
        <v>8</v>
      </c>
      <c r="D120" s="18" t="n">
        <v>13.2</v>
      </c>
      <c r="E120" s="18" t="n">
        <v>13.3</v>
      </c>
      <c r="F120" s="18" t="n">
        <v>12.2</v>
      </c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32752</v>
      </c>
      <c r="B121" s="13" t="n">
        <v>1989</v>
      </c>
      <c r="C121" s="13" t="n">
        <v>9</v>
      </c>
      <c r="D121" s="14" t="n">
        <v>14</v>
      </c>
      <c r="E121" s="14" t="n">
        <v>14.1</v>
      </c>
      <c r="F121" s="14" t="n">
        <v>13.2</v>
      </c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32782</v>
      </c>
      <c r="B122" s="17" t="n">
        <v>1989</v>
      </c>
      <c r="C122" s="17" t="n">
        <v>10</v>
      </c>
      <c r="D122" s="18" t="n">
        <v>14.8</v>
      </c>
      <c r="E122" s="18" t="n">
        <v>14.9</v>
      </c>
      <c r="F122" s="18" t="n">
        <v>14.1</v>
      </c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32813</v>
      </c>
      <c r="B123" s="13" t="n">
        <v>1989</v>
      </c>
      <c r="C123" s="13" t="n">
        <v>11</v>
      </c>
      <c r="D123" s="14" t="n">
        <v>15.6</v>
      </c>
      <c r="E123" s="14" t="n">
        <v>15.6</v>
      </c>
      <c r="F123" s="14" t="n">
        <v>14.9</v>
      </c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32843</v>
      </c>
      <c r="B124" s="17" t="n">
        <v>1989</v>
      </c>
      <c r="C124" s="17" t="n">
        <v>12</v>
      </c>
      <c r="D124" s="18" t="n">
        <v>16</v>
      </c>
      <c r="E124" s="18" t="n">
        <v>16.1</v>
      </c>
      <c r="F124" s="18" t="n">
        <v>15.1</v>
      </c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32874</v>
      </c>
      <c r="B125" s="13" t="n">
        <v>1990</v>
      </c>
      <c r="C125" s="13" t="n">
        <v>1</v>
      </c>
      <c r="D125" s="14" t="n">
        <v>15.5</v>
      </c>
      <c r="E125" s="14" t="n">
        <v>15.6</v>
      </c>
      <c r="F125" s="14" t="n">
        <v>14.1</v>
      </c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32905</v>
      </c>
      <c r="B126" s="17" t="n">
        <v>1990</v>
      </c>
      <c r="C126" s="17" t="n">
        <v>2</v>
      </c>
      <c r="D126" s="18" t="n">
        <v>14.5</v>
      </c>
      <c r="E126" s="18" t="n">
        <v>14.7</v>
      </c>
      <c r="F126" s="18" t="n">
        <v>12.5</v>
      </c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32933</v>
      </c>
      <c r="B127" s="13" t="n">
        <v>1990</v>
      </c>
      <c r="C127" s="13" t="n">
        <v>3</v>
      </c>
      <c r="D127" s="14" t="n">
        <v>13.9</v>
      </c>
      <c r="E127" s="14" t="n">
        <v>14</v>
      </c>
      <c r="F127" s="14" t="n">
        <v>12.1</v>
      </c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32964</v>
      </c>
      <c r="B128" s="17" t="n">
        <v>1990</v>
      </c>
      <c r="C128" s="17" t="n">
        <v>4</v>
      </c>
      <c r="D128" s="18" t="n">
        <v>13.4</v>
      </c>
      <c r="E128" s="18" t="n">
        <v>13.4</v>
      </c>
      <c r="F128" s="18" t="n">
        <v>12.4</v>
      </c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32994</v>
      </c>
      <c r="B129" s="13" t="n">
        <v>1990</v>
      </c>
      <c r="C129" s="13" t="n">
        <v>5</v>
      </c>
      <c r="D129" s="14" t="n">
        <v>13.5</v>
      </c>
      <c r="E129" s="14" t="n">
        <v>13.6</v>
      </c>
      <c r="F129" s="14" t="n">
        <v>12.7</v>
      </c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33025</v>
      </c>
      <c r="B130" s="17" t="n">
        <v>1990</v>
      </c>
      <c r="C130" s="17" t="n">
        <v>6</v>
      </c>
      <c r="D130" s="18" t="n">
        <v>13.8</v>
      </c>
      <c r="E130" s="18" t="n">
        <v>13.9</v>
      </c>
      <c r="F130" s="18" t="n">
        <v>13</v>
      </c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33055</v>
      </c>
      <c r="B131" s="13" t="n">
        <v>1990</v>
      </c>
      <c r="C131" s="13" t="n">
        <v>7</v>
      </c>
      <c r="D131" s="14" t="n">
        <v>14</v>
      </c>
      <c r="E131" s="14" t="n">
        <v>14.1</v>
      </c>
      <c r="F131" s="14" t="n">
        <v>13.1</v>
      </c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33086</v>
      </c>
      <c r="B132" s="17" t="n">
        <v>1990</v>
      </c>
      <c r="C132" s="17" t="n">
        <v>8</v>
      </c>
      <c r="D132" s="18" t="n">
        <v>14.2</v>
      </c>
      <c r="E132" s="18" t="n">
        <v>14.3</v>
      </c>
      <c r="F132" s="18" t="n">
        <v>12.9</v>
      </c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33117</v>
      </c>
      <c r="B133" s="13" t="n">
        <v>1990</v>
      </c>
      <c r="C133" s="13" t="n">
        <v>9</v>
      </c>
      <c r="D133" s="14" t="n">
        <v>13.9</v>
      </c>
      <c r="E133" s="14" t="n">
        <v>14</v>
      </c>
      <c r="F133" s="14" t="n">
        <v>12.4</v>
      </c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33147</v>
      </c>
      <c r="B134" s="17" t="n">
        <v>1990</v>
      </c>
      <c r="C134" s="17" t="n">
        <v>10</v>
      </c>
      <c r="D134" s="18" t="n">
        <v>13.1</v>
      </c>
      <c r="E134" s="18" t="n">
        <v>13.3</v>
      </c>
      <c r="F134" s="18" t="n">
        <v>11.1</v>
      </c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33178</v>
      </c>
      <c r="B135" s="13" t="n">
        <v>1990</v>
      </c>
      <c r="C135" s="13" t="n">
        <v>11</v>
      </c>
      <c r="D135" s="14" t="n">
        <v>12.7</v>
      </c>
      <c r="E135" s="14" t="n">
        <v>12.9</v>
      </c>
      <c r="F135" s="14" t="n">
        <v>10.6</v>
      </c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33208</v>
      </c>
      <c r="B136" s="17" t="n">
        <v>1990</v>
      </c>
      <c r="C136" s="17" t="n">
        <v>12</v>
      </c>
      <c r="D136" s="18" t="n">
        <v>11.7</v>
      </c>
      <c r="E136" s="18" t="n">
        <v>11.8</v>
      </c>
      <c r="F136" s="18" t="n">
        <v>10.5</v>
      </c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33239</v>
      </c>
      <c r="B137" s="13" t="n">
        <v>1991</v>
      </c>
      <c r="C137" s="13" t="n">
        <v>1</v>
      </c>
      <c r="D137" s="14" t="n">
        <v>11.7</v>
      </c>
      <c r="E137" s="14" t="n">
        <v>11.8</v>
      </c>
      <c r="F137" s="14" t="n">
        <v>10.6</v>
      </c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33270</v>
      </c>
      <c r="B138" s="17" t="n">
        <v>1991</v>
      </c>
      <c r="C138" s="17" t="n">
        <v>2</v>
      </c>
      <c r="D138" s="18" t="n">
        <v>11.6</v>
      </c>
      <c r="E138" s="18" t="n">
        <v>11.7</v>
      </c>
      <c r="F138" s="18" t="n">
        <v>10.2</v>
      </c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33298</v>
      </c>
      <c r="B139" s="13" t="n">
        <v>1991</v>
      </c>
      <c r="C139" s="13" t="n">
        <v>3</v>
      </c>
      <c r="D139" s="14" t="n">
        <v>11.4</v>
      </c>
      <c r="E139" s="14" t="n">
        <v>11.5</v>
      </c>
      <c r="F139" s="14" t="n">
        <v>10.2</v>
      </c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33329</v>
      </c>
      <c r="B140" s="17" t="n">
        <v>1991</v>
      </c>
      <c r="C140" s="17" t="n">
        <v>4</v>
      </c>
      <c r="D140" s="18" t="n">
        <v>11.3</v>
      </c>
      <c r="E140" s="18" t="n">
        <v>11.4</v>
      </c>
      <c r="F140" s="18" t="n">
        <v>10.1</v>
      </c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33359</v>
      </c>
      <c r="B141" s="13" t="n">
        <v>1991</v>
      </c>
      <c r="C141" s="13" t="n">
        <v>5</v>
      </c>
      <c r="D141" s="14" t="n">
        <v>11.3</v>
      </c>
      <c r="E141" s="14" t="n">
        <v>11.4</v>
      </c>
      <c r="F141" s="14" t="n">
        <v>10.2</v>
      </c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33390</v>
      </c>
      <c r="B142" s="17" t="n">
        <v>1991</v>
      </c>
      <c r="C142" s="17" t="n">
        <v>6</v>
      </c>
      <c r="D142" s="18" t="n">
        <v>11.4</v>
      </c>
      <c r="E142" s="18" t="n">
        <v>11.5</v>
      </c>
      <c r="F142" s="18" t="n">
        <v>10.4</v>
      </c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33420</v>
      </c>
      <c r="B143" s="13" t="n">
        <v>1991</v>
      </c>
      <c r="C143" s="13" t="n">
        <v>7</v>
      </c>
      <c r="D143" s="14" t="n">
        <v>11.8</v>
      </c>
      <c r="E143" s="14" t="n">
        <v>11.9</v>
      </c>
      <c r="F143" s="14" t="n">
        <v>10.8</v>
      </c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33451</v>
      </c>
      <c r="B144" s="17" t="n">
        <v>1991</v>
      </c>
      <c r="C144" s="17" t="n">
        <v>8</v>
      </c>
      <c r="D144" s="18" t="n">
        <v>12.4</v>
      </c>
      <c r="E144" s="18" t="n">
        <v>12.4</v>
      </c>
      <c r="F144" s="18" t="n">
        <v>11.3</v>
      </c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33482</v>
      </c>
      <c r="B145" s="13" t="n">
        <v>1991</v>
      </c>
      <c r="C145" s="13" t="n">
        <v>9</v>
      </c>
      <c r="D145" s="14" t="n">
        <v>12.8</v>
      </c>
      <c r="E145" s="14" t="n">
        <v>12.9</v>
      </c>
      <c r="F145" s="14" t="n">
        <v>12</v>
      </c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33512</v>
      </c>
      <c r="B146" s="17" t="n">
        <v>1991</v>
      </c>
      <c r="C146" s="17" t="n">
        <v>10</v>
      </c>
      <c r="D146" s="18" t="n">
        <v>13.5</v>
      </c>
      <c r="E146" s="18" t="n">
        <v>13.6</v>
      </c>
      <c r="F146" s="18" t="n">
        <v>12.6</v>
      </c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33543</v>
      </c>
      <c r="B147" s="13" t="n">
        <v>1991</v>
      </c>
      <c r="C147" s="13" t="n">
        <v>11</v>
      </c>
      <c r="D147" s="14" t="n">
        <v>13.9</v>
      </c>
      <c r="E147" s="14" t="n">
        <v>13.9</v>
      </c>
      <c r="F147" s="14" t="n">
        <v>12.7</v>
      </c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33573</v>
      </c>
      <c r="B148" s="17" t="n">
        <v>1991</v>
      </c>
      <c r="C148" s="17" t="n">
        <v>12</v>
      </c>
      <c r="D148" s="18" t="n">
        <v>13.8</v>
      </c>
      <c r="E148" s="18" t="n">
        <v>13.9</v>
      </c>
      <c r="F148" s="18" t="n">
        <v>12.3</v>
      </c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33604</v>
      </c>
      <c r="B149" s="13" t="n">
        <v>1992</v>
      </c>
      <c r="C149" s="13" t="n">
        <v>1</v>
      </c>
      <c r="D149" s="14" t="n">
        <v>13.4</v>
      </c>
      <c r="E149" s="14" t="n">
        <v>13.5</v>
      </c>
      <c r="F149" s="14" t="n">
        <v>11.8</v>
      </c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33635</v>
      </c>
      <c r="B150" s="17" t="n">
        <v>1992</v>
      </c>
      <c r="C150" s="17" t="n">
        <v>2</v>
      </c>
      <c r="D150" s="18" t="n">
        <v>12.9</v>
      </c>
      <c r="E150" s="18" t="n">
        <v>13</v>
      </c>
      <c r="F150" s="18" t="n">
        <v>11.3</v>
      </c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33664</v>
      </c>
      <c r="B151" s="13" t="n">
        <v>1992</v>
      </c>
      <c r="C151" s="13" t="n">
        <v>3</v>
      </c>
      <c r="D151" s="14" t="n">
        <v>12.5</v>
      </c>
      <c r="E151" s="14" t="n">
        <v>12.5</v>
      </c>
      <c r="F151" s="14" t="n">
        <v>11.1</v>
      </c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33695</v>
      </c>
      <c r="B152" s="17" t="n">
        <v>1992</v>
      </c>
      <c r="C152" s="17" t="n">
        <v>4</v>
      </c>
      <c r="D152" s="18" t="n">
        <v>12.6</v>
      </c>
      <c r="E152" s="18" t="n">
        <v>12.6</v>
      </c>
      <c r="F152" s="18" t="n">
        <v>11.5</v>
      </c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33725</v>
      </c>
      <c r="B153" s="13" t="n">
        <v>1992</v>
      </c>
      <c r="C153" s="13" t="n">
        <v>5</v>
      </c>
      <c r="D153" s="14" t="n">
        <v>12.8</v>
      </c>
      <c r="E153" s="14" t="n">
        <v>12.9</v>
      </c>
      <c r="F153" s="14" t="n">
        <v>12</v>
      </c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33756</v>
      </c>
      <c r="B154" s="17" t="n">
        <v>1992</v>
      </c>
      <c r="C154" s="17" t="n">
        <v>6</v>
      </c>
      <c r="D154" s="18" t="n">
        <v>13.2</v>
      </c>
      <c r="E154" s="18" t="n">
        <v>13.3</v>
      </c>
      <c r="F154" s="18" t="n">
        <v>12.2</v>
      </c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33786</v>
      </c>
      <c r="B155" s="13" t="n">
        <v>1992</v>
      </c>
      <c r="C155" s="13" t="n">
        <v>7</v>
      </c>
      <c r="D155" s="14" t="n">
        <v>13.4</v>
      </c>
      <c r="E155" s="14" t="n">
        <v>13.4</v>
      </c>
      <c r="F155" s="14" t="n">
        <v>12.3</v>
      </c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33817</v>
      </c>
      <c r="B156" s="17" t="n">
        <v>1992</v>
      </c>
      <c r="C156" s="17" t="n">
        <v>8</v>
      </c>
      <c r="D156" s="18" t="n">
        <v>13.5</v>
      </c>
      <c r="E156" s="18" t="n">
        <v>13.5</v>
      </c>
      <c r="F156" s="18" t="n">
        <v>12.3</v>
      </c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33848</v>
      </c>
      <c r="B157" s="13" t="n">
        <v>1992</v>
      </c>
      <c r="C157" s="13" t="n">
        <v>9</v>
      </c>
      <c r="D157" s="14" t="n">
        <v>13.5</v>
      </c>
      <c r="E157" s="14" t="n">
        <v>13.6</v>
      </c>
      <c r="F157" s="14" t="n">
        <v>12.2</v>
      </c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33878</v>
      </c>
      <c r="B158" s="17" t="n">
        <v>1992</v>
      </c>
      <c r="C158" s="17" t="n">
        <v>10</v>
      </c>
      <c r="D158" s="18" t="n">
        <v>13.4</v>
      </c>
      <c r="E158" s="18" t="n">
        <v>13.5</v>
      </c>
      <c r="F158" s="18" t="n">
        <v>12.2</v>
      </c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33909</v>
      </c>
      <c r="B159" s="13" t="n">
        <v>1992</v>
      </c>
      <c r="C159" s="13" t="n">
        <v>11</v>
      </c>
      <c r="D159" s="14" t="n">
        <v>13.1</v>
      </c>
      <c r="E159" s="14" t="n">
        <v>13.2</v>
      </c>
      <c r="F159" s="14" t="n">
        <v>12</v>
      </c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33939</v>
      </c>
      <c r="B160" s="17" t="n">
        <v>1992</v>
      </c>
      <c r="C160" s="17" t="n">
        <v>12</v>
      </c>
      <c r="D160" s="18" t="n">
        <v>12.8</v>
      </c>
      <c r="E160" s="18" t="n">
        <v>12.9</v>
      </c>
      <c r="F160" s="18" t="n">
        <v>11.5</v>
      </c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33970</v>
      </c>
      <c r="B161" s="13" t="n">
        <v>1993</v>
      </c>
      <c r="C161" s="13" t="n">
        <v>1</v>
      </c>
      <c r="D161" s="14" t="n">
        <v>12.5</v>
      </c>
      <c r="E161" s="14" t="n">
        <v>12.6</v>
      </c>
      <c r="F161" s="14" t="n">
        <v>11.1</v>
      </c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34001</v>
      </c>
      <c r="B162" s="17" t="n">
        <v>1993</v>
      </c>
      <c r="C162" s="17" t="n">
        <v>2</v>
      </c>
      <c r="D162" s="18" t="n">
        <v>12.2</v>
      </c>
      <c r="E162" s="18" t="n">
        <v>12.3</v>
      </c>
      <c r="F162" s="18" t="n">
        <v>10.9</v>
      </c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34029</v>
      </c>
      <c r="B163" s="13" t="n">
        <v>1993</v>
      </c>
      <c r="C163" s="13" t="n">
        <v>3</v>
      </c>
      <c r="D163" s="14" t="n">
        <v>12.2</v>
      </c>
      <c r="E163" s="14" t="n">
        <v>12.2</v>
      </c>
      <c r="F163" s="14" t="n">
        <v>11.2</v>
      </c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34060</v>
      </c>
      <c r="B164" s="17" t="n">
        <v>1993</v>
      </c>
      <c r="C164" s="17" t="n">
        <v>4</v>
      </c>
      <c r="D164" s="18" t="n">
        <v>12.6</v>
      </c>
      <c r="E164" s="18" t="n">
        <v>12.7</v>
      </c>
      <c r="F164" s="18" t="n">
        <v>12</v>
      </c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34090</v>
      </c>
      <c r="B165" s="13" t="n">
        <v>1993</v>
      </c>
      <c r="C165" s="13" t="n">
        <v>5</v>
      </c>
      <c r="D165" s="14" t="n">
        <v>12.9</v>
      </c>
      <c r="E165" s="14" t="n">
        <v>13</v>
      </c>
      <c r="F165" s="14" t="n">
        <v>12.3</v>
      </c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34121</v>
      </c>
      <c r="B166" s="17" t="n">
        <v>1993</v>
      </c>
      <c r="C166" s="17" t="n">
        <v>6</v>
      </c>
      <c r="D166" s="18" t="n">
        <v>13</v>
      </c>
      <c r="E166" s="18" t="n">
        <v>13.1</v>
      </c>
      <c r="F166" s="18" t="n">
        <v>11.9</v>
      </c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34151</v>
      </c>
      <c r="B167" s="13" t="n">
        <v>1993</v>
      </c>
      <c r="C167" s="13" t="n">
        <v>7</v>
      </c>
      <c r="D167" s="14" t="n">
        <v>12.8</v>
      </c>
      <c r="E167" s="14" t="n">
        <v>12.8</v>
      </c>
      <c r="F167" s="14" t="n">
        <v>11.2</v>
      </c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34182</v>
      </c>
      <c r="B168" s="17" t="n">
        <v>1993</v>
      </c>
      <c r="C168" s="17" t="n">
        <v>8</v>
      </c>
      <c r="D168" s="18" t="n">
        <v>12.4</v>
      </c>
      <c r="E168" s="18" t="n">
        <v>12.5</v>
      </c>
      <c r="F168" s="18" t="n">
        <v>11</v>
      </c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34213</v>
      </c>
      <c r="B169" s="13" t="n">
        <v>1993</v>
      </c>
      <c r="C169" s="13" t="n">
        <v>9</v>
      </c>
      <c r="D169" s="14" t="n">
        <v>12.8</v>
      </c>
      <c r="E169" s="14" t="n">
        <v>12.8</v>
      </c>
      <c r="F169" s="14" t="n">
        <v>11.9</v>
      </c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34243</v>
      </c>
      <c r="B170" s="17" t="n">
        <v>1993</v>
      </c>
      <c r="C170" s="17" t="n">
        <v>10</v>
      </c>
      <c r="D170" s="18" t="n">
        <v>13.1</v>
      </c>
      <c r="E170" s="18" t="n">
        <v>13.1</v>
      </c>
      <c r="F170" s="18" t="n">
        <v>12.4</v>
      </c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34274</v>
      </c>
      <c r="B171" s="13" t="n">
        <v>1993</v>
      </c>
      <c r="C171" s="13" t="n">
        <v>11</v>
      </c>
      <c r="D171" s="14" t="n">
        <v>13.6</v>
      </c>
      <c r="E171" s="14" t="n">
        <v>13.6</v>
      </c>
      <c r="F171" s="14" t="n">
        <v>12.7</v>
      </c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34304</v>
      </c>
      <c r="B172" s="17" t="n">
        <v>1993</v>
      </c>
      <c r="C172" s="17" t="n">
        <v>12</v>
      </c>
      <c r="D172" s="18" t="n">
        <v>13.5</v>
      </c>
      <c r="E172" s="18" t="n">
        <v>13.6</v>
      </c>
      <c r="F172" s="18" t="n">
        <v>12.5</v>
      </c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34335</v>
      </c>
      <c r="B173" s="13" t="n">
        <v>1994</v>
      </c>
      <c r="C173" s="13" t="n">
        <v>1</v>
      </c>
      <c r="D173" s="14" t="n">
        <v>13.6</v>
      </c>
      <c r="E173" s="14" t="n">
        <v>13.6</v>
      </c>
      <c r="F173" s="14" t="n">
        <v>12.3</v>
      </c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34366</v>
      </c>
      <c r="B174" s="17" t="n">
        <v>1994</v>
      </c>
      <c r="C174" s="17" t="n">
        <v>2</v>
      </c>
      <c r="D174" s="18" t="n">
        <v>13.4</v>
      </c>
      <c r="E174" s="18" t="n">
        <v>13.5</v>
      </c>
      <c r="F174" s="18" t="n">
        <v>12.2</v>
      </c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34394</v>
      </c>
      <c r="B175" s="13" t="n">
        <v>1994</v>
      </c>
      <c r="C175" s="13" t="n">
        <v>3</v>
      </c>
      <c r="D175" s="14" t="n">
        <v>13.5</v>
      </c>
      <c r="E175" s="14" t="n">
        <v>13.5</v>
      </c>
      <c r="F175" s="14" t="n">
        <v>12.4</v>
      </c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34425</v>
      </c>
      <c r="B176" s="17" t="n">
        <v>1994</v>
      </c>
      <c r="C176" s="17" t="n">
        <v>4</v>
      </c>
      <c r="D176" s="18" t="n">
        <v>13.4</v>
      </c>
      <c r="E176" s="18" t="n">
        <v>13.5</v>
      </c>
      <c r="F176" s="18" t="n">
        <v>12.5</v>
      </c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34455</v>
      </c>
      <c r="B177" s="13" t="n">
        <v>1994</v>
      </c>
      <c r="C177" s="13" t="n">
        <v>5</v>
      </c>
      <c r="D177" s="14" t="n">
        <v>12.8</v>
      </c>
      <c r="E177" s="14" t="n">
        <v>12.9</v>
      </c>
      <c r="F177" s="14" t="n">
        <v>11.4</v>
      </c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34486</v>
      </c>
      <c r="B178" s="17" t="n">
        <v>1994</v>
      </c>
      <c r="C178" s="17" t="n">
        <v>6</v>
      </c>
      <c r="D178" s="18" t="n">
        <v>12.6</v>
      </c>
      <c r="E178" s="18" t="n">
        <v>12.7</v>
      </c>
      <c r="F178" s="18" t="n">
        <v>11</v>
      </c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34516</v>
      </c>
      <c r="B179" s="13" t="n">
        <v>1994</v>
      </c>
      <c r="C179" s="13" t="n">
        <v>7</v>
      </c>
      <c r="D179" s="14" t="n">
        <v>12.2</v>
      </c>
      <c r="E179" s="14" t="n">
        <v>12.2</v>
      </c>
      <c r="F179" s="14" t="n">
        <v>11.1</v>
      </c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34547</v>
      </c>
      <c r="B180" s="17" t="n">
        <v>1994</v>
      </c>
      <c r="C180" s="17" t="n">
        <v>8</v>
      </c>
      <c r="D180" s="18" t="n">
        <v>12.4</v>
      </c>
      <c r="E180" s="18" t="n">
        <v>12.5</v>
      </c>
      <c r="F180" s="18" t="n">
        <v>11.4</v>
      </c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34578</v>
      </c>
      <c r="B181" s="13" t="n">
        <v>1994</v>
      </c>
      <c r="C181" s="13" t="n">
        <v>9</v>
      </c>
      <c r="D181" s="14" t="n">
        <v>12.8</v>
      </c>
      <c r="E181" s="14" t="n">
        <v>12.8</v>
      </c>
      <c r="F181" s="14" t="n">
        <v>11.9</v>
      </c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34608</v>
      </c>
      <c r="B182" s="17" t="n">
        <v>1994</v>
      </c>
      <c r="C182" s="17" t="n">
        <v>10</v>
      </c>
      <c r="D182" s="18" t="n">
        <v>13</v>
      </c>
      <c r="E182" s="18" t="n">
        <v>13.1</v>
      </c>
      <c r="F182" s="18" t="n">
        <v>12.2</v>
      </c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34639</v>
      </c>
      <c r="B183" s="13" t="n">
        <v>1994</v>
      </c>
      <c r="C183" s="13" t="n">
        <v>11</v>
      </c>
      <c r="D183" s="14" t="n">
        <v>13.1</v>
      </c>
      <c r="E183" s="14" t="n">
        <v>13.1</v>
      </c>
      <c r="F183" s="14" t="n">
        <v>12</v>
      </c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34669</v>
      </c>
      <c r="B184" s="17" t="n">
        <v>1994</v>
      </c>
      <c r="C184" s="17" t="n">
        <v>12</v>
      </c>
      <c r="D184" s="18" t="n">
        <v>12.8</v>
      </c>
      <c r="E184" s="18" t="n">
        <v>12.9</v>
      </c>
      <c r="F184" s="18" t="n">
        <v>11.5</v>
      </c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34700</v>
      </c>
      <c r="B185" s="13" t="n">
        <v>1995</v>
      </c>
      <c r="C185" s="13" t="n">
        <v>1</v>
      </c>
      <c r="D185" s="14" t="n">
        <v>12.6</v>
      </c>
      <c r="E185" s="14" t="n">
        <v>12.6</v>
      </c>
      <c r="F185" s="14" t="n">
        <v>11.4</v>
      </c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34731</v>
      </c>
      <c r="B186" s="17" t="n">
        <v>1995</v>
      </c>
      <c r="C186" s="17" t="n">
        <v>2</v>
      </c>
      <c r="D186" s="18" t="n">
        <v>12.5</v>
      </c>
      <c r="E186" s="18" t="n">
        <v>12.6</v>
      </c>
      <c r="F186" s="18" t="n">
        <v>11.7</v>
      </c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34759</v>
      </c>
      <c r="B187" s="13" t="n">
        <v>1995</v>
      </c>
      <c r="C187" s="13" t="n">
        <v>3</v>
      </c>
      <c r="D187" s="14" t="n">
        <v>12.6</v>
      </c>
      <c r="E187" s="14" t="n">
        <v>12.6</v>
      </c>
      <c r="F187" s="14" t="n">
        <v>11.7</v>
      </c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34790</v>
      </c>
      <c r="B188" s="17" t="n">
        <v>1995</v>
      </c>
      <c r="C188" s="17" t="n">
        <v>4</v>
      </c>
      <c r="D188" s="18" t="n">
        <v>12.3</v>
      </c>
      <c r="E188" s="18" t="n">
        <v>12.3</v>
      </c>
      <c r="F188" s="18" t="n">
        <v>11.2</v>
      </c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34820</v>
      </c>
      <c r="B189" s="13" t="n">
        <v>1995</v>
      </c>
      <c r="C189" s="13" t="n">
        <v>5</v>
      </c>
      <c r="D189" s="14" t="n">
        <v>12.3</v>
      </c>
      <c r="E189" s="14" t="n">
        <v>12.3</v>
      </c>
      <c r="F189" s="14" t="n">
        <v>11</v>
      </c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34851</v>
      </c>
      <c r="B190" s="17" t="n">
        <v>1995</v>
      </c>
      <c r="C190" s="17" t="n">
        <v>6</v>
      </c>
      <c r="D190" s="18" t="n">
        <v>12.1</v>
      </c>
      <c r="E190" s="18" t="n">
        <v>12.2</v>
      </c>
      <c r="F190" s="18" t="n">
        <v>11.1</v>
      </c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34881</v>
      </c>
      <c r="B191" s="13" t="n">
        <v>1995</v>
      </c>
      <c r="C191" s="13" t="n">
        <v>7</v>
      </c>
      <c r="D191" s="14" t="n">
        <v>12</v>
      </c>
      <c r="E191" s="14" t="n">
        <v>12.1</v>
      </c>
      <c r="F191" s="14" t="n">
        <v>11</v>
      </c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34912</v>
      </c>
      <c r="B192" s="17" t="n">
        <v>1995</v>
      </c>
      <c r="C192" s="17" t="n">
        <v>8</v>
      </c>
      <c r="D192" s="18" t="n">
        <v>12.4</v>
      </c>
      <c r="E192" s="18" t="n">
        <v>12.5</v>
      </c>
      <c r="F192" s="18" t="n">
        <v>11.3</v>
      </c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34943</v>
      </c>
      <c r="B193" s="13" t="n">
        <v>1995</v>
      </c>
      <c r="C193" s="13" t="n">
        <v>9</v>
      </c>
      <c r="D193" s="14" t="n">
        <v>12.8</v>
      </c>
      <c r="E193" s="14" t="n">
        <v>12.8</v>
      </c>
      <c r="F193" s="14" t="n">
        <v>12.1</v>
      </c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34973</v>
      </c>
      <c r="B194" s="17" t="n">
        <v>1995</v>
      </c>
      <c r="C194" s="17" t="n">
        <v>10</v>
      </c>
      <c r="D194" s="18" t="n">
        <v>13.4</v>
      </c>
      <c r="E194" s="18" t="n">
        <v>13.4</v>
      </c>
      <c r="F194" s="18" t="n">
        <v>12.8</v>
      </c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35004</v>
      </c>
      <c r="B195" s="13" t="n">
        <v>1995</v>
      </c>
      <c r="C195" s="13" t="n">
        <v>11</v>
      </c>
      <c r="D195" s="14" t="n">
        <v>14</v>
      </c>
      <c r="E195" s="14" t="n">
        <v>14</v>
      </c>
      <c r="F195" s="14" t="n">
        <v>13.1</v>
      </c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35034</v>
      </c>
      <c r="B196" s="17" t="n">
        <v>1995</v>
      </c>
      <c r="C196" s="17" t="n">
        <v>12</v>
      </c>
      <c r="D196" s="18" t="n">
        <v>13.9</v>
      </c>
      <c r="E196" s="18" t="n">
        <v>14</v>
      </c>
      <c r="F196" s="18" t="n">
        <v>12.9</v>
      </c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35065</v>
      </c>
      <c r="B197" s="13" t="n">
        <v>1996</v>
      </c>
      <c r="C197" s="13" t="n">
        <v>1</v>
      </c>
      <c r="D197" s="14" t="n">
        <v>14.1</v>
      </c>
      <c r="E197" s="14" t="n">
        <v>14.2</v>
      </c>
      <c r="F197" s="14" t="n">
        <v>12.8</v>
      </c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35096</v>
      </c>
      <c r="B198" s="17" t="n">
        <v>1996</v>
      </c>
      <c r="C198" s="17" t="n">
        <v>2</v>
      </c>
      <c r="D198" s="18" t="n">
        <v>13.9</v>
      </c>
      <c r="E198" s="18" t="n">
        <v>14</v>
      </c>
      <c r="F198" s="18" t="n">
        <v>12.6</v>
      </c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35125</v>
      </c>
      <c r="B199" s="13" t="n">
        <v>1996</v>
      </c>
      <c r="C199" s="13" t="n">
        <v>3</v>
      </c>
      <c r="D199" s="14" t="n">
        <v>13.8</v>
      </c>
      <c r="E199" s="14" t="n">
        <v>13.9</v>
      </c>
      <c r="F199" s="14" t="n">
        <v>12.6</v>
      </c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35156</v>
      </c>
      <c r="B200" s="17" t="n">
        <v>1996</v>
      </c>
      <c r="C200" s="17" t="n">
        <v>4</v>
      </c>
      <c r="D200" s="18" t="n">
        <v>13.9</v>
      </c>
      <c r="E200" s="18" t="n">
        <v>13.9</v>
      </c>
      <c r="F200" s="18" t="n">
        <v>12.9</v>
      </c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35186</v>
      </c>
      <c r="B201" s="13" t="n">
        <v>1996</v>
      </c>
      <c r="C201" s="13" t="n">
        <v>5</v>
      </c>
      <c r="D201" s="14" t="n">
        <v>14.3</v>
      </c>
      <c r="E201" s="14" t="n">
        <v>14.3</v>
      </c>
      <c r="F201" s="14" t="n">
        <v>13.4</v>
      </c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35217</v>
      </c>
      <c r="B202" s="17" t="n">
        <v>1996</v>
      </c>
      <c r="C202" s="17" t="n">
        <v>6</v>
      </c>
      <c r="D202" s="18" t="n">
        <v>14.8</v>
      </c>
      <c r="E202" s="18" t="n">
        <v>14.9</v>
      </c>
      <c r="F202" s="18" t="n">
        <v>13.6</v>
      </c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35247</v>
      </c>
      <c r="B203" s="13" t="n">
        <v>1996</v>
      </c>
      <c r="C203" s="13" t="n">
        <v>7</v>
      </c>
      <c r="D203" s="14" t="n">
        <v>15.4</v>
      </c>
      <c r="E203" s="14" t="n">
        <v>15.5</v>
      </c>
      <c r="F203" s="14" t="n">
        <v>14</v>
      </c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35278</v>
      </c>
      <c r="B204" s="17" t="n">
        <v>1996</v>
      </c>
      <c r="C204" s="17" t="n">
        <v>8</v>
      </c>
      <c r="D204" s="18" t="n">
        <v>15.9</v>
      </c>
      <c r="E204" s="18" t="n">
        <v>16</v>
      </c>
      <c r="F204" s="18" t="n">
        <v>14.6</v>
      </c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35309</v>
      </c>
      <c r="B205" s="13" t="n">
        <v>1996</v>
      </c>
      <c r="C205" s="13" t="n">
        <v>9</v>
      </c>
      <c r="D205" s="14" t="n">
        <v>16.5</v>
      </c>
      <c r="E205" s="14" t="n">
        <v>16.6</v>
      </c>
      <c r="F205" s="14" t="n">
        <v>15.3</v>
      </c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35339</v>
      </c>
      <c r="B206" s="17" t="n">
        <v>1996</v>
      </c>
      <c r="C206" s="17" t="n">
        <v>10</v>
      </c>
      <c r="D206" s="18" t="n">
        <v>16.4</v>
      </c>
      <c r="E206" s="18" t="n">
        <v>16.4</v>
      </c>
      <c r="F206" s="18" t="n">
        <v>14.6</v>
      </c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35370</v>
      </c>
      <c r="B207" s="13" t="n">
        <v>1996</v>
      </c>
      <c r="C207" s="13" t="n">
        <v>11</v>
      </c>
      <c r="D207" s="14" t="n">
        <v>15.2</v>
      </c>
      <c r="E207" s="14" t="n">
        <v>15.3</v>
      </c>
      <c r="F207" s="14" t="n">
        <v>12.4</v>
      </c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35400</v>
      </c>
      <c r="B208" s="17" t="n">
        <v>1996</v>
      </c>
      <c r="C208" s="17" t="n">
        <v>12</v>
      </c>
      <c r="D208" s="18" t="n">
        <v>14.3</v>
      </c>
      <c r="E208" s="18" t="n">
        <v>14.4</v>
      </c>
      <c r="F208" s="18" t="n">
        <v>11.8</v>
      </c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35431</v>
      </c>
      <c r="B209" s="13" t="n">
        <v>1997</v>
      </c>
      <c r="C209" s="13" t="n">
        <v>1</v>
      </c>
      <c r="D209" s="14" t="n">
        <v>13.5</v>
      </c>
      <c r="E209" s="14" t="n">
        <v>13.5</v>
      </c>
      <c r="F209" s="14" t="n">
        <v>12.1</v>
      </c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35462</v>
      </c>
      <c r="B210" s="17" t="n">
        <v>1997</v>
      </c>
      <c r="C210" s="17" t="n">
        <v>2</v>
      </c>
      <c r="D210" s="18" t="n">
        <v>13.4</v>
      </c>
      <c r="E210" s="18" t="n">
        <v>13.5</v>
      </c>
      <c r="F210" s="18" t="n">
        <v>12.5</v>
      </c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35490</v>
      </c>
      <c r="B211" s="13" t="n">
        <v>1997</v>
      </c>
      <c r="C211" s="13" t="n">
        <v>3</v>
      </c>
      <c r="D211" s="14" t="n">
        <v>13.6</v>
      </c>
      <c r="E211" s="14" t="n">
        <v>13.6</v>
      </c>
      <c r="F211" s="14" t="n">
        <v>12.4</v>
      </c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35521</v>
      </c>
      <c r="B212" s="17" t="n">
        <v>1997</v>
      </c>
      <c r="C212" s="17" t="n">
        <v>4</v>
      </c>
      <c r="D212" s="18" t="n">
        <v>13.2</v>
      </c>
      <c r="E212" s="18" t="n">
        <v>13.2</v>
      </c>
      <c r="F212" s="18" t="n">
        <v>11.6</v>
      </c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35551</v>
      </c>
      <c r="B213" s="13" t="n">
        <v>1997</v>
      </c>
      <c r="C213" s="13" t="n">
        <v>5</v>
      </c>
      <c r="D213" s="14" t="n">
        <v>12.7</v>
      </c>
      <c r="E213" s="14" t="n">
        <v>12.8</v>
      </c>
      <c r="F213" s="14" t="n">
        <v>10.9</v>
      </c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35582</v>
      </c>
      <c r="B214" s="17" t="n">
        <v>1997</v>
      </c>
      <c r="C214" s="17" t="n">
        <v>6</v>
      </c>
      <c r="D214" s="18" t="n">
        <v>12.2</v>
      </c>
      <c r="E214" s="18" t="n">
        <v>12.3</v>
      </c>
      <c r="F214" s="18" t="n">
        <v>10.8</v>
      </c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35612</v>
      </c>
      <c r="B215" s="13" t="n">
        <v>1997</v>
      </c>
      <c r="C215" s="13" t="n">
        <v>7</v>
      </c>
      <c r="D215" s="14" t="n">
        <v>12.1</v>
      </c>
      <c r="E215" s="14" t="n">
        <v>12.2</v>
      </c>
      <c r="F215" s="14" t="n">
        <v>10.8</v>
      </c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35643</v>
      </c>
      <c r="B216" s="17" t="n">
        <v>1997</v>
      </c>
      <c r="C216" s="17" t="n">
        <v>8</v>
      </c>
      <c r="D216" s="18" t="n">
        <v>12.7</v>
      </c>
      <c r="E216" s="18" t="n">
        <v>12.8</v>
      </c>
      <c r="F216" s="18" t="n">
        <v>11.9</v>
      </c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35674</v>
      </c>
      <c r="B217" s="13" t="n">
        <v>1997</v>
      </c>
      <c r="C217" s="13" t="n">
        <v>9</v>
      </c>
      <c r="D217" s="14" t="n">
        <v>13.1</v>
      </c>
      <c r="E217" s="14" t="n">
        <v>13.1</v>
      </c>
      <c r="F217" s="14" t="n">
        <v>12.7</v>
      </c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35704</v>
      </c>
      <c r="B218" s="17" t="n">
        <v>1997</v>
      </c>
      <c r="C218" s="17" t="n">
        <v>10</v>
      </c>
      <c r="D218" s="18" t="n">
        <v>14.1</v>
      </c>
      <c r="E218" s="18" t="n">
        <v>14.1</v>
      </c>
      <c r="F218" s="18" t="n">
        <v>13.2</v>
      </c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35735</v>
      </c>
      <c r="B219" s="13" t="n">
        <v>1997</v>
      </c>
      <c r="C219" s="13" t="n">
        <v>11</v>
      </c>
      <c r="D219" s="14" t="n">
        <v>14.7</v>
      </c>
      <c r="E219" s="14" t="n">
        <v>14.7</v>
      </c>
      <c r="F219" s="14" t="n">
        <v>13.6</v>
      </c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35765</v>
      </c>
      <c r="B220" s="17" t="n">
        <v>1997</v>
      </c>
      <c r="C220" s="17" t="n">
        <v>12</v>
      </c>
      <c r="D220" s="18" t="n">
        <v>14.8</v>
      </c>
      <c r="E220" s="18" t="n">
        <v>14.8</v>
      </c>
      <c r="F220" s="18" t="n">
        <v>13.6</v>
      </c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35796</v>
      </c>
      <c r="B221" s="13" t="n">
        <v>1998</v>
      </c>
      <c r="C221" s="13" t="n">
        <v>1</v>
      </c>
      <c r="D221" s="14" t="n">
        <v>14.7</v>
      </c>
      <c r="E221" s="14" t="n">
        <v>14.7</v>
      </c>
      <c r="F221" s="14" t="n">
        <v>13.5</v>
      </c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35827</v>
      </c>
      <c r="B222" s="17" t="n">
        <v>1998</v>
      </c>
      <c r="C222" s="17" t="n">
        <v>2</v>
      </c>
      <c r="D222" s="18" t="n">
        <v>14.9</v>
      </c>
      <c r="E222" s="18" t="n">
        <v>14.9</v>
      </c>
      <c r="F222" s="18" t="n">
        <v>13.5</v>
      </c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35855</v>
      </c>
      <c r="B223" s="13" t="n">
        <v>1998</v>
      </c>
      <c r="C223" s="13" t="n">
        <v>3</v>
      </c>
      <c r="D223" s="14" t="n">
        <v>14.5</v>
      </c>
      <c r="E223" s="14" t="n">
        <v>14.5</v>
      </c>
      <c r="F223" s="14" t="n">
        <v>12.9</v>
      </c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35886</v>
      </c>
      <c r="B224" s="17" t="n">
        <v>1998</v>
      </c>
      <c r="C224" s="17" t="n">
        <v>4</v>
      </c>
      <c r="D224" s="18" t="n">
        <v>14</v>
      </c>
      <c r="E224" s="18" t="n">
        <v>14.1</v>
      </c>
      <c r="F224" s="18" t="n">
        <v>12.1</v>
      </c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35916</v>
      </c>
      <c r="B225" s="13" t="n">
        <v>1998</v>
      </c>
      <c r="C225" s="13" t="n">
        <v>5</v>
      </c>
      <c r="D225" s="14" t="n">
        <v>13.3</v>
      </c>
      <c r="E225" s="14" t="n">
        <v>13.4</v>
      </c>
      <c r="F225" s="14" t="n">
        <v>11.4</v>
      </c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35947</v>
      </c>
      <c r="B226" s="17" t="n">
        <v>1998</v>
      </c>
      <c r="C226" s="17" t="n">
        <v>6</v>
      </c>
      <c r="D226" s="18" t="n">
        <v>14.2</v>
      </c>
      <c r="E226" s="18" t="n">
        <v>14.2</v>
      </c>
      <c r="F226" s="18" t="n">
        <v>13.1</v>
      </c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35977</v>
      </c>
      <c r="B227" s="13" t="n">
        <v>1998</v>
      </c>
      <c r="C227" s="13" t="n">
        <v>7</v>
      </c>
      <c r="D227" s="14" t="n">
        <v>14.3</v>
      </c>
      <c r="E227" s="14" t="n">
        <v>14.3</v>
      </c>
      <c r="F227" s="14" t="n">
        <v>14.1</v>
      </c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36008</v>
      </c>
      <c r="B228" s="17" t="n">
        <v>1998</v>
      </c>
      <c r="C228" s="17" t="n">
        <v>8</v>
      </c>
      <c r="D228" s="18" t="n">
        <v>15.5</v>
      </c>
      <c r="E228" s="18" t="n">
        <v>15.6</v>
      </c>
      <c r="F228" s="18" t="n">
        <v>14.7</v>
      </c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36039</v>
      </c>
      <c r="B229" s="13" t="n">
        <v>1998</v>
      </c>
      <c r="C229" s="13" t="n">
        <v>9</v>
      </c>
      <c r="D229" s="14" t="n">
        <v>16.8</v>
      </c>
      <c r="E229" s="14" t="n">
        <v>16.8</v>
      </c>
      <c r="F229" s="14" t="n">
        <v>15.4</v>
      </c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36069</v>
      </c>
      <c r="B230" s="17" t="n">
        <v>1998</v>
      </c>
      <c r="C230" s="17" t="n">
        <v>10</v>
      </c>
      <c r="D230" s="18" t="n">
        <v>17.8</v>
      </c>
      <c r="E230" s="18" t="n">
        <v>17.8</v>
      </c>
      <c r="F230" s="18" t="n">
        <v>16.8</v>
      </c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36100</v>
      </c>
      <c r="B231" s="13" t="n">
        <v>1998</v>
      </c>
      <c r="C231" s="13" t="n">
        <v>11</v>
      </c>
      <c r="D231" s="14" t="n">
        <v>17.9</v>
      </c>
      <c r="E231" s="14" t="n">
        <v>17.9</v>
      </c>
      <c r="F231" s="14" t="n">
        <v>17.4</v>
      </c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36130</v>
      </c>
      <c r="B232" s="17" t="n">
        <v>1998</v>
      </c>
      <c r="C232" s="17" t="n">
        <v>12</v>
      </c>
      <c r="D232" s="18" t="n">
        <v>18.1</v>
      </c>
      <c r="E232" s="18" t="n">
        <v>18.1</v>
      </c>
      <c r="F232" s="18" t="n">
        <v>17.4</v>
      </c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36161</v>
      </c>
      <c r="B233" s="13" t="n">
        <v>1999</v>
      </c>
      <c r="C233" s="13" t="n">
        <v>1</v>
      </c>
      <c r="D233" s="14" t="n">
        <v>17.4</v>
      </c>
      <c r="E233" s="14" t="n">
        <v>17.5</v>
      </c>
      <c r="F233" s="14" t="n">
        <v>15.4</v>
      </c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36192</v>
      </c>
      <c r="B234" s="17" t="n">
        <v>1999</v>
      </c>
      <c r="C234" s="17" t="n">
        <v>2</v>
      </c>
      <c r="D234" s="18" t="n">
        <v>15.2</v>
      </c>
      <c r="E234" s="18" t="n">
        <v>15.3</v>
      </c>
      <c r="F234" s="18" t="n">
        <v>12.4</v>
      </c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36220</v>
      </c>
      <c r="B235" s="13" t="n">
        <v>1999</v>
      </c>
      <c r="C235" s="13" t="n">
        <v>3</v>
      </c>
      <c r="D235" s="14" t="n">
        <v>15.2</v>
      </c>
      <c r="E235" s="14" t="n">
        <v>15.2</v>
      </c>
      <c r="F235" s="14" t="n">
        <v>12.5</v>
      </c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36251</v>
      </c>
      <c r="B236" s="17" t="n">
        <v>1999</v>
      </c>
      <c r="C236" s="17" t="n">
        <v>4</v>
      </c>
      <c r="D236" s="18" t="n">
        <v>12.6</v>
      </c>
      <c r="E236" s="18" t="n">
        <v>12.6</v>
      </c>
      <c r="F236" s="18" t="n">
        <v>12</v>
      </c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36281</v>
      </c>
      <c r="B237" s="13" t="n">
        <v>1999</v>
      </c>
      <c r="C237" s="13" t="n">
        <v>5</v>
      </c>
      <c r="D237" s="14" t="n">
        <v>12.8</v>
      </c>
      <c r="E237" s="14" t="n">
        <v>12.8</v>
      </c>
      <c r="F237" s="14" t="n">
        <v>11.6</v>
      </c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36312</v>
      </c>
      <c r="B238" s="17" t="n">
        <v>1999</v>
      </c>
      <c r="C238" s="17" t="n">
        <v>6</v>
      </c>
      <c r="D238" s="18" t="n">
        <v>13.1</v>
      </c>
      <c r="E238" s="18" t="n">
        <v>13.2</v>
      </c>
      <c r="F238" s="18" t="n">
        <v>12</v>
      </c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36342</v>
      </c>
      <c r="B239" s="13" t="n">
        <v>1999</v>
      </c>
      <c r="C239" s="13" t="n">
        <v>7</v>
      </c>
      <c r="D239" s="14" t="n">
        <v>13.8</v>
      </c>
      <c r="E239" s="14" t="n">
        <v>13.9</v>
      </c>
      <c r="F239" s="14" t="n">
        <v>13.4</v>
      </c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36373</v>
      </c>
      <c r="B240" s="17" t="n">
        <v>1999</v>
      </c>
      <c r="C240" s="17" t="n">
        <v>8</v>
      </c>
      <c r="D240" s="18" t="n">
        <v>15</v>
      </c>
      <c r="E240" s="18" t="n">
        <v>15</v>
      </c>
      <c r="F240" s="18" t="n">
        <v>15.4</v>
      </c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36404</v>
      </c>
      <c r="B241" s="13" t="n">
        <v>1999</v>
      </c>
      <c r="C241" s="13" t="n">
        <v>9</v>
      </c>
      <c r="D241" s="14" t="n">
        <v>15.7</v>
      </c>
      <c r="E241" s="14" t="n">
        <v>15.8</v>
      </c>
      <c r="F241" s="14" t="n">
        <v>15.1</v>
      </c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36434</v>
      </c>
      <c r="B242" s="17" t="n">
        <v>1999</v>
      </c>
      <c r="C242" s="17" t="n">
        <v>10</v>
      </c>
      <c r="D242" s="18" t="n">
        <v>14.9</v>
      </c>
      <c r="E242" s="18" t="n">
        <v>15</v>
      </c>
      <c r="F242" s="18" t="n">
        <v>12.7</v>
      </c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36465</v>
      </c>
      <c r="B243" s="13" t="n">
        <v>1999</v>
      </c>
      <c r="C243" s="13" t="n">
        <v>11</v>
      </c>
      <c r="D243" s="14" t="n">
        <v>14.4</v>
      </c>
      <c r="E243" s="14" t="n">
        <v>14.5</v>
      </c>
      <c r="F243" s="14" t="n">
        <v>11.1</v>
      </c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36495</v>
      </c>
      <c r="B244" s="17" t="n">
        <v>1999</v>
      </c>
      <c r="C244" s="17" t="n">
        <v>12</v>
      </c>
      <c r="D244" s="18" t="n">
        <v>12.2</v>
      </c>
      <c r="E244" s="18" t="n">
        <v>12.3</v>
      </c>
      <c r="F244" s="18" t="n">
        <v>10.8</v>
      </c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36526</v>
      </c>
      <c r="B245" s="13" t="n">
        <v>2000</v>
      </c>
      <c r="C245" s="13" t="n">
        <v>1</v>
      </c>
      <c r="D245" s="14" t="n">
        <v>12</v>
      </c>
      <c r="E245" s="14" t="n">
        <v>12</v>
      </c>
      <c r="F245" s="14" t="n">
        <v>10.7</v>
      </c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36557</v>
      </c>
      <c r="B246" s="17" t="n">
        <v>2000</v>
      </c>
      <c r="C246" s="17" t="n">
        <v>2</v>
      </c>
      <c r="D246" s="18" t="n">
        <v>11.8</v>
      </c>
      <c r="E246" s="18" t="n">
        <v>11.8</v>
      </c>
      <c r="F246" s="18" t="n">
        <v>10.3</v>
      </c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36586</v>
      </c>
      <c r="B247" s="13" t="n">
        <v>2000</v>
      </c>
      <c r="C247" s="13" t="n">
        <v>3</v>
      </c>
      <c r="D247" s="14" t="n">
        <v>11.8</v>
      </c>
      <c r="E247" s="14" t="n">
        <v>11.9</v>
      </c>
      <c r="F247" s="14" t="n">
        <v>10.1</v>
      </c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36617</v>
      </c>
      <c r="B248" s="17" t="n">
        <v>2000</v>
      </c>
      <c r="C248" s="17" t="n">
        <v>4</v>
      </c>
      <c r="D248" s="18" t="n">
        <v>11.9</v>
      </c>
      <c r="E248" s="18" t="n">
        <v>11.9</v>
      </c>
      <c r="F248" s="18" t="n">
        <v>10.2</v>
      </c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36647</v>
      </c>
      <c r="B249" s="13" t="n">
        <v>2000</v>
      </c>
      <c r="C249" s="13" t="n">
        <v>5</v>
      </c>
      <c r="D249" s="14" t="n">
        <v>12</v>
      </c>
      <c r="E249" s="14" t="n">
        <v>12.1</v>
      </c>
      <c r="F249" s="14" t="n">
        <v>10.1</v>
      </c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36678</v>
      </c>
      <c r="B250" s="17" t="n">
        <v>2000</v>
      </c>
      <c r="C250" s="17" t="n">
        <v>6</v>
      </c>
      <c r="D250" s="18" t="n">
        <v>12.3</v>
      </c>
      <c r="E250" s="18" t="n">
        <v>12.3</v>
      </c>
      <c r="F250" s="18" t="n">
        <v>10.4</v>
      </c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36708</v>
      </c>
      <c r="B251" s="13" t="n">
        <v>2000</v>
      </c>
      <c r="C251" s="13" t="n">
        <v>7</v>
      </c>
      <c r="D251" s="14" t="n">
        <v>12.6</v>
      </c>
      <c r="E251" s="14" t="n">
        <v>12.6</v>
      </c>
      <c r="F251" s="14" t="n">
        <v>10.8</v>
      </c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36739</v>
      </c>
      <c r="B252" s="17" t="n">
        <v>2000</v>
      </c>
      <c r="C252" s="17" t="n">
        <v>8</v>
      </c>
      <c r="D252" s="18" t="n">
        <v>12.5</v>
      </c>
      <c r="E252" s="18" t="n">
        <v>12.5</v>
      </c>
      <c r="F252" s="18" t="n">
        <v>10.7</v>
      </c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36770</v>
      </c>
      <c r="B253" s="13" t="n">
        <v>2000</v>
      </c>
      <c r="C253" s="13" t="n">
        <v>9</v>
      </c>
      <c r="D253" s="14" t="n">
        <v>12.9</v>
      </c>
      <c r="E253" s="14" t="n">
        <v>13</v>
      </c>
      <c r="F253" s="14" t="n">
        <v>11.4</v>
      </c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36800</v>
      </c>
      <c r="B254" s="17" t="n">
        <v>2000</v>
      </c>
      <c r="C254" s="17" t="n">
        <v>10</v>
      </c>
      <c r="D254" s="18" t="n">
        <v>12.5</v>
      </c>
      <c r="E254" s="18" t="n">
        <v>12.6</v>
      </c>
      <c r="F254" s="18" t="n">
        <v>10.6</v>
      </c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36831</v>
      </c>
      <c r="B255" s="13" t="n">
        <v>2000</v>
      </c>
      <c r="C255" s="13" t="n">
        <v>11</v>
      </c>
      <c r="D255" s="14" t="n">
        <v>12.5</v>
      </c>
      <c r="E255" s="14" t="n">
        <v>12.6</v>
      </c>
      <c r="F255" s="14" t="n">
        <v>10.4</v>
      </c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36861</v>
      </c>
      <c r="B256" s="17" t="n">
        <v>2000</v>
      </c>
      <c r="C256" s="17" t="n">
        <v>12</v>
      </c>
      <c r="D256" s="18" t="n">
        <v>13</v>
      </c>
      <c r="E256" s="18" t="n">
        <v>13.1</v>
      </c>
      <c r="F256" s="18" t="n">
        <v>10.8</v>
      </c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36892</v>
      </c>
      <c r="B257" s="13" t="n">
        <v>2001</v>
      </c>
      <c r="C257" s="13" t="n">
        <v>1</v>
      </c>
      <c r="D257" s="14" t="n">
        <v>13</v>
      </c>
      <c r="E257" s="14" t="n">
        <v>13.1</v>
      </c>
      <c r="F257" s="14" t="n">
        <v>10.7</v>
      </c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36923</v>
      </c>
      <c r="B258" s="17" t="n">
        <v>2001</v>
      </c>
      <c r="C258" s="17" t="n">
        <v>2</v>
      </c>
      <c r="D258" s="18" t="n">
        <v>13.1</v>
      </c>
      <c r="E258" s="18" t="n">
        <v>13.1</v>
      </c>
      <c r="F258" s="18" t="n">
        <v>11.1</v>
      </c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36951</v>
      </c>
      <c r="B259" s="13" t="n">
        <v>2001</v>
      </c>
      <c r="C259" s="13" t="n">
        <v>3</v>
      </c>
      <c r="D259" s="14" t="n">
        <v>13.9</v>
      </c>
      <c r="E259" s="14" t="n">
        <v>14</v>
      </c>
      <c r="F259" s="14" t="n">
        <v>12.2</v>
      </c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36982</v>
      </c>
      <c r="B260" s="17" t="n">
        <v>2001</v>
      </c>
      <c r="C260" s="17" t="n">
        <v>4</v>
      </c>
      <c r="D260" s="18" t="n">
        <v>14.6</v>
      </c>
      <c r="E260" s="18" t="n">
        <v>14.6</v>
      </c>
      <c r="F260" s="18" t="n">
        <v>12.8</v>
      </c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37012</v>
      </c>
      <c r="B261" s="13" t="n">
        <v>2001</v>
      </c>
      <c r="C261" s="13" t="n">
        <v>5</v>
      </c>
      <c r="D261" s="14" t="n">
        <v>15.5</v>
      </c>
      <c r="E261" s="14" t="n">
        <v>15.5</v>
      </c>
      <c r="F261" s="14" t="n">
        <v>14.2</v>
      </c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37043</v>
      </c>
      <c r="B262" s="17" t="n">
        <v>2001</v>
      </c>
      <c r="C262" s="17" t="n">
        <v>6</v>
      </c>
      <c r="D262" s="18" t="n">
        <v>16.2</v>
      </c>
      <c r="E262" s="18" t="n">
        <v>16.2</v>
      </c>
      <c r="F262" s="18" t="n">
        <v>14.9</v>
      </c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37073</v>
      </c>
      <c r="B263" s="13" t="n">
        <v>2001</v>
      </c>
      <c r="C263" s="13" t="n">
        <v>7</v>
      </c>
      <c r="D263" s="14" t="n">
        <v>16.2</v>
      </c>
      <c r="E263" s="14" t="n">
        <v>16.2</v>
      </c>
      <c r="F263" s="14" t="n">
        <v>14.9</v>
      </c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37104</v>
      </c>
      <c r="B264" s="17" t="n">
        <v>2001</v>
      </c>
      <c r="C264" s="17" t="n">
        <v>8</v>
      </c>
      <c r="D264" s="18" t="n">
        <v>16.5</v>
      </c>
      <c r="E264" s="18" t="n">
        <v>16.5</v>
      </c>
      <c r="F264" s="18" t="n">
        <v>15.2</v>
      </c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37135</v>
      </c>
      <c r="B265" s="13" t="n">
        <v>2001</v>
      </c>
      <c r="C265" s="13" t="n">
        <v>9</v>
      </c>
      <c r="D265" s="14" t="n">
        <v>17.1</v>
      </c>
      <c r="E265" s="14" t="n">
        <v>17.1</v>
      </c>
      <c r="F265" s="14" t="n">
        <v>16</v>
      </c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37165</v>
      </c>
      <c r="B266" s="17" t="n">
        <v>2001</v>
      </c>
      <c r="C266" s="17" t="n">
        <v>10</v>
      </c>
      <c r="D266" s="18" t="n">
        <v>15.6</v>
      </c>
      <c r="E266" s="18" t="n">
        <v>15.6</v>
      </c>
      <c r="F266" s="18" t="n">
        <v>14.3</v>
      </c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37196</v>
      </c>
      <c r="B267" s="13" t="n">
        <v>2001</v>
      </c>
      <c r="C267" s="13" t="n">
        <v>11</v>
      </c>
      <c r="D267" s="14" t="n">
        <v>14.4</v>
      </c>
      <c r="E267" s="14" t="n">
        <v>14.4</v>
      </c>
      <c r="F267" s="14" t="n">
        <v>12.4</v>
      </c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37226</v>
      </c>
      <c r="B268" s="17" t="n">
        <v>2001</v>
      </c>
      <c r="C268" s="17" t="n">
        <v>12</v>
      </c>
      <c r="D268" s="18" t="n">
        <v>13.5</v>
      </c>
      <c r="E268" s="18" t="n">
        <v>13.5</v>
      </c>
      <c r="F268" s="18" t="n">
        <v>12.5</v>
      </c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37257</v>
      </c>
      <c r="B269" s="13" t="n">
        <v>2002</v>
      </c>
      <c r="C269" s="13" t="n">
        <v>1</v>
      </c>
      <c r="D269" s="14" t="n">
        <v>13.6</v>
      </c>
      <c r="E269" s="14" t="n">
        <v>13.6</v>
      </c>
      <c r="F269" s="14" t="n">
        <v>12.5</v>
      </c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37288</v>
      </c>
      <c r="B270" s="17" t="n">
        <v>2002</v>
      </c>
      <c r="C270" s="17" t="n">
        <v>2</v>
      </c>
      <c r="D270" s="18" t="n">
        <v>13.1</v>
      </c>
      <c r="E270" s="18" t="n">
        <v>13.1</v>
      </c>
      <c r="F270" s="18" t="n">
        <v>11.9</v>
      </c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37316</v>
      </c>
      <c r="B271" s="13" t="n">
        <v>2002</v>
      </c>
      <c r="C271" s="13" t="n">
        <v>3</v>
      </c>
      <c r="D271" s="14" t="n">
        <v>12.6</v>
      </c>
      <c r="E271" s="14" t="n">
        <v>12.6</v>
      </c>
      <c r="F271" s="14" t="n">
        <v>11.4</v>
      </c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37347</v>
      </c>
      <c r="B272" s="17" t="n">
        <v>2002</v>
      </c>
      <c r="C272" s="17" t="n">
        <v>4</v>
      </c>
      <c r="D272" s="18" t="n">
        <v>12.5</v>
      </c>
      <c r="E272" s="18" t="n">
        <v>12.5</v>
      </c>
      <c r="F272" s="18" t="n">
        <v>11.3</v>
      </c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37377</v>
      </c>
      <c r="B273" s="13" t="n">
        <v>2002</v>
      </c>
      <c r="C273" s="13" t="n">
        <v>5</v>
      </c>
      <c r="D273" s="14" t="n">
        <v>12.1</v>
      </c>
      <c r="E273" s="14" t="n">
        <v>12.1</v>
      </c>
      <c r="F273" s="14" t="n">
        <v>11.1</v>
      </c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37408</v>
      </c>
      <c r="B274" s="17" t="n">
        <v>2002</v>
      </c>
      <c r="C274" s="17" t="n">
        <v>6</v>
      </c>
      <c r="D274" s="18" t="n">
        <v>11.5</v>
      </c>
      <c r="E274" s="18" t="n">
        <v>11.5</v>
      </c>
      <c r="F274" s="18" t="n">
        <v>10.3</v>
      </c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37438</v>
      </c>
      <c r="B275" s="13" t="n">
        <v>2002</v>
      </c>
      <c r="C275" s="13" t="n">
        <v>7</v>
      </c>
      <c r="D275" s="14" t="n">
        <v>11.1</v>
      </c>
      <c r="E275" s="14" t="n">
        <v>11.1</v>
      </c>
      <c r="F275" s="14" t="n">
        <v>9.6</v>
      </c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37469</v>
      </c>
      <c r="B276" s="17" t="n">
        <v>2002</v>
      </c>
      <c r="C276" s="17" t="n">
        <v>8</v>
      </c>
      <c r="D276" s="18" t="n">
        <v>11.3</v>
      </c>
      <c r="E276" s="18" t="n">
        <v>11.3</v>
      </c>
      <c r="F276" s="18" t="n">
        <v>9.9</v>
      </c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37500</v>
      </c>
      <c r="B277" s="13" t="n">
        <v>2002</v>
      </c>
      <c r="C277" s="13" t="n">
        <v>9</v>
      </c>
      <c r="D277" s="14" t="n">
        <v>11.6</v>
      </c>
      <c r="E277" s="14" t="n">
        <v>11.6</v>
      </c>
      <c r="F277" s="14" t="n">
        <v>10.4</v>
      </c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37530</v>
      </c>
      <c r="B278" s="17" t="n">
        <v>2002</v>
      </c>
      <c r="C278" s="17" t="n">
        <v>10</v>
      </c>
      <c r="D278" s="18" t="n">
        <v>12.1</v>
      </c>
      <c r="E278" s="18" t="n">
        <v>12.1</v>
      </c>
      <c r="F278" s="18" t="n">
        <v>11.3</v>
      </c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37561</v>
      </c>
      <c r="B279" s="13" t="n">
        <v>2002</v>
      </c>
      <c r="C279" s="13" t="n">
        <v>11</v>
      </c>
      <c r="D279" s="14" t="n">
        <v>11.9</v>
      </c>
      <c r="E279" s="14" t="n">
        <v>11.9</v>
      </c>
      <c r="F279" s="14" t="n">
        <v>10.7</v>
      </c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37591</v>
      </c>
      <c r="B280" s="17" t="n">
        <v>2002</v>
      </c>
      <c r="C280" s="17" t="n">
        <v>12</v>
      </c>
      <c r="D280" s="18" t="n">
        <v>11.9</v>
      </c>
      <c r="E280" s="18" t="n">
        <v>11.9</v>
      </c>
      <c r="F280" s="18" t="n">
        <v>10.7</v>
      </c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37622</v>
      </c>
      <c r="B281" s="13" t="n">
        <v>2003</v>
      </c>
      <c r="C281" s="13" t="n">
        <v>1</v>
      </c>
      <c r="D281" s="14" t="n">
        <v>11.8</v>
      </c>
      <c r="E281" s="14" t="n">
        <v>11.8</v>
      </c>
      <c r="F281" s="14" t="n">
        <v>10.7</v>
      </c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37653</v>
      </c>
      <c r="B282" s="17" t="n">
        <v>2003</v>
      </c>
      <c r="C282" s="17" t="n">
        <v>2</v>
      </c>
      <c r="D282" s="18" t="n">
        <v>11.3</v>
      </c>
      <c r="E282" s="18" t="n">
        <v>11.4</v>
      </c>
      <c r="F282" s="18" t="n">
        <v>10.4</v>
      </c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37681</v>
      </c>
      <c r="B283" s="13" t="n">
        <v>2003</v>
      </c>
      <c r="C283" s="13" t="n">
        <v>3</v>
      </c>
      <c r="D283" s="14" t="n">
        <v>11</v>
      </c>
      <c r="E283" s="14" t="n">
        <v>11</v>
      </c>
      <c r="F283" s="14" t="n">
        <v>9.9</v>
      </c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37712</v>
      </c>
      <c r="B284" s="17" t="n">
        <v>2003</v>
      </c>
      <c r="C284" s="17" t="n">
        <v>4</v>
      </c>
      <c r="D284" s="18" t="n">
        <v>11</v>
      </c>
      <c r="E284" s="18" t="n">
        <v>11</v>
      </c>
      <c r="F284" s="18" t="n">
        <v>10</v>
      </c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37742</v>
      </c>
      <c r="B285" s="13" t="n">
        <v>2003</v>
      </c>
      <c r="C285" s="13" t="n">
        <v>5</v>
      </c>
      <c r="D285" s="14" t="n">
        <v>11</v>
      </c>
      <c r="E285" s="14" t="n">
        <v>11</v>
      </c>
      <c r="F285" s="14" t="n">
        <v>10.2</v>
      </c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37773</v>
      </c>
      <c r="B286" s="17" t="n">
        <v>2003</v>
      </c>
      <c r="C286" s="17" t="n">
        <v>6</v>
      </c>
      <c r="D286" s="18" t="n">
        <v>11</v>
      </c>
      <c r="E286" s="18" t="n">
        <v>11</v>
      </c>
      <c r="F286" s="18" t="n">
        <v>10.2</v>
      </c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37803</v>
      </c>
      <c r="B287" s="13" t="n">
        <v>2003</v>
      </c>
      <c r="C287" s="13" t="n">
        <v>7</v>
      </c>
      <c r="D287" s="14" t="n">
        <v>12.1</v>
      </c>
      <c r="E287" s="14" t="n">
        <v>12.1</v>
      </c>
      <c r="F287" s="14" t="n">
        <v>11.8</v>
      </c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37834</v>
      </c>
      <c r="B288" s="17" t="n">
        <v>2003</v>
      </c>
      <c r="C288" s="17" t="n">
        <v>8</v>
      </c>
      <c r="D288" s="18" t="n">
        <v>13.3</v>
      </c>
      <c r="E288" s="18" t="n">
        <v>13.3</v>
      </c>
      <c r="F288" s="18" t="n">
        <v>13.2</v>
      </c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37865</v>
      </c>
      <c r="B289" s="13" t="n">
        <v>2003</v>
      </c>
      <c r="C289" s="13" t="n">
        <v>9</v>
      </c>
      <c r="D289" s="14" t="n">
        <v>14.5</v>
      </c>
      <c r="E289" s="14" t="n">
        <v>14.5</v>
      </c>
      <c r="F289" s="14" t="n">
        <v>14.1</v>
      </c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37895</v>
      </c>
      <c r="B290" s="17" t="n">
        <v>2003</v>
      </c>
      <c r="C290" s="17" t="n">
        <v>10</v>
      </c>
      <c r="D290" s="18" t="n">
        <v>15</v>
      </c>
      <c r="E290" s="18" t="n">
        <v>15</v>
      </c>
      <c r="F290" s="18" t="n">
        <v>14.6</v>
      </c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37926</v>
      </c>
      <c r="B291" s="13" t="n">
        <v>2003</v>
      </c>
      <c r="C291" s="13" t="n">
        <v>11</v>
      </c>
      <c r="D291" s="14" t="n">
        <v>14.4</v>
      </c>
      <c r="E291" s="14" t="n">
        <v>14.4</v>
      </c>
      <c r="F291" s="14" t="n">
        <v>13.7</v>
      </c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37956</v>
      </c>
      <c r="B292" s="17" t="n">
        <v>2003</v>
      </c>
      <c r="C292" s="17" t="n">
        <v>12</v>
      </c>
      <c r="D292" s="18" t="n">
        <v>13.8</v>
      </c>
      <c r="E292" s="18" t="n">
        <v>13.8</v>
      </c>
      <c r="F292" s="18" t="n">
        <v>12.7</v>
      </c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37987</v>
      </c>
      <c r="B293" s="13" t="n">
        <v>2004</v>
      </c>
      <c r="C293" s="13" t="n">
        <v>1</v>
      </c>
      <c r="D293" s="14" t="n">
        <v>13.2</v>
      </c>
      <c r="E293" s="14" t="n">
        <v>13.2</v>
      </c>
      <c r="F293" s="14" t="n">
        <v>12.4</v>
      </c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38018</v>
      </c>
      <c r="B294" s="17" t="n">
        <v>2004</v>
      </c>
      <c r="C294" s="17" t="n">
        <v>2</v>
      </c>
      <c r="D294" s="18" t="n">
        <v>13.6</v>
      </c>
      <c r="E294" s="18" t="n">
        <v>13.6</v>
      </c>
      <c r="F294" s="18" t="n">
        <v>12.8</v>
      </c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38047</v>
      </c>
      <c r="B295" s="13" t="n">
        <v>2004</v>
      </c>
      <c r="C295" s="13" t="n">
        <v>3</v>
      </c>
      <c r="D295" s="14" t="n">
        <v>15.5</v>
      </c>
      <c r="E295" s="14" t="n">
        <v>15.5</v>
      </c>
      <c r="F295" s="14" t="n">
        <v>15.5</v>
      </c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38078</v>
      </c>
      <c r="B296" s="17" t="n">
        <v>2004</v>
      </c>
      <c r="C296" s="17" t="n">
        <v>4</v>
      </c>
      <c r="D296" s="18" t="n">
        <v>18.1</v>
      </c>
      <c r="E296" s="18" t="n">
        <v>18.1</v>
      </c>
      <c r="F296" s="18" t="n">
        <v>19</v>
      </c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38108</v>
      </c>
      <c r="B297" s="13" t="n">
        <v>2004</v>
      </c>
      <c r="C297" s="13" t="n">
        <v>5</v>
      </c>
      <c r="D297" s="14" t="n">
        <v>19.3</v>
      </c>
      <c r="E297" s="14" t="n">
        <v>19.3</v>
      </c>
      <c r="F297" s="14" t="n">
        <v>18.8</v>
      </c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38139</v>
      </c>
      <c r="B298" s="17" t="n">
        <v>2004</v>
      </c>
      <c r="C298" s="17" t="n">
        <v>6</v>
      </c>
      <c r="D298" s="18" t="n">
        <v>18.2</v>
      </c>
      <c r="E298" s="18" t="n">
        <v>18.2</v>
      </c>
      <c r="F298" s="18" t="n">
        <v>16.8</v>
      </c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38169</v>
      </c>
      <c r="B299" s="13" t="n">
        <v>2004</v>
      </c>
      <c r="C299" s="13" t="n">
        <v>7</v>
      </c>
      <c r="D299" s="14" t="n">
        <v>16.1</v>
      </c>
      <c r="E299" s="14" t="n">
        <v>16.1</v>
      </c>
      <c r="F299" s="14" t="n">
        <v>14.2</v>
      </c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38200</v>
      </c>
      <c r="B300" s="17" t="n">
        <v>2004</v>
      </c>
      <c r="C300" s="17" t="n">
        <v>8</v>
      </c>
      <c r="D300" s="18" t="n">
        <v>14.9</v>
      </c>
      <c r="E300" s="18" t="n">
        <v>14.9</v>
      </c>
      <c r="F300" s="18" t="n">
        <v>14.2</v>
      </c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38231</v>
      </c>
      <c r="B301" s="13" t="n">
        <v>2004</v>
      </c>
      <c r="C301" s="13" t="n">
        <v>9</v>
      </c>
      <c r="D301" s="14" t="n">
        <v>15.5</v>
      </c>
      <c r="E301" s="14" t="n">
        <v>15.5</v>
      </c>
      <c r="F301" s="14" t="n">
        <v>14.7</v>
      </c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38261</v>
      </c>
      <c r="B302" s="17" t="n">
        <v>2004</v>
      </c>
      <c r="C302" s="17" t="n">
        <v>10</v>
      </c>
      <c r="D302" s="18" t="n">
        <v>15.6</v>
      </c>
      <c r="E302" s="18" t="n">
        <v>15.6</v>
      </c>
      <c r="F302" s="18" t="n">
        <v>14.9</v>
      </c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38292</v>
      </c>
      <c r="B303" s="13" t="n">
        <v>2004</v>
      </c>
      <c r="C303" s="13" t="n">
        <v>11</v>
      </c>
      <c r="D303" s="14" t="n">
        <v>16.2</v>
      </c>
      <c r="E303" s="14" t="n">
        <v>16.2</v>
      </c>
      <c r="F303" s="14" t="n">
        <v>15.9</v>
      </c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38322</v>
      </c>
      <c r="B304" s="17" t="n">
        <v>2004</v>
      </c>
      <c r="C304" s="17" t="n">
        <v>12</v>
      </c>
      <c r="D304" s="18" t="n">
        <v>16.4</v>
      </c>
      <c r="E304" s="18" t="n">
        <v>16.4</v>
      </c>
      <c r="F304" s="18" t="n">
        <v>16.1</v>
      </c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38353</v>
      </c>
      <c r="B305" s="13" t="n">
        <v>2005</v>
      </c>
      <c r="C305" s="13" t="n">
        <v>1</v>
      </c>
      <c r="D305" s="14" t="n">
        <v>16.1</v>
      </c>
      <c r="E305" s="14" t="n">
        <v>16.1</v>
      </c>
      <c r="F305" s="14" t="n">
        <v>15.3</v>
      </c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38384</v>
      </c>
      <c r="B306" s="17" t="n">
        <v>2005</v>
      </c>
      <c r="C306" s="17" t="n">
        <v>2</v>
      </c>
      <c r="D306" s="18" t="n">
        <v>15.4</v>
      </c>
      <c r="E306" s="18" t="n">
        <v>15.4</v>
      </c>
      <c r="F306" s="18" t="n">
        <v>14.9</v>
      </c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38412</v>
      </c>
      <c r="B307" s="13" t="n">
        <v>2005</v>
      </c>
      <c r="C307" s="13" t="n">
        <v>3</v>
      </c>
      <c r="D307" s="14" t="n">
        <v>15.5</v>
      </c>
      <c r="E307" s="14" t="n">
        <v>15.5</v>
      </c>
      <c r="F307" s="14" t="n">
        <v>14.7</v>
      </c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38443</v>
      </c>
      <c r="B308" s="17" t="n">
        <v>2005</v>
      </c>
      <c r="C308" s="17" t="n">
        <v>4</v>
      </c>
      <c r="D308" s="18" t="n">
        <v>15.2</v>
      </c>
      <c r="E308" s="18" t="n">
        <v>15.2</v>
      </c>
      <c r="F308" s="18" t="n">
        <v>14.7</v>
      </c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38473</v>
      </c>
      <c r="B309" s="13" t="n">
        <v>2005</v>
      </c>
      <c r="C309" s="13" t="n">
        <v>5</v>
      </c>
      <c r="D309" s="14" t="n">
        <v>14.7</v>
      </c>
      <c r="E309" s="14" t="n">
        <v>14.7</v>
      </c>
      <c r="F309" s="14" t="n">
        <v>14</v>
      </c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38504</v>
      </c>
      <c r="B310" s="17" t="n">
        <v>2005</v>
      </c>
      <c r="C310" s="17" t="n">
        <v>6</v>
      </c>
      <c r="D310" s="18" t="n">
        <v>14.4</v>
      </c>
      <c r="E310" s="18" t="n">
        <v>14.4</v>
      </c>
      <c r="F310" s="18" t="n">
        <v>14</v>
      </c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38534</v>
      </c>
      <c r="B311" s="13" t="n">
        <v>2005</v>
      </c>
      <c r="C311" s="13" t="n">
        <v>7</v>
      </c>
      <c r="D311" s="14" t="n">
        <v>14.8</v>
      </c>
      <c r="E311" s="14" t="n">
        <v>14.8</v>
      </c>
      <c r="F311" s="14" t="n">
        <v>14.1</v>
      </c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38565</v>
      </c>
      <c r="B312" s="17" t="n">
        <v>2005</v>
      </c>
      <c r="C312" s="17" t="n">
        <v>8</v>
      </c>
      <c r="D312" s="18" t="n">
        <v>14.8</v>
      </c>
      <c r="E312" s="18" t="n">
        <v>14.8</v>
      </c>
      <c r="F312" s="18" t="n">
        <v>13.8</v>
      </c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38596</v>
      </c>
      <c r="B313" s="13" t="n">
        <v>2005</v>
      </c>
      <c r="C313" s="13" t="n">
        <v>9</v>
      </c>
      <c r="D313" s="14" t="n">
        <v>15.3</v>
      </c>
      <c r="E313" s="14" t="n">
        <v>15.3</v>
      </c>
      <c r="F313" s="14" t="n">
        <v>14.7</v>
      </c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38626</v>
      </c>
      <c r="B314" s="17" t="n">
        <v>2005</v>
      </c>
      <c r="C314" s="17" t="n">
        <v>10</v>
      </c>
      <c r="D314" s="18" t="n">
        <v>15.5</v>
      </c>
      <c r="E314" s="18" t="n">
        <v>15.5</v>
      </c>
      <c r="F314" s="18" t="n">
        <v>14.8</v>
      </c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38657</v>
      </c>
      <c r="B315" s="13" t="n">
        <v>2005</v>
      </c>
      <c r="C315" s="13" t="n">
        <v>11</v>
      </c>
      <c r="D315" s="14" t="n">
        <v>15.1</v>
      </c>
      <c r="E315" s="14" t="n">
        <v>15.1</v>
      </c>
      <c r="F315" s="14" t="n">
        <v>14.3</v>
      </c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38687</v>
      </c>
      <c r="B316" s="17" t="n">
        <v>2005</v>
      </c>
      <c r="C316" s="17" t="n">
        <v>12</v>
      </c>
      <c r="D316" s="18" t="n">
        <v>14.8</v>
      </c>
      <c r="E316" s="18" t="n">
        <v>14.8</v>
      </c>
      <c r="F316" s="18" t="n">
        <v>14.4</v>
      </c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38718</v>
      </c>
      <c r="B317" s="13" t="n">
        <v>2006</v>
      </c>
      <c r="C317" s="13" t="n">
        <v>1</v>
      </c>
      <c r="D317" s="14" t="n">
        <v>14.4</v>
      </c>
      <c r="E317" s="14" t="n">
        <v>14.4</v>
      </c>
      <c r="F317" s="14" t="n">
        <v>14</v>
      </c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38749</v>
      </c>
      <c r="B318" s="17" t="n">
        <v>2006</v>
      </c>
      <c r="C318" s="17" t="n">
        <v>2</v>
      </c>
      <c r="D318" s="18" t="n">
        <v>13.5</v>
      </c>
      <c r="E318" s="18" t="n">
        <v>13.5</v>
      </c>
      <c r="F318" s="18" t="n">
        <v>12.9</v>
      </c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38777</v>
      </c>
      <c r="B319" s="13" t="n">
        <v>2006</v>
      </c>
      <c r="C319" s="13" t="n">
        <v>3</v>
      </c>
      <c r="D319" s="14" t="n">
        <v>12.6</v>
      </c>
      <c r="E319" s="14" t="n">
        <v>12.6</v>
      </c>
      <c r="F319" s="14" t="n">
        <v>11.8</v>
      </c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38808</v>
      </c>
      <c r="B320" s="17" t="n">
        <v>2006</v>
      </c>
      <c r="C320" s="17" t="n">
        <v>4</v>
      </c>
      <c r="D320" s="18" t="n">
        <v>12</v>
      </c>
      <c r="E320" s="18" t="n">
        <v>12.1</v>
      </c>
      <c r="F320" s="18" t="n">
        <v>11.4</v>
      </c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38838</v>
      </c>
      <c r="B321" s="13" t="n">
        <v>2006</v>
      </c>
      <c r="C321" s="13" t="n">
        <v>5</v>
      </c>
      <c r="D321" s="14" t="n">
        <v>11.9</v>
      </c>
      <c r="E321" s="14" t="n">
        <v>11.9</v>
      </c>
      <c r="F321" s="14" t="n">
        <v>11.3</v>
      </c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38869</v>
      </c>
      <c r="B322" s="17" t="n">
        <v>2006</v>
      </c>
      <c r="C322" s="17" t="n">
        <v>6</v>
      </c>
      <c r="D322" s="18" t="n">
        <v>11.9</v>
      </c>
      <c r="E322" s="18" t="n">
        <v>11.9</v>
      </c>
      <c r="F322" s="18" t="n">
        <v>11.3</v>
      </c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38899</v>
      </c>
      <c r="B323" s="13" t="n">
        <v>2006</v>
      </c>
      <c r="C323" s="13" t="n">
        <v>7</v>
      </c>
      <c r="D323" s="14" t="n">
        <v>11.7</v>
      </c>
      <c r="E323" s="14" t="n">
        <v>11.7</v>
      </c>
      <c r="F323" s="14" t="n">
        <v>10.8</v>
      </c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38930</v>
      </c>
      <c r="B324" s="17" t="n">
        <v>2006</v>
      </c>
      <c r="C324" s="17" t="n">
        <v>8</v>
      </c>
      <c r="D324" s="18" t="n">
        <v>12</v>
      </c>
      <c r="E324" s="18" t="n">
        <v>12</v>
      </c>
      <c r="F324" s="18" t="n">
        <v>11.1</v>
      </c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38961</v>
      </c>
      <c r="B325" s="13" t="n">
        <v>2006</v>
      </c>
      <c r="C325" s="13" t="n">
        <v>9</v>
      </c>
      <c r="D325" s="14" t="n">
        <v>13</v>
      </c>
      <c r="E325" s="14" t="n">
        <v>13</v>
      </c>
      <c r="F325" s="14" t="n">
        <v>12.7</v>
      </c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38991</v>
      </c>
      <c r="B326" s="17" t="n">
        <v>2006</v>
      </c>
      <c r="C326" s="17" t="n">
        <v>10</v>
      </c>
      <c r="D326" s="18" t="n">
        <v>13.5</v>
      </c>
      <c r="E326" s="18" t="n">
        <v>13.5</v>
      </c>
      <c r="F326" s="18" t="n">
        <v>13</v>
      </c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39022</v>
      </c>
      <c r="B327" s="13" t="n">
        <v>2006</v>
      </c>
      <c r="C327" s="13" t="n">
        <v>11</v>
      </c>
      <c r="D327" s="14" t="n">
        <v>13.9</v>
      </c>
      <c r="E327" s="14" t="n">
        <v>13.9</v>
      </c>
      <c r="F327" s="14" t="n">
        <v>13.7</v>
      </c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39052</v>
      </c>
      <c r="B328" s="17" t="n">
        <v>2006</v>
      </c>
      <c r="C328" s="17" t="n">
        <v>12</v>
      </c>
      <c r="D328" s="18" t="n">
        <v>14.2</v>
      </c>
      <c r="E328" s="18" t="n">
        <v>14.1</v>
      </c>
      <c r="F328" s="18" t="n">
        <v>14</v>
      </c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39083</v>
      </c>
      <c r="B329" s="13" t="n">
        <v>2007</v>
      </c>
      <c r="C329" s="13" t="n">
        <v>1</v>
      </c>
      <c r="D329" s="14" t="n">
        <v>14.5</v>
      </c>
      <c r="E329" s="14" t="n">
        <v>14.5</v>
      </c>
      <c r="F329" s="14" t="n">
        <v>13.9</v>
      </c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39114</v>
      </c>
      <c r="B330" s="17" t="n">
        <v>2007</v>
      </c>
      <c r="C330" s="17" t="n">
        <v>2</v>
      </c>
      <c r="D330" s="18" t="n">
        <v>14.9</v>
      </c>
      <c r="E330" s="18" t="n">
        <v>14.9</v>
      </c>
      <c r="F330" s="18" t="n">
        <v>14.4</v>
      </c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39142</v>
      </c>
      <c r="B331" s="13" t="n">
        <v>2007</v>
      </c>
      <c r="C331" s="13" t="n">
        <v>3</v>
      </c>
      <c r="D331" s="14" t="n">
        <v>15.6</v>
      </c>
      <c r="E331" s="14" t="n">
        <v>15.6</v>
      </c>
      <c r="F331" s="14" t="n">
        <v>15.1</v>
      </c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39173</v>
      </c>
      <c r="B332" s="17" t="n">
        <v>2007</v>
      </c>
      <c r="C332" s="17" t="n">
        <v>4</v>
      </c>
      <c r="D332" s="18" t="n">
        <v>16.5</v>
      </c>
      <c r="E332" s="18" t="n">
        <v>16.5</v>
      </c>
      <c r="F332" s="18" t="n">
        <v>16.1</v>
      </c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39203</v>
      </c>
      <c r="B333" s="13" t="n">
        <v>2007</v>
      </c>
      <c r="C333" s="13" t="n">
        <v>5</v>
      </c>
      <c r="D333" s="14" t="n">
        <v>18</v>
      </c>
      <c r="E333" s="14" t="n">
        <v>18</v>
      </c>
      <c r="F333" s="14" t="n">
        <v>18.2</v>
      </c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39234</v>
      </c>
      <c r="B334" s="17" t="n">
        <v>2007</v>
      </c>
      <c r="C334" s="17" t="n">
        <v>6</v>
      </c>
      <c r="D334" s="18" t="n">
        <v>20.2</v>
      </c>
      <c r="E334" s="18" t="n">
        <v>20.2</v>
      </c>
      <c r="F334" s="18" t="n">
        <v>20.4</v>
      </c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39264</v>
      </c>
      <c r="B335" s="13" t="n">
        <v>2007</v>
      </c>
      <c r="C335" s="13" t="n">
        <v>7</v>
      </c>
      <c r="D335" s="14" t="n">
        <v>21.6</v>
      </c>
      <c r="E335" s="14" t="n">
        <v>21.6</v>
      </c>
      <c r="F335" s="14" t="n">
        <v>20.6</v>
      </c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39295</v>
      </c>
      <c r="B336" s="17" t="n">
        <v>2007</v>
      </c>
      <c r="C336" s="17" t="n">
        <v>8</v>
      </c>
      <c r="D336" s="18" t="n">
        <v>21.6</v>
      </c>
      <c r="E336" s="18" t="n">
        <v>21.6</v>
      </c>
      <c r="F336" s="18" t="n">
        <v>19.7</v>
      </c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39326</v>
      </c>
      <c r="B337" s="13" t="n">
        <v>2007</v>
      </c>
      <c r="C337" s="13" t="n">
        <v>9</v>
      </c>
      <c r="D337" s="14" t="n">
        <v>21.8</v>
      </c>
      <c r="E337" s="14" t="n">
        <v>21.8</v>
      </c>
      <c r="F337" s="14" t="n">
        <v>20.3</v>
      </c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39356</v>
      </c>
      <c r="B338" s="17" t="n">
        <v>2007</v>
      </c>
      <c r="C338" s="17" t="n">
        <v>10</v>
      </c>
      <c r="D338" s="18" t="n">
        <v>21.4</v>
      </c>
      <c r="E338" s="18" t="n">
        <v>21.4</v>
      </c>
      <c r="F338" s="18" t="n">
        <v>19.4</v>
      </c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39387</v>
      </c>
      <c r="B339" s="13" t="n">
        <v>2007</v>
      </c>
      <c r="C339" s="13" t="n">
        <v>11</v>
      </c>
      <c r="D339" s="14" t="n">
        <v>21.9</v>
      </c>
      <c r="E339" s="14" t="n">
        <v>21.9</v>
      </c>
      <c r="F339" s="14" t="n">
        <v>21</v>
      </c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39417</v>
      </c>
      <c r="B340" s="17" t="n">
        <v>2007</v>
      </c>
      <c r="C340" s="17" t="n">
        <v>12</v>
      </c>
      <c r="D340" s="18" t="n">
        <v>21.5</v>
      </c>
      <c r="E340" s="18" t="n">
        <v>21.5</v>
      </c>
      <c r="F340" s="18" t="n">
        <v>20.8</v>
      </c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39448</v>
      </c>
      <c r="B341" s="13" t="n">
        <v>2008</v>
      </c>
      <c r="C341" s="13" t="n">
        <v>1</v>
      </c>
      <c r="D341" s="14" t="n">
        <v>20.5</v>
      </c>
      <c r="E341" s="14" t="n">
        <v>20.6</v>
      </c>
      <c r="F341" s="14" t="n">
        <v>19.6</v>
      </c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39479</v>
      </c>
      <c r="B342" s="17" t="n">
        <v>2008</v>
      </c>
      <c r="C342" s="17" t="n">
        <v>2</v>
      </c>
      <c r="D342" s="18" t="n">
        <v>19.1</v>
      </c>
      <c r="E342" s="18" t="n">
        <v>19.1</v>
      </c>
      <c r="F342" s="18" t="n">
        <v>18.3</v>
      </c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39508</v>
      </c>
      <c r="B343" s="13" t="n">
        <v>2008</v>
      </c>
      <c r="C343" s="13" t="n">
        <v>3</v>
      </c>
      <c r="D343" s="14" t="n">
        <v>18.1</v>
      </c>
      <c r="E343" s="14" t="n">
        <v>18.1</v>
      </c>
      <c r="F343" s="14" t="n">
        <v>18.3</v>
      </c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39539</v>
      </c>
      <c r="B344" s="17" t="n">
        <v>2008</v>
      </c>
      <c r="C344" s="17" t="n">
        <v>4</v>
      </c>
      <c r="D344" s="18" t="n">
        <v>18.1</v>
      </c>
      <c r="E344" s="18" t="n">
        <v>18.1</v>
      </c>
      <c r="F344" s="18" t="n">
        <v>17.7</v>
      </c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39569</v>
      </c>
      <c r="B345" s="13" t="n">
        <v>2008</v>
      </c>
      <c r="C345" s="13" t="n">
        <v>5</v>
      </c>
      <c r="D345" s="14" t="n">
        <v>18.4</v>
      </c>
      <c r="E345" s="14" t="n">
        <v>18.4</v>
      </c>
      <c r="F345" s="14" t="n">
        <v>18.7</v>
      </c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39600</v>
      </c>
      <c r="B346" s="17" t="n">
        <v>2008</v>
      </c>
      <c r="C346" s="17" t="n">
        <v>6</v>
      </c>
      <c r="D346" s="18" t="n">
        <v>19.3</v>
      </c>
      <c r="E346" s="18" t="n">
        <v>19.3</v>
      </c>
      <c r="F346" s="18" t="n">
        <v>19.8</v>
      </c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39630</v>
      </c>
      <c r="B347" s="13" t="n">
        <v>2008</v>
      </c>
      <c r="C347" s="13" t="n">
        <v>7</v>
      </c>
      <c r="D347" s="14" t="n">
        <v>19.4</v>
      </c>
      <c r="E347" s="14" t="n">
        <v>19.4</v>
      </c>
      <c r="F347" s="14" t="n">
        <v>18.9</v>
      </c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39661</v>
      </c>
      <c r="B348" s="17" t="n">
        <v>2008</v>
      </c>
      <c r="C348" s="17" t="n">
        <v>8</v>
      </c>
      <c r="D348" s="18" t="n">
        <v>18.4</v>
      </c>
      <c r="E348" s="18" t="n">
        <v>18.5</v>
      </c>
      <c r="F348" s="18" t="n">
        <v>17.6</v>
      </c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39692</v>
      </c>
      <c r="B349" s="13" t="n">
        <v>2008</v>
      </c>
      <c r="C349" s="13" t="n">
        <v>9</v>
      </c>
      <c r="D349" s="14" t="n">
        <v>18.2</v>
      </c>
      <c r="E349" s="14" t="n">
        <v>18.2</v>
      </c>
      <c r="F349" s="14" t="n">
        <v>17.5</v>
      </c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39722</v>
      </c>
      <c r="B350" s="17" t="n">
        <v>2008</v>
      </c>
      <c r="C350" s="17" t="n">
        <v>10</v>
      </c>
      <c r="D350" s="18" t="n">
        <v>17.8</v>
      </c>
      <c r="E350" s="18" t="n">
        <v>17.8</v>
      </c>
      <c r="F350" s="18" t="n">
        <v>17.9</v>
      </c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39753</v>
      </c>
      <c r="B351" s="13" t="n">
        <v>2008</v>
      </c>
      <c r="C351" s="13" t="n">
        <v>11</v>
      </c>
      <c r="D351" s="14" t="n">
        <v>17.1</v>
      </c>
      <c r="E351" s="14" t="n">
        <v>17.1</v>
      </c>
      <c r="F351" s="14" t="n">
        <v>16.6</v>
      </c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39783</v>
      </c>
      <c r="B352" s="17" t="n">
        <v>2008</v>
      </c>
      <c r="C352" s="17" t="n">
        <v>12</v>
      </c>
      <c r="D352" s="18" t="n">
        <v>15.5</v>
      </c>
      <c r="E352" s="18" t="n">
        <v>15.5</v>
      </c>
      <c r="F352" s="18" t="n">
        <v>15.5</v>
      </c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39814</v>
      </c>
      <c r="B353" s="13" t="n">
        <v>2009</v>
      </c>
      <c r="C353" s="13" t="n">
        <v>1</v>
      </c>
      <c r="D353" s="14" t="n">
        <v>13.3</v>
      </c>
      <c r="E353" s="14" t="n">
        <v>13.4</v>
      </c>
      <c r="F353" s="14" t="n">
        <v>10.9</v>
      </c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39845</v>
      </c>
      <c r="B354" s="17" t="n">
        <v>2009</v>
      </c>
      <c r="C354" s="17" t="n">
        <v>2</v>
      </c>
      <c r="D354" s="18" t="n">
        <v>11.6</v>
      </c>
      <c r="E354" s="18" t="n">
        <v>11.6</v>
      </c>
      <c r="F354" s="18" t="n">
        <v>11.1</v>
      </c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39873</v>
      </c>
      <c r="B355" s="13" t="n">
        <v>2009</v>
      </c>
      <c r="C355" s="13" t="n">
        <v>3</v>
      </c>
      <c r="D355" s="14" t="n">
        <v>11.7</v>
      </c>
      <c r="E355" s="14" t="n">
        <v>11.7</v>
      </c>
      <c r="F355" s="14" t="n">
        <v>11.4</v>
      </c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39904</v>
      </c>
      <c r="B356" s="17" t="n">
        <v>2009</v>
      </c>
      <c r="C356" s="17" t="n">
        <v>4</v>
      </c>
      <c r="D356" s="18" t="n">
        <v>11.9</v>
      </c>
      <c r="E356" s="18" t="n">
        <v>11.9</v>
      </c>
      <c r="F356" s="18" t="n">
        <v>11.4</v>
      </c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39934</v>
      </c>
      <c r="B357" s="13" t="n">
        <v>2009</v>
      </c>
      <c r="C357" s="13" t="n">
        <v>5</v>
      </c>
      <c r="D357" s="14" t="n">
        <v>11.6</v>
      </c>
      <c r="E357" s="14" t="n">
        <v>11.6</v>
      </c>
      <c r="F357" s="14" t="n">
        <v>10.6</v>
      </c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39965</v>
      </c>
      <c r="B358" s="17" t="n">
        <v>2009</v>
      </c>
      <c r="C358" s="17" t="n">
        <v>6</v>
      </c>
      <c r="D358" s="18" t="n">
        <v>11.3</v>
      </c>
      <c r="E358" s="18" t="n">
        <v>11.3</v>
      </c>
      <c r="F358" s="18" t="n">
        <v>10.4</v>
      </c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39995</v>
      </c>
      <c r="B359" s="13" t="n">
        <v>2009</v>
      </c>
      <c r="C359" s="13" t="n">
        <v>7</v>
      </c>
      <c r="D359" s="14" t="n">
        <v>11.3</v>
      </c>
      <c r="E359" s="14" t="n">
        <v>11.3</v>
      </c>
      <c r="F359" s="14" t="n">
        <v>10.2</v>
      </c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40026</v>
      </c>
      <c r="B360" s="17" t="n">
        <v>2009</v>
      </c>
      <c r="C360" s="17" t="n">
        <v>8</v>
      </c>
      <c r="D360" s="18" t="n">
        <v>12.1</v>
      </c>
      <c r="E360" s="18" t="n">
        <v>12.1</v>
      </c>
      <c r="F360" s="18" t="n">
        <v>11.8</v>
      </c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40057</v>
      </c>
      <c r="B361" s="13" t="n">
        <v>2009</v>
      </c>
      <c r="C361" s="13" t="n">
        <v>9</v>
      </c>
      <c r="D361" s="14" t="n">
        <v>13</v>
      </c>
      <c r="E361" s="14" t="n">
        <v>13</v>
      </c>
      <c r="F361" s="14" t="n">
        <v>12.4</v>
      </c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40087</v>
      </c>
      <c r="B362" s="17" t="n">
        <v>2009</v>
      </c>
      <c r="C362" s="17" t="n">
        <v>10</v>
      </c>
      <c r="D362" s="18" t="n">
        <v>14.3</v>
      </c>
      <c r="E362" s="18" t="n">
        <v>14.3</v>
      </c>
      <c r="F362" s="18" t="n">
        <v>13.8</v>
      </c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40118</v>
      </c>
      <c r="B363" s="13" t="n">
        <v>2009</v>
      </c>
      <c r="C363" s="13" t="n">
        <v>11</v>
      </c>
      <c r="D363" s="14" t="n">
        <v>15.4</v>
      </c>
      <c r="E363" s="14" t="n">
        <v>15.4</v>
      </c>
      <c r="F363" s="14" t="n">
        <v>15.3</v>
      </c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40148</v>
      </c>
      <c r="B364" s="17" t="n">
        <v>2009</v>
      </c>
      <c r="C364" s="17" t="n">
        <v>12</v>
      </c>
      <c r="D364" s="18" t="n">
        <v>16.5</v>
      </c>
      <c r="E364" s="18" t="n">
        <v>16.5</v>
      </c>
      <c r="F364" s="18" t="n">
        <v>16.3</v>
      </c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40179</v>
      </c>
      <c r="B365" s="13" t="n">
        <v>2010</v>
      </c>
      <c r="C365" s="13" t="n">
        <v>1</v>
      </c>
      <c r="D365" s="14" t="n">
        <v>16.1</v>
      </c>
      <c r="E365" s="14" t="n">
        <v>16.1</v>
      </c>
      <c r="F365" s="14" t="n">
        <v>14.3</v>
      </c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40210</v>
      </c>
      <c r="B366" s="17" t="n">
        <v>2010</v>
      </c>
      <c r="C366" s="17" t="n">
        <v>2</v>
      </c>
      <c r="D366" s="18" t="n">
        <v>15.8</v>
      </c>
      <c r="E366" s="18" t="n">
        <v>15.8</v>
      </c>
      <c r="F366" s="18" t="n">
        <v>14.3</v>
      </c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40238</v>
      </c>
      <c r="B367" s="13" t="n">
        <v>2010</v>
      </c>
      <c r="C367" s="13" t="n">
        <v>3</v>
      </c>
      <c r="D367" s="14" t="n">
        <v>14.8</v>
      </c>
      <c r="E367" s="14" t="n">
        <v>14.8</v>
      </c>
      <c r="F367" s="14" t="n">
        <v>12.6</v>
      </c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40269</v>
      </c>
      <c r="B368" s="17" t="n">
        <v>2010</v>
      </c>
      <c r="C368" s="17" t="n">
        <v>4</v>
      </c>
      <c r="D368" s="18" t="n">
        <v>14.6</v>
      </c>
      <c r="E368" s="18" t="n">
        <v>14.6</v>
      </c>
      <c r="F368" s="18" t="n">
        <v>13.4</v>
      </c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40299</v>
      </c>
      <c r="B369" s="13" t="n">
        <v>2010</v>
      </c>
      <c r="C369" s="13" t="n">
        <v>5</v>
      </c>
      <c r="D369" s="14" t="n">
        <v>15</v>
      </c>
      <c r="E369" s="14" t="n">
        <v>15</v>
      </c>
      <c r="F369" s="14" t="n">
        <v>13.6</v>
      </c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40330</v>
      </c>
      <c r="B370" s="17" t="n">
        <v>2010</v>
      </c>
      <c r="C370" s="17" t="n">
        <v>6</v>
      </c>
      <c r="D370" s="18" t="n">
        <v>15.4</v>
      </c>
      <c r="E370" s="18" t="n">
        <v>15.4</v>
      </c>
      <c r="F370" s="18" t="n">
        <v>13.3</v>
      </c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40360</v>
      </c>
      <c r="B371" s="13" t="n">
        <v>2010</v>
      </c>
      <c r="C371" s="13" t="n">
        <v>7</v>
      </c>
      <c r="D371" s="14" t="n">
        <v>15.9</v>
      </c>
      <c r="E371" s="14" t="n">
        <v>15.9</v>
      </c>
      <c r="F371" s="14" t="n">
        <v>14.2</v>
      </c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40391</v>
      </c>
      <c r="B372" s="17" t="n">
        <v>2010</v>
      </c>
      <c r="C372" s="17" t="n">
        <v>8</v>
      </c>
      <c r="D372" s="18" t="n">
        <v>16.7</v>
      </c>
      <c r="E372" s="18" t="n">
        <v>16.7</v>
      </c>
      <c r="F372" s="18" t="n">
        <v>15.4</v>
      </c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40422</v>
      </c>
      <c r="B373" s="13" t="n">
        <v>2010</v>
      </c>
      <c r="C373" s="13" t="n">
        <v>9</v>
      </c>
      <c r="D373" s="14" t="n">
        <v>17.7</v>
      </c>
      <c r="E373" s="14" t="n">
        <v>17.7</v>
      </c>
      <c r="F373" s="14" t="n">
        <v>16.8</v>
      </c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40452</v>
      </c>
      <c r="B374" s="17" t="n">
        <v>2010</v>
      </c>
      <c r="C374" s="17" t="n">
        <v>10</v>
      </c>
      <c r="D374" s="18" t="n">
        <v>18.5</v>
      </c>
      <c r="E374" s="18" t="n">
        <v>18.6</v>
      </c>
      <c r="F374" s="18" t="n">
        <v>17.4</v>
      </c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40483</v>
      </c>
      <c r="B375" s="13" t="n">
        <v>2010</v>
      </c>
      <c r="C375" s="13" t="n">
        <v>11</v>
      </c>
      <c r="D375" s="14" t="n">
        <v>17.9</v>
      </c>
      <c r="E375" s="14" t="n">
        <v>18</v>
      </c>
      <c r="F375" s="14" t="n">
        <v>15.5</v>
      </c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40513</v>
      </c>
      <c r="B376" s="17" t="n">
        <v>2010</v>
      </c>
      <c r="C376" s="17" t="n">
        <v>12</v>
      </c>
      <c r="D376" s="18" t="n">
        <v>16.7</v>
      </c>
      <c r="E376" s="18" t="n">
        <v>16.8</v>
      </c>
      <c r="F376" s="18" t="n">
        <v>14.3</v>
      </c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40544</v>
      </c>
      <c r="B377" s="13" t="n">
        <v>2011</v>
      </c>
      <c r="C377" s="13" t="n">
        <v>1</v>
      </c>
      <c r="D377" s="14" t="n">
        <v>16.7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40575</v>
      </c>
      <c r="B378" s="17" t="n">
        <v>2011</v>
      </c>
      <c r="C378" s="17" t="n">
        <v>2</v>
      </c>
      <c r="D378" s="18" t="n">
        <v>19.1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40603</v>
      </c>
      <c r="B379" s="13" t="n">
        <v>2011</v>
      </c>
      <c r="C379" s="13" t="n">
        <v>3</v>
      </c>
      <c r="D379" s="14" t="n">
        <v>20.4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40634</v>
      </c>
      <c r="B380" s="17" t="n">
        <v>2011</v>
      </c>
      <c r="C380" s="17" t="n">
        <v>4</v>
      </c>
      <c r="D380" s="18" t="n">
        <v>19.6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40664</v>
      </c>
      <c r="B381" s="13" t="n">
        <v>2011</v>
      </c>
      <c r="C381" s="13" t="n">
        <v>5</v>
      </c>
      <c r="D381" s="14" t="n">
        <v>19.6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40695</v>
      </c>
      <c r="B382" s="17" t="n">
        <v>2011</v>
      </c>
      <c r="C382" s="17" t="n">
        <v>6</v>
      </c>
      <c r="D382" s="18" t="n">
        <v>21.1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40725</v>
      </c>
      <c r="B383" s="13" t="n">
        <v>2011</v>
      </c>
      <c r="C383" s="13" t="n">
        <v>7</v>
      </c>
      <c r="D383" s="14" t="n">
        <v>21.8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40756</v>
      </c>
      <c r="B384" s="17" t="n">
        <v>2011</v>
      </c>
      <c r="C384" s="17" t="n">
        <v>8</v>
      </c>
      <c r="D384" s="18" t="n">
        <v>22.1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40787</v>
      </c>
      <c r="B385" s="13" t="n">
        <v>2011</v>
      </c>
      <c r="C385" s="13" t="n">
        <v>9</v>
      </c>
      <c r="D385" s="14" t="n">
        <v>21.1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40817</v>
      </c>
      <c r="B386" s="17" t="n">
        <v>2011</v>
      </c>
      <c r="C386" s="17" t="n">
        <v>10</v>
      </c>
      <c r="D386" s="18" t="n">
        <v>20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40848</v>
      </c>
      <c r="B387" s="13" t="n">
        <v>2011</v>
      </c>
      <c r="C387" s="13" t="n">
        <v>11</v>
      </c>
      <c r="D387" s="14" t="n">
        <v>20.5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40878</v>
      </c>
      <c r="B388" s="17" t="n">
        <v>2011</v>
      </c>
      <c r="C388" s="17" t="n">
        <v>12</v>
      </c>
      <c r="D388" s="18" t="n">
        <v>19.7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40909</v>
      </c>
      <c r="B389" s="13" t="n">
        <v>2012</v>
      </c>
      <c r="C389" s="13" t="n">
        <v>1</v>
      </c>
      <c r="D389" s="14" t="n">
        <v>18.9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40940</v>
      </c>
      <c r="B390" s="17" t="n">
        <v>2012</v>
      </c>
      <c r="C390" s="17" t="n">
        <v>2</v>
      </c>
      <c r="D390" s="18" t="n">
        <v>17.6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40969</v>
      </c>
      <c r="B391" s="13" t="n">
        <v>2012</v>
      </c>
      <c r="C391" s="13" t="n">
        <v>3</v>
      </c>
      <c r="D391" s="14" t="n">
        <v>17.2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41000</v>
      </c>
      <c r="B392" s="17" t="n">
        <v>2012</v>
      </c>
      <c r="C392" s="17" t="n">
        <v>4</v>
      </c>
      <c r="D392" s="18" t="n">
        <v>16.8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41030</v>
      </c>
      <c r="B393" s="13" t="n">
        <v>2012</v>
      </c>
      <c r="C393" s="13" t="n">
        <v>5</v>
      </c>
      <c r="D393" s="14" t="n">
        <v>16.2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41061</v>
      </c>
      <c r="B394" s="17" t="n">
        <v>2012</v>
      </c>
      <c r="C394" s="17" t="n">
        <v>6</v>
      </c>
      <c r="D394" s="18" t="n">
        <v>16.2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41091</v>
      </c>
      <c r="B395" s="13" t="n">
        <v>2012</v>
      </c>
      <c r="C395" s="13" t="n">
        <v>7</v>
      </c>
      <c r="D395" s="14" t="n">
        <v>16.9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41122</v>
      </c>
      <c r="B396" s="17" t="n">
        <v>2012</v>
      </c>
      <c r="C396" s="17" t="n">
        <v>8</v>
      </c>
      <c r="D396" s="18" t="n">
        <v>18.2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41153</v>
      </c>
      <c r="B397" s="13" t="n">
        <v>2012</v>
      </c>
      <c r="C397" s="13" t="n">
        <v>9</v>
      </c>
      <c r="D397" s="14" t="n">
        <v>19.7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41183</v>
      </c>
      <c r="B398" s="17" t="n">
        <v>2012</v>
      </c>
      <c r="C398" s="17" t="n">
        <v>10</v>
      </c>
      <c r="D398" s="18" t="n">
        <v>21.6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41214</v>
      </c>
      <c r="B399" s="13" t="n">
        <v>2012</v>
      </c>
      <c r="C399" s="13" t="n">
        <v>11</v>
      </c>
      <c r="D399" s="14" t="n">
        <v>22.1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41244</v>
      </c>
      <c r="B400" s="17" t="n">
        <v>2012</v>
      </c>
      <c r="C400" s="17" t="n">
        <v>12</v>
      </c>
      <c r="D400" s="18" t="n">
        <v>20.8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41275</v>
      </c>
      <c r="B401" s="13" t="n">
        <v>2013</v>
      </c>
      <c r="C401" s="13" t="n">
        <v>1</v>
      </c>
      <c r="D401" s="14" t="n">
        <v>20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41306</v>
      </c>
      <c r="B402" s="17" t="n">
        <v>2013</v>
      </c>
      <c r="C402" s="17" t="n">
        <v>2</v>
      </c>
      <c r="D402" s="18" t="n">
        <v>19.5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41334</v>
      </c>
      <c r="B403" s="13" t="n">
        <v>2013</v>
      </c>
      <c r="C403" s="13" t="n">
        <v>3</v>
      </c>
      <c r="D403" s="14" t="n">
        <v>19.1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41365</v>
      </c>
      <c r="B404" s="17" t="n">
        <v>2013</v>
      </c>
      <c r="C404" s="17" t="n">
        <v>4</v>
      </c>
      <c r="D404" s="18" t="n">
        <v>19.5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41395</v>
      </c>
      <c r="B405" s="13" t="n">
        <v>2013</v>
      </c>
      <c r="C405" s="13" t="n">
        <v>5</v>
      </c>
      <c r="D405" s="14" t="n">
        <v>19.7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41426</v>
      </c>
      <c r="B406" s="17" t="n">
        <v>2013</v>
      </c>
      <c r="C406" s="17" t="n">
        <v>6</v>
      </c>
      <c r="D406" s="18" t="n">
        <v>19.5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41456</v>
      </c>
      <c r="B407" s="13" t="n">
        <v>2013</v>
      </c>
      <c r="C407" s="13" t="n">
        <v>7</v>
      </c>
      <c r="D407" s="14" t="n">
        <v>19.1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41487</v>
      </c>
      <c r="B408" s="17" t="n">
        <v>2013</v>
      </c>
      <c r="C408" s="17" t="n">
        <v>8</v>
      </c>
      <c r="D408" s="18" t="n">
        <v>19.6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41518</v>
      </c>
      <c r="B409" s="13" t="n">
        <v>2013</v>
      </c>
      <c r="C409" s="13" t="n">
        <v>9</v>
      </c>
      <c r="D409" s="14" t="n">
        <v>20.1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41548</v>
      </c>
      <c r="B410" s="17" t="n">
        <v>2013</v>
      </c>
      <c r="C410" s="17" t="n">
        <v>10</v>
      </c>
      <c r="D410" s="18" t="n">
        <v>20.9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41579</v>
      </c>
      <c r="B411" s="13" t="n">
        <v>2013</v>
      </c>
      <c r="C411" s="13" t="n">
        <v>11</v>
      </c>
      <c r="D411" s="14" t="n">
        <v>21.6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41609</v>
      </c>
      <c r="B412" s="17" t="n">
        <v>2013</v>
      </c>
      <c r="C412" s="17" t="n">
        <v>12</v>
      </c>
      <c r="D412" s="18" t="n">
        <v>22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41640</v>
      </c>
      <c r="B413" s="13" t="n">
        <v>2014</v>
      </c>
      <c r="C413" s="13" t="n">
        <v>1</v>
      </c>
      <c r="D413" s="14" t="n">
        <v>23.5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41671</v>
      </c>
      <c r="B414" s="17" t="n">
        <v>2014</v>
      </c>
      <c r="C414" s="17" t="n">
        <v>2</v>
      </c>
      <c r="D414" s="18" t="n">
        <v>24.8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41699</v>
      </c>
      <c r="B415" s="13" t="n">
        <v>2014</v>
      </c>
      <c r="C415" s="13" t="n">
        <v>3</v>
      </c>
      <c r="D415" s="14" t="n">
        <v>25.1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41730</v>
      </c>
      <c r="B416" s="17" t="n">
        <v>2014</v>
      </c>
      <c r="C416" s="17" t="n">
        <v>4</v>
      </c>
      <c r="D416" s="18" t="n">
        <v>25.3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41760</v>
      </c>
      <c r="B417" s="13" t="n">
        <v>2014</v>
      </c>
      <c r="C417" s="13" t="n">
        <v>5</v>
      </c>
      <c r="D417" s="14" t="n">
        <v>24.2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41791</v>
      </c>
      <c r="B418" s="17" t="n">
        <v>2014</v>
      </c>
      <c r="C418" s="17" t="n">
        <v>6</v>
      </c>
      <c r="D418" s="18" t="n">
        <v>23.2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41821</v>
      </c>
      <c r="B419" s="13" t="n">
        <v>2014</v>
      </c>
      <c r="C419" s="13" t="n">
        <v>7</v>
      </c>
      <c r="D419" s="14" t="n">
        <v>23.3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41852</v>
      </c>
      <c r="B420" s="17" t="n">
        <v>2014</v>
      </c>
      <c r="C420" s="17" t="n">
        <v>8</v>
      </c>
      <c r="D420" s="18" t="n">
        <v>24.2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41883</v>
      </c>
      <c r="B421" s="13" t="n">
        <v>2014</v>
      </c>
      <c r="C421" s="13" t="n">
        <v>9</v>
      </c>
      <c r="D421" s="14" t="n">
        <v>25.7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41913</v>
      </c>
      <c r="B422" s="17" t="n">
        <v>2014</v>
      </c>
      <c r="C422" s="17" t="n">
        <v>10</v>
      </c>
      <c r="D422" s="18" t="n">
        <v>24.9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41944</v>
      </c>
      <c r="B423" s="13" t="n">
        <v>2014</v>
      </c>
      <c r="C423" s="13" t="n">
        <v>11</v>
      </c>
      <c r="D423" s="14" t="n">
        <v>23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41974</v>
      </c>
      <c r="B424" s="17" t="n">
        <v>2014</v>
      </c>
      <c r="C424" s="17" t="n">
        <v>12</v>
      </c>
      <c r="D424" s="18" t="n">
        <v>20.4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42005</v>
      </c>
      <c r="B425" s="13" t="n">
        <v>2015</v>
      </c>
      <c r="C425" s="13" t="n">
        <v>1</v>
      </c>
      <c r="D425" s="14" t="n">
        <v>17.5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42036</v>
      </c>
      <c r="B426" s="17" t="n">
        <v>2015</v>
      </c>
      <c r="C426" s="17" t="n">
        <v>2</v>
      </c>
      <c r="D426" s="18" t="n">
        <v>16.9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42064</v>
      </c>
      <c r="B427" s="13" t="n">
        <v>2015</v>
      </c>
      <c r="C427" s="13" t="n">
        <v>3</v>
      </c>
      <c r="D427" s="14" t="n">
        <v>16.6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42095</v>
      </c>
      <c r="B428" s="17" t="n">
        <v>2015</v>
      </c>
      <c r="C428" s="17" t="n">
        <v>4</v>
      </c>
      <c r="D428" s="18" t="n">
        <v>16.6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42125</v>
      </c>
      <c r="B429" s="13" t="n">
        <v>2015</v>
      </c>
      <c r="C429" s="13" t="n">
        <v>5</v>
      </c>
      <c r="D429" s="14" t="n">
        <v>16.8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42156</v>
      </c>
      <c r="B430" s="17" t="n">
        <v>2015</v>
      </c>
      <c r="C430" s="17" t="n">
        <v>6</v>
      </c>
      <c r="D430" s="18" t="n">
        <v>16.9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42186</v>
      </c>
      <c r="B431" s="13" t="n">
        <v>2015</v>
      </c>
      <c r="C431" s="13" t="n">
        <v>7</v>
      </c>
      <c r="D431" s="14" t="n">
        <v>16.6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42217</v>
      </c>
      <c r="B432" s="17" t="n">
        <v>2015</v>
      </c>
      <c r="C432" s="17" t="n">
        <v>8</v>
      </c>
      <c r="D432" s="18" t="n">
        <v>16.8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42248</v>
      </c>
      <c r="B433" s="13" t="n">
        <v>2015</v>
      </c>
      <c r="C433" s="13" t="n">
        <v>9</v>
      </c>
      <c r="D433" s="14" t="n">
        <v>17.6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42278</v>
      </c>
      <c r="B434" s="17" t="n">
        <v>2015</v>
      </c>
      <c r="C434" s="17" t="n">
        <v>10</v>
      </c>
      <c r="D434" s="18" t="n">
        <v>17.7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42309</v>
      </c>
      <c r="B435" s="13" t="n">
        <v>2015</v>
      </c>
      <c r="C435" s="13" t="n">
        <v>11</v>
      </c>
      <c r="D435" s="14" t="n">
        <v>18.3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42339</v>
      </c>
      <c r="B436" s="17" t="n">
        <v>2015</v>
      </c>
      <c r="C436" s="17" t="n">
        <v>12</v>
      </c>
      <c r="D436" s="18" t="n">
        <v>17.3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42370</v>
      </c>
      <c r="B437" s="13" t="n">
        <v>2016</v>
      </c>
      <c r="C437" s="13" t="n">
        <v>1</v>
      </c>
      <c r="D437" s="14" t="n">
        <v>16.1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42401</v>
      </c>
      <c r="B438" s="17" t="n">
        <v>2016</v>
      </c>
      <c r="C438" s="17" t="n">
        <v>2</v>
      </c>
      <c r="D438" s="18" t="n">
        <v>15.7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42430</v>
      </c>
      <c r="B439" s="13" t="n">
        <v>2016</v>
      </c>
      <c r="C439" s="13" t="n">
        <v>3</v>
      </c>
      <c r="D439" s="14" t="n">
        <v>15.3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42461</v>
      </c>
      <c r="B440" s="17" t="n">
        <v>2016</v>
      </c>
      <c r="C440" s="17" t="n">
        <v>4</v>
      </c>
      <c r="D440" s="18" t="n">
        <v>15.1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42491</v>
      </c>
      <c r="B441" s="13" t="n">
        <v>2016</v>
      </c>
      <c r="C441" s="13" t="n">
        <v>5</v>
      </c>
      <c r="D441" s="14" t="n">
        <v>14.5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42522</v>
      </c>
      <c r="B442" s="17" t="n">
        <v>2016</v>
      </c>
      <c r="C442" s="17" t="n">
        <v>6</v>
      </c>
      <c r="D442" s="18" t="n">
        <v>14.8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42552</v>
      </c>
      <c r="B443" s="13" t="n">
        <v>2016</v>
      </c>
      <c r="C443" s="13" t="n">
        <v>7</v>
      </c>
      <c r="D443" s="14" t="n">
        <v>16.1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42583</v>
      </c>
      <c r="B444" s="17" t="n">
        <v>2016</v>
      </c>
      <c r="C444" s="17" t="n">
        <v>8</v>
      </c>
      <c r="D444" s="18" t="n">
        <v>17.2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42614</v>
      </c>
      <c r="B445" s="13" t="n">
        <v>2016</v>
      </c>
      <c r="C445" s="13" t="n">
        <v>9</v>
      </c>
      <c r="D445" s="14" t="n">
        <v>17.4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42644</v>
      </c>
      <c r="B446" s="17" t="n">
        <v>2016</v>
      </c>
      <c r="C446" s="17" t="n">
        <v>10</v>
      </c>
      <c r="D446" s="18" t="n">
        <v>16.7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42675</v>
      </c>
      <c r="B447" s="13" t="n">
        <v>2016</v>
      </c>
      <c r="C447" s="13" t="n">
        <v>11</v>
      </c>
      <c r="D447" s="14" t="n">
        <v>17.8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42705</v>
      </c>
      <c r="B448" s="17" t="n">
        <v>2016</v>
      </c>
      <c r="C448" s="17" t="n">
        <v>12</v>
      </c>
      <c r="D448" s="18" t="n">
        <v>18.9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42736</v>
      </c>
      <c r="B449" s="13" t="n">
        <v>2017</v>
      </c>
      <c r="C449" s="13" t="n">
        <v>1</v>
      </c>
      <c r="D449" s="14" t="n">
        <v>18.9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42767</v>
      </c>
      <c r="B450" s="17" t="n">
        <v>2017</v>
      </c>
      <c r="C450" s="17" t="n">
        <v>2</v>
      </c>
      <c r="D450" s="18" t="n">
        <v>18.4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42795</v>
      </c>
      <c r="B451" s="13" t="n">
        <v>2017</v>
      </c>
      <c r="C451" s="13" t="n">
        <v>3</v>
      </c>
      <c r="D451" s="14" t="n">
        <v>17.3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42826</v>
      </c>
      <c r="B452" s="17" t="n">
        <v>2017</v>
      </c>
      <c r="C452" s="17" t="n">
        <v>4</v>
      </c>
      <c r="D452" s="18" t="n">
        <v>16.5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42856</v>
      </c>
      <c r="B453" s="13" t="n">
        <v>2017</v>
      </c>
      <c r="C453" s="13" t="n">
        <v>5</v>
      </c>
      <c r="D453" s="14" t="n">
        <v>16.7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42887</v>
      </c>
      <c r="B454" s="17" t="n">
        <v>2017</v>
      </c>
      <c r="C454" s="17" t="n">
        <v>6</v>
      </c>
      <c r="D454" s="18" t="n">
        <v>17.3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42917</v>
      </c>
      <c r="B455" s="13" t="n">
        <v>2017</v>
      </c>
      <c r="C455" s="13" t="n">
        <v>7</v>
      </c>
      <c r="D455" s="14" t="n">
        <v>17.2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42948</v>
      </c>
      <c r="B456" s="17" t="n">
        <v>2017</v>
      </c>
      <c r="C456" s="17" t="n">
        <v>8</v>
      </c>
      <c r="D456" s="18" t="n">
        <v>18.1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42979</v>
      </c>
      <c r="B457" s="13" t="n">
        <v>2017</v>
      </c>
      <c r="C457" s="13" t="n">
        <v>9</v>
      </c>
      <c r="D457" s="14" t="n">
        <v>17.9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43009</v>
      </c>
      <c r="B458" s="17" t="n">
        <v>2017</v>
      </c>
      <c r="C458" s="17" t="n">
        <v>10</v>
      </c>
      <c r="D458" s="18" t="n">
        <v>18.1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43040</v>
      </c>
      <c r="B459" s="13" t="n">
        <v>2017</v>
      </c>
      <c r="C459" s="13" t="n">
        <v>11</v>
      </c>
      <c r="D459" s="14" t="n">
        <v>18.2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43070</v>
      </c>
      <c r="B460" s="17" t="n">
        <v>2017</v>
      </c>
      <c r="C460" s="17" t="n">
        <v>12</v>
      </c>
      <c r="D460" s="18" t="n">
        <v>17.2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43101</v>
      </c>
      <c r="B461" s="13" t="n">
        <v>2018</v>
      </c>
      <c r="C461" s="13" t="n">
        <v>1</v>
      </c>
      <c r="D461" s="14" t="n">
        <v>16.2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43132</v>
      </c>
      <c r="B462" s="17" t="n">
        <v>2018</v>
      </c>
      <c r="C462" s="17" t="n">
        <v>2</v>
      </c>
      <c r="D462" s="18" t="n">
        <v>15.3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43160</v>
      </c>
      <c r="B463" s="13" t="n">
        <v>2018</v>
      </c>
      <c r="C463" s="13" t="n">
        <v>3</v>
      </c>
      <c r="D463" s="14" t="n">
        <v>15.6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43191</v>
      </c>
      <c r="B464" s="17" t="n">
        <v>2018</v>
      </c>
      <c r="C464" s="17" t="n">
        <v>4</v>
      </c>
      <c r="D464" s="18" t="n">
        <v>15.8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43221</v>
      </c>
      <c r="B465" s="13" t="n">
        <v>2018</v>
      </c>
      <c r="C465" s="13" t="n">
        <v>5</v>
      </c>
      <c r="D465" s="14" t="n">
        <v>16.2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43252</v>
      </c>
      <c r="B466" s="17" t="n">
        <v>2018</v>
      </c>
      <c r="C466" s="17" t="n">
        <v>6</v>
      </c>
      <c r="D466" s="18" t="n">
        <v>16.3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43282</v>
      </c>
      <c r="B467" s="13" t="n">
        <v>2018</v>
      </c>
      <c r="C467" s="13" t="n">
        <v>7</v>
      </c>
      <c r="D467" s="14" t="n">
        <v>15.5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43313</v>
      </c>
      <c r="B468" s="17" t="n">
        <v>2018</v>
      </c>
      <c r="C468" s="17" t="n">
        <v>8</v>
      </c>
      <c r="D468" s="18" t="n">
        <v>16.1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43344</v>
      </c>
      <c r="B469" s="13" t="n">
        <v>2018</v>
      </c>
      <c r="C469" s="13" t="n">
        <v>9</v>
      </c>
      <c r="D469" s="14" t="n">
        <v>16.9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43374</v>
      </c>
      <c r="B470" s="17" t="n">
        <v>2018</v>
      </c>
      <c r="C470" s="17" t="n">
        <v>10</v>
      </c>
      <c r="D470" s="18" t="n">
        <v>17.5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43405</v>
      </c>
      <c r="B471" s="13" t="n">
        <v>2018</v>
      </c>
      <c r="C471" s="13" t="n">
        <v>11</v>
      </c>
      <c r="D471" s="14" t="n">
        <v>17.2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43435</v>
      </c>
      <c r="B472" s="17" t="n">
        <v>2018</v>
      </c>
      <c r="C472" s="17" t="n">
        <v>12</v>
      </c>
      <c r="D472" s="18" t="n">
        <v>16.6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43466</v>
      </c>
      <c r="B473" s="13" t="n">
        <v>2019</v>
      </c>
      <c r="C473" s="13" t="n">
        <v>1</v>
      </c>
      <c r="D473" s="14" t="n">
        <v>16.6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43497</v>
      </c>
      <c r="B474" s="17" t="n">
        <v>2019</v>
      </c>
      <c r="C474" s="17" t="n">
        <v>2</v>
      </c>
      <c r="D474" s="18" t="n">
        <v>16.8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43525</v>
      </c>
      <c r="B475" s="13" t="n">
        <v>2019</v>
      </c>
      <c r="C475" s="13" t="n">
        <v>3</v>
      </c>
      <c r="D475" s="14" t="n">
        <v>17.6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43556</v>
      </c>
      <c r="B476" s="17" t="n">
        <v>2019</v>
      </c>
      <c r="C476" s="17" t="n">
        <v>4</v>
      </c>
      <c r="D476" s="18" t="n">
        <v>17.7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43586</v>
      </c>
      <c r="B477" s="13" t="n">
        <v>2019</v>
      </c>
      <c r="C477" s="13" t="n">
        <v>5</v>
      </c>
      <c r="D477" s="14" t="n">
        <v>18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43617</v>
      </c>
      <c r="B478" s="17" t="n">
        <v>2019</v>
      </c>
      <c r="C478" s="17" t="n">
        <v>6</v>
      </c>
      <c r="D478" s="18" t="n">
        <v>18.1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43647</v>
      </c>
      <c r="B479" s="13" t="n">
        <v>2019</v>
      </c>
      <c r="C479" s="13" t="n">
        <v>7</v>
      </c>
      <c r="D479" s="14" t="n">
        <v>18.7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43678</v>
      </c>
      <c r="B480" s="17" t="n">
        <v>2019</v>
      </c>
      <c r="C480" s="17" t="n">
        <v>8</v>
      </c>
      <c r="D480" s="18" t="n">
        <v>18.9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43709</v>
      </c>
      <c r="B481" s="13" t="n">
        <v>2019</v>
      </c>
      <c r="C481" s="13" t="n">
        <v>9</v>
      </c>
      <c r="D481" s="14" t="n">
        <v>19.3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43739</v>
      </c>
      <c r="B482" s="17" t="n">
        <v>2019</v>
      </c>
      <c r="C482" s="17" t="n">
        <v>10</v>
      </c>
      <c r="D482" s="18" t="n">
        <v>20.2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43770</v>
      </c>
      <c r="B483" s="13" t="n">
        <v>2019</v>
      </c>
      <c r="C483" s="13" t="n">
        <v>11</v>
      </c>
      <c r="D483" s="14" t="n">
        <v>21.2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43800</v>
      </c>
      <c r="B484" s="17" t="n">
        <v>2019</v>
      </c>
      <c r="C484" s="17" t="n">
        <v>12</v>
      </c>
      <c r="D484" s="18" t="n">
        <v>20.7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43831</v>
      </c>
      <c r="B485" s="13" t="n">
        <v>2020</v>
      </c>
      <c r="C485" s="13" t="n">
        <v>1</v>
      </c>
      <c r="D485" s="14" t="n">
        <v>19.5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43862</v>
      </c>
      <c r="B486" s="17" t="n">
        <v>2020</v>
      </c>
      <c r="C486" s="17" t="n">
        <v>2</v>
      </c>
      <c r="D486" s="18" t="n">
        <v>18.8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43891</v>
      </c>
      <c r="B487" s="13" t="n">
        <v>2020</v>
      </c>
      <c r="C487" s="13" t="n">
        <v>3</v>
      </c>
      <c r="D487" s="14" t="n">
        <v>17.8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43922</v>
      </c>
      <c r="B488" s="17" t="n">
        <v>2020</v>
      </c>
      <c r="C488" s="17" t="n">
        <v>4</v>
      </c>
      <c r="D488" s="18" t="n">
        <v>14.3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43952</v>
      </c>
      <c r="B489" s="13" t="n">
        <v>2020</v>
      </c>
      <c r="C489" s="13" t="n">
        <v>5</v>
      </c>
      <c r="D489" s="14" t="n">
        <v>13.6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43983</v>
      </c>
      <c r="B490" s="17" t="n">
        <v>2020</v>
      </c>
      <c r="C490" s="17" t="n">
        <v>6</v>
      </c>
      <c r="D490" s="18" t="n">
        <v>18.1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44013</v>
      </c>
      <c r="B491" s="13" t="n">
        <v>2020</v>
      </c>
      <c r="C491" s="13" t="n">
        <v>7</v>
      </c>
      <c r="D491" s="14" t="n">
        <v>20.5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44044</v>
      </c>
      <c r="B492" s="17" t="n">
        <v>2020</v>
      </c>
      <c r="C492" s="17" t="n">
        <v>8</v>
      </c>
      <c r="D492" s="18" t="n">
        <v>18.5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44075</v>
      </c>
      <c r="B493" s="13" t="n">
        <v>2020</v>
      </c>
      <c r="C493" s="13" t="n">
        <v>9</v>
      </c>
      <c r="D493" s="14" t="n">
        <v>17.6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44105</v>
      </c>
      <c r="B494" s="17" t="n">
        <v>2020</v>
      </c>
      <c r="C494" s="17" t="n">
        <v>10</v>
      </c>
      <c r="D494" s="18" t="n">
        <v>19.8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44136</v>
      </c>
      <c r="B495" s="13" t="n">
        <v>2020</v>
      </c>
      <c r="C495" s="13" t="n">
        <v>11</v>
      </c>
      <c r="D495" s="14" t="n">
        <v>21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44166</v>
      </c>
      <c r="B496" s="17" t="n">
        <v>2020</v>
      </c>
      <c r="C496" s="17" t="n">
        <v>12</v>
      </c>
      <c r="D496" s="18" t="n">
        <v>18.1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44197</v>
      </c>
      <c r="B497" s="13" t="n">
        <v>2021</v>
      </c>
      <c r="C497" s="13" t="n">
        <v>1</v>
      </c>
      <c r="D497" s="14" t="n">
        <v>17.1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44228</v>
      </c>
      <c r="B498" s="17" t="n">
        <v>2021</v>
      </c>
      <c r="C498" s="17" t="n">
        <v>2</v>
      </c>
      <c r="D498" s="18" t="n">
        <v>16.7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44256</v>
      </c>
      <c r="B499" s="13" t="n">
        <v>2021</v>
      </c>
      <c r="C499" s="13" t="n">
        <v>3</v>
      </c>
      <c r="D499" s="14" t="n">
        <v>17.3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44287</v>
      </c>
      <c r="B500" s="17" t="n">
        <v>2021</v>
      </c>
      <c r="C500" s="17" t="n">
        <v>4</v>
      </c>
      <c r="D500" s="18" t="n">
        <v>18.3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44317</v>
      </c>
      <c r="B501" s="13" t="n">
        <v>2021</v>
      </c>
      <c r="C501" s="13" t="n">
        <v>5</v>
      </c>
      <c r="D501" s="14" t="n">
        <v>19.1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44348</v>
      </c>
      <c r="B502" s="17" t="n">
        <v>2021</v>
      </c>
      <c r="C502" s="17" t="n">
        <v>6</v>
      </c>
      <c r="D502" s="18" t="n">
        <v>18.2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44378</v>
      </c>
      <c r="B503" s="13" t="n">
        <v>2021</v>
      </c>
      <c r="C503" s="13" t="n">
        <v>7</v>
      </c>
      <c r="D503" s="14" t="n">
        <v>17.8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44409</v>
      </c>
      <c r="B504" s="17" t="n">
        <v>2021</v>
      </c>
      <c r="C504" s="17" t="n">
        <v>8</v>
      </c>
      <c r="D504" s="18" t="n">
        <v>17.6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44440</v>
      </c>
      <c r="B505" s="13" t="n">
        <v>2021</v>
      </c>
      <c r="C505" s="13" t="n">
        <v>9</v>
      </c>
      <c r="D505" s="14" t="n">
        <v>18.3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44470</v>
      </c>
      <c r="B506" s="17" t="n">
        <v>2021</v>
      </c>
      <c r="C506" s="17" t="n">
        <v>10</v>
      </c>
      <c r="D506" s="18" t="n">
        <v>19.6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44501</v>
      </c>
      <c r="B507" s="13" t="n">
        <v>2021</v>
      </c>
      <c r="C507" s="13" t="n">
        <v>11</v>
      </c>
      <c r="D507" s="14" t="n">
        <v>20.7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44531</v>
      </c>
      <c r="B508" s="17" t="n">
        <v>2021</v>
      </c>
      <c r="C508" s="17" t="n">
        <v>12</v>
      </c>
      <c r="D508" s="18" t="n">
        <v>21.7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44562</v>
      </c>
      <c r="B509" s="13" t="n">
        <v>2022</v>
      </c>
      <c r="C509" s="13" t="n">
        <v>1</v>
      </c>
      <c r="D509" s="14" t="n">
        <v>23.9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44593</v>
      </c>
      <c r="B510" s="17" t="n">
        <v>2022</v>
      </c>
      <c r="C510" s="17" t="n">
        <v>2</v>
      </c>
      <c r="D510" s="18" t="n">
        <v>24.5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44621</v>
      </c>
      <c r="B511" s="13" t="n">
        <v>2022</v>
      </c>
      <c r="C511" s="13" t="n">
        <v>3</v>
      </c>
      <c r="D511" s="14" t="n">
        <v>25.6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44652</v>
      </c>
      <c r="B512" s="17" t="n">
        <v>2022</v>
      </c>
      <c r="C512" s="17" t="n">
        <v>4</v>
      </c>
      <c r="D512" s="18" t="n">
        <v>27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44682</v>
      </c>
      <c r="B513" s="13" t="n">
        <v>2022</v>
      </c>
      <c r="C513" s="13" t="n">
        <v>5</v>
      </c>
      <c r="D513" s="14" t="n">
        <v>27.2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44713</v>
      </c>
      <c r="B514" s="17" t="n">
        <v>2022</v>
      </c>
      <c r="C514" s="17" t="n">
        <v>6</v>
      </c>
      <c r="D514" s="18" t="n">
        <v>26.7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44743</v>
      </c>
      <c r="B515" s="13" t="n">
        <v>2022</v>
      </c>
      <c r="C515" s="13" t="n">
        <v>7</v>
      </c>
      <c r="D515" s="14" t="n">
        <v>25.5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44774</v>
      </c>
      <c r="B516" s="17" t="n">
        <v>2022</v>
      </c>
      <c r="C516" s="17" t="n">
        <v>8</v>
      </c>
      <c r="D516" s="18" t="n">
        <v>24.1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44805</v>
      </c>
      <c r="B517" s="13" t="n">
        <v>2022</v>
      </c>
      <c r="C517" s="13" t="n">
        <v>9</v>
      </c>
      <c r="D517" s="14" t="n">
        <v>24.1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44835</v>
      </c>
      <c r="B518" s="17" t="n">
        <v>2022</v>
      </c>
      <c r="C518" s="17" t="n">
        <v>10</v>
      </c>
      <c r="D518" s="18" t="n">
        <v>25.6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44866</v>
      </c>
      <c r="B519" s="13" t="n">
        <v>2022</v>
      </c>
      <c r="C519" s="13" t="n">
        <v>11</v>
      </c>
      <c r="D519" s="14" t="n">
        <v>25.4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44896</v>
      </c>
      <c r="B520" s="17" t="n">
        <v>2022</v>
      </c>
      <c r="C520" s="17" t="n">
        <v>12</v>
      </c>
      <c r="D520" s="18" t="n">
        <v>24.5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44927</v>
      </c>
      <c r="B521" s="13" t="n">
        <v>2023</v>
      </c>
      <c r="C521" s="13" t="n">
        <v>1</v>
      </c>
      <c r="D521" s="14" t="n">
        <v>22.9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44958</v>
      </c>
      <c r="B522" s="17" t="n">
        <v>2023</v>
      </c>
      <c r="C522" s="17" t="n">
        <v>2</v>
      </c>
      <c r="D522" s="18" t="n">
        <v>21.4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44986</v>
      </c>
      <c r="B523" s="13" t="n">
        <v>2023</v>
      </c>
      <c r="C523" s="13" t="n">
        <v>3</v>
      </c>
      <c r="D523" s="14" t="n">
        <v>21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45017</v>
      </c>
      <c r="B524" s="17" t="n">
        <v>2023</v>
      </c>
      <c r="C524" s="17" t="n">
        <v>4</v>
      </c>
      <c r="D524" s="18" t="n">
        <v>20.6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45047</v>
      </c>
      <c r="B525" s="13" t="n">
        <v>2023</v>
      </c>
      <c r="C525" s="13" t="n">
        <v>5</v>
      </c>
      <c r="D525" s="14" t="n">
        <v>19.1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45078</v>
      </c>
      <c r="B526" s="17" t="n">
        <v>2023</v>
      </c>
      <c r="C526" s="17" t="n">
        <v>6</v>
      </c>
      <c r="D526" s="18" t="n">
        <v>17.8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45108</v>
      </c>
      <c r="B527" s="13" t="n">
        <v>2023</v>
      </c>
      <c r="C527" s="13" t="n">
        <v>7</v>
      </c>
      <c r="D527" s="14" t="n">
        <v>17.3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45139</v>
      </c>
      <c r="B528" s="17" t="n">
        <v>2023</v>
      </c>
      <c r="C528" s="17" t="n">
        <v>8</v>
      </c>
      <c r="D528" s="18" t="n">
        <v>19.6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45170</v>
      </c>
      <c r="B529" s="13" t="n">
        <v>2023</v>
      </c>
      <c r="C529" s="13" t="n">
        <v>9</v>
      </c>
      <c r="D529" s="14" t="n">
        <v>20.9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45200</v>
      </c>
      <c r="B530" s="17" t="n">
        <v>2023</v>
      </c>
      <c r="C530" s="17" t="n">
        <v>10</v>
      </c>
      <c r="D530" s="18" t="n">
        <v>21.5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45231</v>
      </c>
      <c r="B531" s="13" t="n">
        <v>2023</v>
      </c>
      <c r="C531" s="13" t="n">
        <v>11</v>
      </c>
      <c r="D531" s="14" t="n">
        <v>21.6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45261</v>
      </c>
      <c r="B532" s="17" t="n">
        <v>2023</v>
      </c>
      <c r="C532" s="17" t="n">
        <v>12</v>
      </c>
      <c r="D532" s="18" t="n">
        <v>20.4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45292</v>
      </c>
      <c r="B533" s="13" t="n">
        <v>2024</v>
      </c>
      <c r="C533" s="13" t="n">
        <v>1</v>
      </c>
      <c r="D533" s="14" t="n">
        <v>19.9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45323</v>
      </c>
      <c r="B534" s="17" t="n">
        <v>2024</v>
      </c>
      <c r="C534" s="17" t="n">
        <v>2</v>
      </c>
      <c r="D534" s="18" t="n">
        <v>20.4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45352</v>
      </c>
      <c r="B535" s="13" t="n">
        <v>2024</v>
      </c>
      <c r="C535" s="13" t="n">
        <v>3</v>
      </c>
      <c r="D535" s="14" t="n">
        <v>20.6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45383</v>
      </c>
      <c r="B536" s="17" t="n">
        <v>2024</v>
      </c>
      <c r="C536" s="17" t="n">
        <v>4</v>
      </c>
      <c r="D536" s="18" t="n">
        <v>20.4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45413</v>
      </c>
      <c r="B537" s="13" t="n">
        <v>2024</v>
      </c>
      <c r="C537" s="13" t="n">
        <v>5</v>
      </c>
      <c r="D537" s="14" t="n">
        <v>22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45444</v>
      </c>
      <c r="B538" s="17" t="n">
        <v>2024</v>
      </c>
      <c r="C538" s="17" t="n">
        <v>6</v>
      </c>
      <c r="D538" s="18" t="n">
        <v>22.8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45474</v>
      </c>
      <c r="B539" s="13" t="n">
        <v>2024</v>
      </c>
      <c r="C539" s="13" t="n">
        <v>7</v>
      </c>
      <c r="D539" s="14" t="n">
        <v>22.8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45505</v>
      </c>
      <c r="B540" s="17" t="n">
        <v>2024</v>
      </c>
      <c r="C540" s="17" t="n">
        <v>8</v>
      </c>
      <c r="D540" s="18" t="n">
        <v>23.6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45536</v>
      </c>
      <c r="B541" s="13" t="n">
        <v>2024</v>
      </c>
      <c r="C541" s="13" t="n">
        <v>9</v>
      </c>
      <c r="D541" s="14" t="n">
        <v>25.5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45566</v>
      </c>
      <c r="B542" s="17" t="n">
        <v>2024</v>
      </c>
      <c r="C542" s="17" t="n">
        <v>10</v>
      </c>
      <c r="D542" s="18" t="n">
        <v>25.1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45597</v>
      </c>
      <c r="B543" s="13" t="n">
        <v>2024</v>
      </c>
      <c r="C543" s="13" t="n">
        <v>11</v>
      </c>
      <c r="D543" s="14" t="n">
        <v>24.2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45627</v>
      </c>
      <c r="B544" s="17" t="n">
        <v>2024</v>
      </c>
      <c r="C544" s="17" t="n">
        <v>12</v>
      </c>
      <c r="D544" s="18" t="n">
        <v>23.3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45658</v>
      </c>
      <c r="B545" s="13" t="n">
        <v>2025</v>
      </c>
      <c r="C545" s="13" t="n">
        <v>1</v>
      </c>
      <c r="D545" s="14" t="n">
        <v>24.1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45689</v>
      </c>
      <c r="B546" s="17" t="n">
        <v>2025</v>
      </c>
      <c r="C546" s="17" t="n">
        <v>2</v>
      </c>
      <c r="D546" s="18" t="n">
        <v>23.6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45717</v>
      </c>
      <c r="B547" s="13" t="n">
        <v>2025</v>
      </c>
      <c r="C547" s="13" t="n">
        <v>3</v>
      </c>
      <c r="D547" s="14" t="n">
        <v>22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45748</v>
      </c>
      <c r="B548" s="17" t="n">
        <v>2025</v>
      </c>
      <c r="C548" s="17" t="n">
        <v>4</v>
      </c>
      <c r="D548" s="18" t="n">
        <v>21.1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45778</v>
      </c>
      <c r="B549" s="13" t="n">
        <v>2025</v>
      </c>
      <c r="C549" s="13" t="n">
        <v>5</v>
      </c>
      <c r="D549" s="14" t="n">
        <v>21.4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45809</v>
      </c>
      <c r="B550" s="17" t="n">
        <v>2025</v>
      </c>
      <c r="C550" s="17" t="n">
        <v>6</v>
      </c>
      <c r="D550" s="18" t="n">
        <v>21.3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45839</v>
      </c>
      <c r="B551" s="13" t="n">
        <v>2025</v>
      </c>
      <c r="C551" s="13" t="n">
        <v>7</v>
      </c>
      <c r="D551" s="14" t="n">
        <v>20.8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45870</v>
      </c>
      <c r="B552" s="17" t="n">
        <v>2025</v>
      </c>
      <c r="C552" s="17" t="n">
        <v>8</v>
      </c>
      <c r="D552" s="18" t="n">
        <v>20.9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45901</v>
      </c>
      <c r="B553" s="13" t="n">
        <v>2025</v>
      </c>
      <c r="C553" s="13" t="n">
        <v>9</v>
      </c>
      <c r="D553" s="14" t="n">
        <v>20.4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45931</v>
      </c>
      <c r="B554" s="17" t="n">
        <v>2025</v>
      </c>
      <c r="C554" s="17" t="n">
        <v>10</v>
      </c>
      <c r="D554" s="18" t="n">
        <v>19.9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45962</v>
      </c>
      <c r="B555" s="13" t="n">
        <v>2025</v>
      </c>
      <c r="C555" s="13" t="n">
        <v>11</v>
      </c>
      <c r="D555" s="14" t="n">
        <v>19.6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45992</v>
      </c>
      <c r="B556" s="17" t="n">
        <v>2025</v>
      </c>
      <c r="C556" s="17" t="n">
        <v>12</v>
      </c>
      <c r="D556" s="18" t="n">
        <v>19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46023</v>
      </c>
      <c r="B557" s="13" t="n">
        <v>2026</v>
      </c>
      <c r="C557" s="13" t="n">
        <v>1</v>
      </c>
      <c r="D557" s="14" t="n">
        <v>17.5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46054</v>
      </c>
      <c r="B558" s="17" t="n">
        <v>2026</v>
      </c>
      <c r="C558" s="17" t="n">
        <v>2</v>
      </c>
      <c r="D558" s="18" t="n">
        <v>18.3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46082</v>
      </c>
      <c r="B559" s="13" t="n">
        <v>2026</v>
      </c>
      <c r="C559" s="13" t="n">
        <v>3</v>
      </c>
      <c r="D559" s="14" t="n">
        <v>19.7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46113</v>
      </c>
      <c r="B560" s="17" t="n">
        <v>2026</v>
      </c>
      <c r="C560" s="17" t="n">
        <v>4</v>
      </c>
      <c r="D560" s="18" t="n">
        <v>20.8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4" customWidth="1" min="6" max="6"/>
    <col width="9" customWidth="1" min="7" max="7"/>
    <col width="13" customWidth="1" min="8" max="8"/>
  </cols>
  <sheetData>
    <row r="1" ht="20.1" customHeight="1">
      <c r="A1" s="9" t="inlineStr">
        <is>
          <t>鸡蛋 — USDA NASS 价格收到价（月度）</t>
        </is>
      </c>
    </row>
    <row r="2" ht="15" customHeight="1">
      <c r="A2" s="10" t="inlineStr">
        <is>
          <t>美元/打(12枚)；元/公斤=主指标×汇率('参数与说明'!$B$6)÷0.68。趋势图用美制原值。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鸡蛋(全部)
($ / DOZEN)</t>
        </is>
      </c>
      <c r="E4" s="11" t="inlineStr">
        <is>
          <t>商品蛋(Table eggs)
($ / DOZEN)</t>
        </is>
      </c>
      <c r="F4" s="11" t="inlineStr">
        <is>
          <t>主指标(元/公斤)</t>
        </is>
      </c>
      <c r="G4" s="11" t="inlineStr">
        <is>
          <t>环比%</t>
        </is>
      </c>
      <c r="H4" s="11" t="inlineStr">
        <is>
          <t>同比%</t>
        </is>
      </c>
    </row>
    <row r="5">
      <c r="A5" s="12" t="n">
        <v>36130</v>
      </c>
      <c r="B5" s="13" t="n">
        <v>1998</v>
      </c>
      <c r="C5" s="13" t="n">
        <v>12</v>
      </c>
      <c r="D5" s="14" t="n">
        <v>0.754</v>
      </c>
      <c r="E5" s="14" t="n"/>
      <c r="F5" s="14">
        <f>IF(D5="","",D5*'参数与说明'!$B$6/0.68)</f>
        <v/>
      </c>
      <c r="G5" s="15">
        <f>IFERROR(IF(D5="","",D5/INDEX($D:$D,MATCH(EDATE($A5,-1),$A:$A,0))-1),"")</f>
        <v/>
      </c>
      <c r="H5" s="15">
        <f>IFERROR(IF(D5="","",D5/INDEX($D:$D,MATCH(EDATE($A5,-12),$A:$A,0))-1),"")</f>
        <v/>
      </c>
    </row>
    <row r="6">
      <c r="A6" s="16" t="n">
        <v>36161</v>
      </c>
      <c r="B6" s="17" t="n">
        <v>1999</v>
      </c>
      <c r="C6" s="17" t="n">
        <v>1</v>
      </c>
      <c r="D6" s="18" t="n">
        <v>0.724</v>
      </c>
      <c r="E6" s="18" t="n"/>
      <c r="F6" s="18">
        <f>IF(D6="","",D6*'参数与说明'!$B$6/0.68)</f>
        <v/>
      </c>
      <c r="G6" s="19">
        <f>IFERROR(IF(D6="","",D6/INDEX($D:$D,MATCH(EDATE($A6,-1),$A:$A,0))-1),"")</f>
        <v/>
      </c>
      <c r="H6" s="19">
        <f>IFERROR(IF(D6="","",D6/INDEX($D:$D,MATCH(EDATE($A6,-12),$A:$A,0))-1),"")</f>
        <v/>
      </c>
    </row>
    <row r="7">
      <c r="A7" s="12" t="n">
        <v>36192</v>
      </c>
      <c r="B7" s="13" t="n">
        <v>1999</v>
      </c>
      <c r="C7" s="13" t="n">
        <v>2</v>
      </c>
      <c r="D7" s="14" t="n">
        <v>0.66</v>
      </c>
      <c r="E7" s="14" t="n"/>
      <c r="F7" s="14">
        <f>IF(D7="","",D7*'参数与说明'!$B$6/0.68)</f>
        <v/>
      </c>
      <c r="G7" s="15">
        <f>IFERROR(IF(D7="","",D7/INDEX($D:$D,MATCH(EDATE($A7,-1),$A:$A,0))-1),"")</f>
        <v/>
      </c>
      <c r="H7" s="15">
        <f>IFERROR(IF(D7="","",D7/INDEX($D:$D,MATCH(EDATE($A7,-12),$A:$A,0))-1),"")</f>
        <v/>
      </c>
    </row>
    <row r="8">
      <c r="A8" s="16" t="n">
        <v>36220</v>
      </c>
      <c r="B8" s="17" t="n">
        <v>1999</v>
      </c>
      <c r="C8" s="17" t="n">
        <v>3</v>
      </c>
      <c r="D8" s="18" t="n">
        <v>0.6850000000000001</v>
      </c>
      <c r="E8" s="18" t="n"/>
      <c r="F8" s="18">
        <f>IF(D8="","",D8*'参数与说明'!$B$6/0.68)</f>
        <v/>
      </c>
      <c r="G8" s="19">
        <f>IFERROR(IF(D8="","",D8/INDEX($D:$D,MATCH(EDATE($A8,-1),$A:$A,0))-1),"")</f>
        <v/>
      </c>
      <c r="H8" s="19">
        <f>IFERROR(IF(D8="","",D8/INDEX($D:$D,MATCH(EDATE($A8,-12),$A:$A,0))-1),"")</f>
        <v/>
      </c>
    </row>
    <row r="9">
      <c r="A9" s="12" t="n">
        <v>36251</v>
      </c>
      <c r="B9" s="13" t="n">
        <v>1999</v>
      </c>
      <c r="C9" s="13" t="n">
        <v>4</v>
      </c>
      <c r="D9" s="14" t="n">
        <v>0.602</v>
      </c>
      <c r="E9" s="14" t="n"/>
      <c r="F9" s="14">
        <f>IF(D9="","",D9*'参数与说明'!$B$6/0.68)</f>
        <v/>
      </c>
      <c r="G9" s="15">
        <f>IFERROR(IF(D9="","",D9/INDEX($D:$D,MATCH(EDATE($A9,-1),$A:$A,0))-1),"")</f>
        <v/>
      </c>
      <c r="H9" s="15">
        <f>IFERROR(IF(D9="","",D9/INDEX($D:$D,MATCH(EDATE($A9,-12),$A:$A,0))-1),"")</f>
        <v/>
      </c>
    </row>
    <row r="10">
      <c r="A10" s="16" t="n">
        <v>36281</v>
      </c>
      <c r="B10" s="17" t="n">
        <v>1999</v>
      </c>
      <c r="C10" s="17" t="n">
        <v>5</v>
      </c>
      <c r="D10" s="18" t="n">
        <v>0.548</v>
      </c>
      <c r="E10" s="18" t="n"/>
      <c r="F10" s="18">
        <f>IF(D10="","",D10*'参数与说明'!$B$6/0.68)</f>
        <v/>
      </c>
      <c r="G10" s="19">
        <f>IFERROR(IF(D10="","",D10/INDEX($D:$D,MATCH(EDATE($A10,-1),$A:$A,0))-1),"")</f>
        <v/>
      </c>
      <c r="H10" s="19">
        <f>IFERROR(IF(D10="","",D10/INDEX($D:$D,MATCH(EDATE($A10,-12),$A:$A,0))-1),"")</f>
        <v/>
      </c>
    </row>
    <row r="11">
      <c r="A11" s="12" t="n">
        <v>36312</v>
      </c>
      <c r="B11" s="13" t="n">
        <v>1999</v>
      </c>
      <c r="C11" s="13" t="n">
        <v>6</v>
      </c>
      <c r="D11" s="14" t="n">
        <v>0.5620000000000001</v>
      </c>
      <c r="E11" s="14" t="n"/>
      <c r="F11" s="14">
        <f>IF(D11="","",D11*'参数与说明'!$B$6/0.68)</f>
        <v/>
      </c>
      <c r="G11" s="15">
        <f>IFERROR(IF(D11="","",D11/INDEX($D:$D,MATCH(EDATE($A11,-1),$A:$A,0))-1),"")</f>
        <v/>
      </c>
      <c r="H11" s="15">
        <f>IFERROR(IF(D11="","",D11/INDEX($D:$D,MATCH(EDATE($A11,-12),$A:$A,0))-1),"")</f>
        <v/>
      </c>
    </row>
    <row r="12">
      <c r="A12" s="16" t="n">
        <v>36342</v>
      </c>
      <c r="B12" s="17" t="n">
        <v>1999</v>
      </c>
      <c r="C12" s="17" t="n">
        <v>7</v>
      </c>
      <c r="D12" s="18" t="n">
        <v>0.587</v>
      </c>
      <c r="E12" s="18" t="n"/>
      <c r="F12" s="18">
        <f>IF(D12="","",D12*'参数与说明'!$B$6/0.68)</f>
        <v/>
      </c>
      <c r="G12" s="19">
        <f>IFERROR(IF(D12="","",D12/INDEX($D:$D,MATCH(EDATE($A12,-1),$A:$A,0))-1),"")</f>
        <v/>
      </c>
      <c r="H12" s="19">
        <f>IFERROR(IF(D12="","",D12/INDEX($D:$D,MATCH(EDATE($A12,-12),$A:$A,0))-1),"")</f>
        <v/>
      </c>
    </row>
    <row r="13">
      <c r="A13" s="12" t="n">
        <v>36373</v>
      </c>
      <c r="B13" s="13" t="n">
        <v>1999</v>
      </c>
      <c r="C13" s="13" t="n">
        <v>8</v>
      </c>
      <c r="D13" s="14" t="n">
        <v>0.596</v>
      </c>
      <c r="E13" s="14" t="n"/>
      <c r="F13" s="14">
        <f>IF(D13="","",D13*'参数与说明'!$B$6/0.68)</f>
        <v/>
      </c>
      <c r="G13" s="15">
        <f>IFERROR(IF(D13="","",D13/INDEX($D:$D,MATCH(EDATE($A13,-1),$A:$A,0))-1),"")</f>
        <v/>
      </c>
      <c r="H13" s="15">
        <f>IFERROR(IF(D13="","",D13/INDEX($D:$D,MATCH(EDATE($A13,-12),$A:$A,0))-1),"")</f>
        <v/>
      </c>
    </row>
    <row r="14">
      <c r="A14" s="16" t="n">
        <v>36404</v>
      </c>
      <c r="B14" s="17" t="n">
        <v>1999</v>
      </c>
      <c r="C14" s="17" t="n">
        <v>9</v>
      </c>
      <c r="D14" s="18" t="n">
        <v>0.574</v>
      </c>
      <c r="E14" s="18" t="n"/>
      <c r="F14" s="18">
        <f>IF(D14="","",D14*'参数与说明'!$B$6/0.68)</f>
        <v/>
      </c>
      <c r="G14" s="19">
        <f>IFERROR(IF(D14="","",D14/INDEX($D:$D,MATCH(EDATE($A14,-1),$A:$A,0))-1),"")</f>
        <v/>
      </c>
      <c r="H14" s="19">
        <f>IFERROR(IF(D14="","",D14/INDEX($D:$D,MATCH(EDATE($A14,-12),$A:$A,0))-1),"")</f>
        <v/>
      </c>
    </row>
    <row r="15">
      <c r="A15" s="12" t="n">
        <v>36434</v>
      </c>
      <c r="B15" s="13" t="n">
        <v>1999</v>
      </c>
      <c r="C15" s="13" t="n">
        <v>10</v>
      </c>
      <c r="D15" s="14" t="n">
        <v>0.519</v>
      </c>
      <c r="E15" s="14" t="n"/>
      <c r="F15" s="14">
        <f>IF(D15="","",D15*'参数与说明'!$B$6/0.68)</f>
        <v/>
      </c>
      <c r="G15" s="15">
        <f>IFERROR(IF(D15="","",D15/INDEX($D:$D,MATCH(EDATE($A15,-1),$A:$A,0))-1),"")</f>
        <v/>
      </c>
      <c r="H15" s="15">
        <f>IFERROR(IF(D15="","",D15/INDEX($D:$D,MATCH(EDATE($A15,-12),$A:$A,0))-1),"")</f>
        <v/>
      </c>
    </row>
    <row r="16">
      <c r="A16" s="16" t="n">
        <v>36465</v>
      </c>
      <c r="B16" s="17" t="n">
        <v>1999</v>
      </c>
      <c r="C16" s="17" t="n">
        <v>11</v>
      </c>
      <c r="D16" s="18" t="n">
        <v>0.64</v>
      </c>
      <c r="E16" s="18" t="n"/>
      <c r="F16" s="18">
        <f>IF(D16="","",D16*'参数与说明'!$B$6/0.68)</f>
        <v/>
      </c>
      <c r="G16" s="19">
        <f>IFERROR(IF(D16="","",D16/INDEX($D:$D,MATCH(EDATE($A16,-1),$A:$A,0))-1),"")</f>
        <v/>
      </c>
      <c r="H16" s="19">
        <f>IFERROR(IF(D16="","",D16/INDEX($D:$D,MATCH(EDATE($A16,-12),$A:$A,0))-1),"")</f>
        <v/>
      </c>
    </row>
    <row r="17">
      <c r="A17" s="12" t="n">
        <v>36495</v>
      </c>
      <c r="B17" s="13" t="n">
        <v>1999</v>
      </c>
      <c r="C17" s="13" t="n">
        <v>12</v>
      </c>
      <c r="D17" s="14" t="n">
        <v>0.603</v>
      </c>
      <c r="E17" s="14" t="n"/>
      <c r="F17" s="14">
        <f>IF(D17="","",D17*'参数与说明'!$B$6/0.68)</f>
        <v/>
      </c>
      <c r="G17" s="15">
        <f>IFERROR(IF(D17="","",D17/INDEX($D:$D,MATCH(EDATE($A17,-1),$A:$A,0))-1),"")</f>
        <v/>
      </c>
      <c r="H17" s="15">
        <f>IFERROR(IF(D17="","",D17/INDEX($D:$D,MATCH(EDATE($A17,-12),$A:$A,0))-1),"")</f>
        <v/>
      </c>
    </row>
    <row r="18">
      <c r="A18" s="16" t="n">
        <v>36526</v>
      </c>
      <c r="B18" s="17" t="n">
        <v>2000</v>
      </c>
      <c r="C18" s="17" t="n">
        <v>1</v>
      </c>
      <c r="D18" s="18" t="n">
        <v>0.577</v>
      </c>
      <c r="E18" s="18" t="n"/>
      <c r="F18" s="18">
        <f>IF(D18="","",D18*'参数与说明'!$B$6/0.68)</f>
        <v/>
      </c>
      <c r="G18" s="19">
        <f>IFERROR(IF(D18="","",D18/INDEX($D:$D,MATCH(EDATE($A18,-1),$A:$A,0))-1),"")</f>
        <v/>
      </c>
      <c r="H18" s="19">
        <f>IFERROR(IF(D18="","",D18/INDEX($D:$D,MATCH(EDATE($A18,-12),$A:$A,0))-1),"")</f>
        <v/>
      </c>
    </row>
    <row r="19">
      <c r="A19" s="12" t="n">
        <v>36557</v>
      </c>
      <c r="B19" s="13" t="n">
        <v>2000</v>
      </c>
      <c r="C19" s="13" t="n">
        <v>2</v>
      </c>
      <c r="D19" s="14" t="n">
        <v>0.679</v>
      </c>
      <c r="E19" s="14" t="n"/>
      <c r="F19" s="14">
        <f>IF(D19="","",D19*'参数与说明'!$B$6/0.68)</f>
        <v/>
      </c>
      <c r="G19" s="15">
        <f>IFERROR(IF(D19="","",D19/INDEX($D:$D,MATCH(EDATE($A19,-1),$A:$A,0))-1),"")</f>
        <v/>
      </c>
      <c r="H19" s="15">
        <f>IFERROR(IF(D19="","",D19/INDEX($D:$D,MATCH(EDATE($A19,-12),$A:$A,0))-1),"")</f>
        <v/>
      </c>
    </row>
    <row r="20">
      <c r="A20" s="16" t="n">
        <v>36586</v>
      </c>
      <c r="B20" s="17" t="n">
        <v>2000</v>
      </c>
      <c r="C20" s="17" t="n">
        <v>3</v>
      </c>
      <c r="D20" s="18" t="n">
        <v>0.5679999999999999</v>
      </c>
      <c r="E20" s="18" t="n"/>
      <c r="F20" s="18">
        <f>IF(D20="","",D20*'参数与说明'!$B$6/0.68)</f>
        <v/>
      </c>
      <c r="G20" s="19">
        <f>IFERROR(IF(D20="","",D20/INDEX($D:$D,MATCH(EDATE($A20,-1),$A:$A,0))-1),"")</f>
        <v/>
      </c>
      <c r="H20" s="19">
        <f>IFERROR(IF(D20="","",D20/INDEX($D:$D,MATCH(EDATE($A20,-12),$A:$A,0))-1),"")</f>
        <v/>
      </c>
    </row>
    <row r="21">
      <c r="A21" s="12" t="n">
        <v>36617</v>
      </c>
      <c r="B21" s="13" t="n">
        <v>2000</v>
      </c>
      <c r="C21" s="13" t="n">
        <v>4</v>
      </c>
      <c r="D21" s="14" t="n">
        <v>0.647</v>
      </c>
      <c r="E21" s="14" t="n"/>
      <c r="F21" s="14">
        <f>IF(D21="","",D21*'参数与说明'!$B$6/0.68)</f>
        <v/>
      </c>
      <c r="G21" s="15">
        <f>IFERROR(IF(D21="","",D21/INDEX($D:$D,MATCH(EDATE($A21,-1),$A:$A,0))-1),"")</f>
        <v/>
      </c>
      <c r="H21" s="15">
        <f>IFERROR(IF(D21="","",D21/INDEX($D:$D,MATCH(EDATE($A21,-12),$A:$A,0))-1),"")</f>
        <v/>
      </c>
    </row>
    <row r="22">
      <c r="A22" s="16" t="n">
        <v>36647</v>
      </c>
      <c r="B22" s="17" t="n">
        <v>2000</v>
      </c>
      <c r="C22" s="17" t="n">
        <v>5</v>
      </c>
      <c r="D22" s="18" t="n">
        <v>0.519</v>
      </c>
      <c r="E22" s="18" t="n"/>
      <c r="F22" s="18">
        <f>IF(D22="","",D22*'参数与说明'!$B$6/0.68)</f>
        <v/>
      </c>
      <c r="G22" s="19">
        <f>IFERROR(IF(D22="","",D22/INDEX($D:$D,MATCH(EDATE($A22,-1),$A:$A,0))-1),"")</f>
        <v/>
      </c>
      <c r="H22" s="19">
        <f>IFERROR(IF(D22="","",D22/INDEX($D:$D,MATCH(EDATE($A22,-12),$A:$A,0))-1),"")</f>
        <v/>
      </c>
    </row>
    <row r="23">
      <c r="A23" s="12" t="n">
        <v>36678</v>
      </c>
      <c r="B23" s="13" t="n">
        <v>2000</v>
      </c>
      <c r="C23" s="13" t="n">
        <v>6</v>
      </c>
      <c r="D23" s="14" t="n">
        <v>0.617</v>
      </c>
      <c r="E23" s="14" t="n"/>
      <c r="F23" s="14">
        <f>IF(D23="","",D23*'参数与说明'!$B$6/0.68)</f>
        <v/>
      </c>
      <c r="G23" s="15">
        <f>IFERROR(IF(D23="","",D23/INDEX($D:$D,MATCH(EDATE($A23,-1),$A:$A,0))-1),"")</f>
        <v/>
      </c>
      <c r="H23" s="15">
        <f>IFERROR(IF(D23="","",D23/INDEX($D:$D,MATCH(EDATE($A23,-12),$A:$A,0))-1),"")</f>
        <v/>
      </c>
    </row>
    <row r="24">
      <c r="A24" s="16" t="n">
        <v>36708</v>
      </c>
      <c r="B24" s="17" t="n">
        <v>2000</v>
      </c>
      <c r="C24" s="17" t="n">
        <v>7</v>
      </c>
      <c r="D24" s="18" t="n">
        <v>0.5639999999999999</v>
      </c>
      <c r="E24" s="18" t="n"/>
      <c r="F24" s="18">
        <f>IF(D24="","",D24*'参数与说明'!$B$6/0.68)</f>
        <v/>
      </c>
      <c r="G24" s="19">
        <f>IFERROR(IF(D24="","",D24/INDEX($D:$D,MATCH(EDATE($A24,-1),$A:$A,0))-1),"")</f>
        <v/>
      </c>
      <c r="H24" s="19">
        <f>IFERROR(IF(D24="","",D24/INDEX($D:$D,MATCH(EDATE($A24,-12),$A:$A,0))-1),"")</f>
        <v/>
      </c>
    </row>
    <row r="25">
      <c r="A25" s="12" t="n">
        <v>36739</v>
      </c>
      <c r="B25" s="13" t="n">
        <v>2000</v>
      </c>
      <c r="C25" s="13" t="n">
        <v>8</v>
      </c>
      <c r="D25" s="14" t="n">
        <v>0.663</v>
      </c>
      <c r="E25" s="14" t="n"/>
      <c r="F25" s="14">
        <f>IF(D25="","",D25*'参数与说明'!$B$6/0.68)</f>
        <v/>
      </c>
      <c r="G25" s="15">
        <f>IFERROR(IF(D25="","",D25/INDEX($D:$D,MATCH(EDATE($A25,-1),$A:$A,0))-1),"")</f>
        <v/>
      </c>
      <c r="H25" s="15">
        <f>IFERROR(IF(D25="","",D25/INDEX($D:$D,MATCH(EDATE($A25,-12),$A:$A,0))-1),"")</f>
        <v/>
      </c>
    </row>
    <row r="26">
      <c r="A26" s="16" t="n">
        <v>36770</v>
      </c>
      <c r="B26" s="17" t="n">
        <v>2000</v>
      </c>
      <c r="C26" s="17" t="n">
        <v>9</v>
      </c>
      <c r="D26" s="18" t="n">
        <v>0.591</v>
      </c>
      <c r="E26" s="18" t="n"/>
      <c r="F26" s="18">
        <f>IF(D26="","",D26*'参数与说明'!$B$6/0.68)</f>
        <v/>
      </c>
      <c r="G26" s="19">
        <f>IFERROR(IF(D26="","",D26/INDEX($D:$D,MATCH(EDATE($A26,-1),$A:$A,0))-1),"")</f>
        <v/>
      </c>
      <c r="H26" s="19">
        <f>IFERROR(IF(D26="","",D26/INDEX($D:$D,MATCH(EDATE($A26,-12),$A:$A,0))-1),"")</f>
        <v/>
      </c>
    </row>
    <row r="27">
      <c r="A27" s="12" t="n">
        <v>36800</v>
      </c>
      <c r="B27" s="13" t="n">
        <v>2000</v>
      </c>
      <c r="C27" s="13" t="n">
        <v>10</v>
      </c>
      <c r="D27" s="14" t="n">
        <v>0.667</v>
      </c>
      <c r="E27" s="14" t="n"/>
      <c r="F27" s="14">
        <f>IF(D27="","",D27*'参数与说明'!$B$6/0.68)</f>
        <v/>
      </c>
      <c r="G27" s="15">
        <f>IFERROR(IF(D27="","",D27/INDEX($D:$D,MATCH(EDATE($A27,-1),$A:$A,0))-1),"")</f>
        <v/>
      </c>
      <c r="H27" s="15">
        <f>IFERROR(IF(D27="","",D27/INDEX($D:$D,MATCH(EDATE($A27,-12),$A:$A,0))-1),"")</f>
        <v/>
      </c>
    </row>
    <row r="28">
      <c r="A28" s="16" t="n">
        <v>36831</v>
      </c>
      <c r="B28" s="17" t="n">
        <v>2000</v>
      </c>
      <c r="C28" s="17" t="n">
        <v>11</v>
      </c>
      <c r="D28" s="18" t="n">
        <v>0.719</v>
      </c>
      <c r="E28" s="18" t="n"/>
      <c r="F28" s="18">
        <f>IF(D28="","",D28*'参数与说明'!$B$6/0.68)</f>
        <v/>
      </c>
      <c r="G28" s="19">
        <f>IFERROR(IF(D28="","",D28/INDEX($D:$D,MATCH(EDATE($A28,-1),$A:$A,0))-1),"")</f>
        <v/>
      </c>
      <c r="H28" s="19">
        <f>IFERROR(IF(D28="","",D28/INDEX($D:$D,MATCH(EDATE($A28,-12),$A:$A,0))-1),"")</f>
        <v/>
      </c>
    </row>
    <row r="29">
      <c r="A29" s="12" t="n">
        <v>36861</v>
      </c>
      <c r="B29" s="13" t="n">
        <v>2000</v>
      </c>
      <c r="C29" s="13" t="n">
        <v>12</v>
      </c>
      <c r="D29" s="14" t="n">
        <v>0.806</v>
      </c>
      <c r="E29" s="14" t="n">
        <v>0.674</v>
      </c>
      <c r="F29" s="14">
        <f>IF(D29="","",D29*'参数与说明'!$B$6/0.68)</f>
        <v/>
      </c>
      <c r="G29" s="15">
        <f>IFERROR(IF(D29="","",D29/INDEX($D:$D,MATCH(EDATE($A29,-1),$A:$A,0))-1),"")</f>
        <v/>
      </c>
      <c r="H29" s="15">
        <f>IFERROR(IF(D29="","",D29/INDEX($D:$D,MATCH(EDATE($A29,-12),$A:$A,0))-1),"")</f>
        <v/>
      </c>
    </row>
    <row r="30">
      <c r="A30" s="16" t="n">
        <v>36892</v>
      </c>
      <c r="B30" s="17" t="n">
        <v>2001</v>
      </c>
      <c r="C30" s="17" t="n">
        <v>1</v>
      </c>
      <c r="D30" s="18" t="n">
        <v>0.668</v>
      </c>
      <c r="E30" s="18" t="n">
        <v>0.507</v>
      </c>
      <c r="F30" s="18">
        <f>IF(D30="","",D30*'参数与说明'!$B$6/0.68)</f>
        <v/>
      </c>
      <c r="G30" s="19">
        <f>IFERROR(IF(D30="","",D30/INDEX($D:$D,MATCH(EDATE($A30,-1),$A:$A,0))-1),"")</f>
        <v/>
      </c>
      <c r="H30" s="19">
        <f>IFERROR(IF(D30="","",D30/INDEX($D:$D,MATCH(EDATE($A30,-12),$A:$A,0))-1),"")</f>
        <v/>
      </c>
    </row>
    <row r="31">
      <c r="A31" s="12" t="n">
        <v>36923</v>
      </c>
      <c r="B31" s="13" t="n">
        <v>2001</v>
      </c>
      <c r="C31" s="13" t="n">
        <v>2</v>
      </c>
      <c r="D31" s="14" t="n">
        <v>0.665</v>
      </c>
      <c r="E31" s="14" t="n">
        <v>0.501</v>
      </c>
      <c r="F31" s="14">
        <f>IF(D31="","",D31*'参数与说明'!$B$6/0.68)</f>
        <v/>
      </c>
      <c r="G31" s="15">
        <f>IFERROR(IF(D31="","",D31/INDEX($D:$D,MATCH(EDATE($A31,-1),$A:$A,0))-1),"")</f>
        <v/>
      </c>
      <c r="H31" s="15">
        <f>IFERROR(IF(D31="","",D31/INDEX($D:$D,MATCH(EDATE($A31,-12),$A:$A,0))-1),"")</f>
        <v/>
      </c>
    </row>
    <row r="32">
      <c r="A32" s="16" t="n">
        <v>36951</v>
      </c>
      <c r="B32" s="17" t="n">
        <v>2001</v>
      </c>
      <c r="C32" s="17" t="n">
        <v>3</v>
      </c>
      <c r="D32" s="18" t="n">
        <v>0.676</v>
      </c>
      <c r="E32" s="18" t="n">
        <v>0.517</v>
      </c>
      <c r="F32" s="18">
        <f>IF(D32="","",D32*'参数与说明'!$B$6/0.68)</f>
        <v/>
      </c>
      <c r="G32" s="19">
        <f>IFERROR(IF(D32="","",D32/INDEX($D:$D,MATCH(EDATE($A32,-1),$A:$A,0))-1),"")</f>
        <v/>
      </c>
      <c r="H32" s="19">
        <f>IFERROR(IF(D32="","",D32/INDEX($D:$D,MATCH(EDATE($A32,-12),$A:$A,0))-1),"")</f>
        <v/>
      </c>
    </row>
    <row r="33">
      <c r="A33" s="12" t="n">
        <v>36982</v>
      </c>
      <c r="B33" s="13" t="n">
        <v>2001</v>
      </c>
      <c r="C33" s="13" t="n">
        <v>4</v>
      </c>
      <c r="D33" s="14" t="n">
        <v>0.649</v>
      </c>
      <c r="E33" s="14" t="n">
        <v>0.484</v>
      </c>
      <c r="F33" s="14">
        <f>IF(D33="","",D33*'参数与说明'!$B$6/0.68)</f>
        <v/>
      </c>
      <c r="G33" s="15">
        <f>IFERROR(IF(D33="","",D33/INDEX($D:$D,MATCH(EDATE($A33,-1),$A:$A,0))-1),"")</f>
        <v/>
      </c>
      <c r="H33" s="15">
        <f>IFERROR(IF(D33="","",D33/INDEX($D:$D,MATCH(EDATE($A33,-12),$A:$A,0))-1),"")</f>
        <v/>
      </c>
    </row>
    <row r="34">
      <c r="A34" s="16" t="n">
        <v>37012</v>
      </c>
      <c r="B34" s="17" t="n">
        <v>2001</v>
      </c>
      <c r="C34" s="17" t="n">
        <v>5</v>
      </c>
      <c r="D34" s="18" t="n">
        <v>0.552</v>
      </c>
      <c r="E34" s="18" t="n">
        <v>0.365</v>
      </c>
      <c r="F34" s="18">
        <f>IF(D34="","",D34*'参数与说明'!$B$6/0.68)</f>
        <v/>
      </c>
      <c r="G34" s="19">
        <f>IFERROR(IF(D34="","",D34/INDEX($D:$D,MATCH(EDATE($A34,-1),$A:$A,0))-1),"")</f>
        <v/>
      </c>
      <c r="H34" s="19">
        <f>IFERROR(IF(D34="","",D34/INDEX($D:$D,MATCH(EDATE($A34,-12),$A:$A,0))-1),"")</f>
        <v/>
      </c>
    </row>
    <row r="35">
      <c r="A35" s="12" t="n">
        <v>37043</v>
      </c>
      <c r="B35" s="13" t="n">
        <v>2001</v>
      </c>
      <c r="C35" s="13" t="n">
        <v>6</v>
      </c>
      <c r="D35" s="14" t="n">
        <v>0.549</v>
      </c>
      <c r="E35" s="14" t="n">
        <v>0.362</v>
      </c>
      <c r="F35" s="14">
        <f>IF(D35="","",D35*'参数与说明'!$B$6/0.68)</f>
        <v/>
      </c>
      <c r="G35" s="15">
        <f>IFERROR(IF(D35="","",D35/INDEX($D:$D,MATCH(EDATE($A35,-1),$A:$A,0))-1),"")</f>
        <v/>
      </c>
      <c r="H35" s="15">
        <f>IFERROR(IF(D35="","",D35/INDEX($D:$D,MATCH(EDATE($A35,-12),$A:$A,0))-1),"")</f>
        <v/>
      </c>
    </row>
    <row r="36">
      <c r="A36" s="16" t="n">
        <v>37073</v>
      </c>
      <c r="B36" s="17" t="n">
        <v>2001</v>
      </c>
      <c r="C36" s="17" t="n">
        <v>7</v>
      </c>
      <c r="D36" s="18" t="n">
        <v>0.539</v>
      </c>
      <c r="E36" s="18" t="n">
        <v>0.353</v>
      </c>
      <c r="F36" s="18">
        <f>IF(D36="","",D36*'参数与说明'!$B$6/0.68)</f>
        <v/>
      </c>
      <c r="G36" s="19">
        <f>IFERROR(IF(D36="","",D36/INDEX($D:$D,MATCH(EDATE($A36,-1),$A:$A,0))-1),"")</f>
        <v/>
      </c>
      <c r="H36" s="19">
        <f>IFERROR(IF(D36="","",D36/INDEX($D:$D,MATCH(EDATE($A36,-12),$A:$A,0))-1),"")</f>
        <v/>
      </c>
    </row>
    <row r="37">
      <c r="A37" s="12" t="n">
        <v>37104</v>
      </c>
      <c r="B37" s="13" t="n">
        <v>2001</v>
      </c>
      <c r="C37" s="13" t="n">
        <v>8</v>
      </c>
      <c r="D37" s="14" t="n">
        <v>0.5649999999999999</v>
      </c>
      <c r="E37" s="14" t="n">
        <v>0.388</v>
      </c>
      <c r="F37" s="14">
        <f>IF(D37="","",D37*'参数与说明'!$B$6/0.68)</f>
        <v/>
      </c>
      <c r="G37" s="15">
        <f>IFERROR(IF(D37="","",D37/INDEX($D:$D,MATCH(EDATE($A37,-1),$A:$A,0))-1),"")</f>
        <v/>
      </c>
      <c r="H37" s="15">
        <f>IFERROR(IF(D37="","",D37/INDEX($D:$D,MATCH(EDATE($A37,-12),$A:$A,0))-1),"")</f>
        <v/>
      </c>
    </row>
    <row r="38">
      <c r="A38" s="16" t="n">
        <v>37135</v>
      </c>
      <c r="B38" s="17" t="n">
        <v>2001</v>
      </c>
      <c r="C38" s="17" t="n">
        <v>9</v>
      </c>
      <c r="D38" s="18" t="n">
        <v>0.554</v>
      </c>
      <c r="E38" s="18" t="n">
        <v>0.377</v>
      </c>
      <c r="F38" s="18">
        <f>IF(D38="","",D38*'参数与说明'!$B$6/0.68)</f>
        <v/>
      </c>
      <c r="G38" s="19">
        <f>IFERROR(IF(D38="","",D38/INDEX($D:$D,MATCH(EDATE($A38,-1),$A:$A,0))-1),"")</f>
        <v/>
      </c>
      <c r="H38" s="19">
        <f>IFERROR(IF(D38="","",D38/INDEX($D:$D,MATCH(EDATE($A38,-12),$A:$A,0))-1),"")</f>
        <v/>
      </c>
    </row>
    <row r="39">
      <c r="A39" s="12" t="n">
        <v>37165</v>
      </c>
      <c r="B39" s="13" t="n">
        <v>2001</v>
      </c>
      <c r="C39" s="13" t="n">
        <v>10</v>
      </c>
      <c r="D39" s="14" t="n">
        <v>0.597</v>
      </c>
      <c r="E39" s="14" t="n">
        <v>0.43</v>
      </c>
      <c r="F39" s="14">
        <f>IF(D39="","",D39*'参数与说明'!$B$6/0.68)</f>
        <v/>
      </c>
      <c r="G39" s="15">
        <f>IFERROR(IF(D39="","",D39/INDEX($D:$D,MATCH(EDATE($A39,-1),$A:$A,0))-1),"")</f>
        <v/>
      </c>
      <c r="H39" s="15">
        <f>IFERROR(IF(D39="","",D39/INDEX($D:$D,MATCH(EDATE($A39,-12),$A:$A,0))-1),"")</f>
        <v/>
      </c>
    </row>
    <row r="40">
      <c r="A40" s="16" t="n">
        <v>37196</v>
      </c>
      <c r="B40" s="17" t="n">
        <v>2001</v>
      </c>
      <c r="C40" s="17" t="n">
        <v>11</v>
      </c>
      <c r="D40" s="18" t="n">
        <v>0.641</v>
      </c>
      <c r="E40" s="18" t="n">
        <v>0.486</v>
      </c>
      <c r="F40" s="18">
        <f>IF(D40="","",D40*'参数与说明'!$B$6/0.68)</f>
        <v/>
      </c>
      <c r="G40" s="19">
        <f>IFERROR(IF(D40="","",D40/INDEX($D:$D,MATCH(EDATE($A40,-1),$A:$A,0))-1),"")</f>
        <v/>
      </c>
      <c r="H40" s="19">
        <f>IFERROR(IF(D40="","",D40/INDEX($D:$D,MATCH(EDATE($A40,-12),$A:$A,0))-1),"")</f>
        <v/>
      </c>
    </row>
    <row r="41">
      <c r="A41" s="12" t="n">
        <v>37226</v>
      </c>
      <c r="B41" s="13" t="n">
        <v>2001</v>
      </c>
      <c r="C41" s="13" t="n">
        <v>12</v>
      </c>
      <c r="D41" s="14" t="n">
        <v>0.677</v>
      </c>
      <c r="E41" s="14" t="n">
        <v>0.506</v>
      </c>
      <c r="F41" s="14">
        <f>IF(D41="","",D41*'参数与说明'!$B$6/0.68)</f>
        <v/>
      </c>
      <c r="G41" s="15">
        <f>IFERROR(IF(D41="","",D41/INDEX($D:$D,MATCH(EDATE($A41,-1),$A:$A,0))-1),"")</f>
        <v/>
      </c>
      <c r="H41" s="15">
        <f>IFERROR(IF(D41="","",D41/INDEX($D:$D,MATCH(EDATE($A41,-12),$A:$A,0))-1),"")</f>
        <v/>
      </c>
    </row>
    <row r="42">
      <c r="A42" s="16" t="n">
        <v>37257</v>
      </c>
      <c r="B42" s="17" t="n">
        <v>2002</v>
      </c>
      <c r="C42" s="17" t="n">
        <v>1</v>
      </c>
      <c r="D42" s="18" t="n">
        <v>0.744</v>
      </c>
      <c r="E42" s="18" t="n">
        <v>0.552</v>
      </c>
      <c r="F42" s="18">
        <f>IF(D42="","",D42*'参数与说明'!$B$6/0.68)</f>
        <v/>
      </c>
      <c r="G42" s="19">
        <f>IFERROR(IF(D42="","",D42/INDEX($D:$D,MATCH(EDATE($A42,-1),$A:$A,0))-1),"")</f>
        <v/>
      </c>
      <c r="H42" s="19">
        <f>IFERROR(IF(D42="","",D42/INDEX($D:$D,MATCH(EDATE($A42,-12),$A:$A,0))-1),"")</f>
        <v/>
      </c>
    </row>
    <row r="43">
      <c r="A43" s="12" t="n">
        <v>37288</v>
      </c>
      <c r="B43" s="13" t="n">
        <v>2002</v>
      </c>
      <c r="C43" s="13" t="n">
        <v>2</v>
      </c>
      <c r="D43" s="14" t="n">
        <v>0.554</v>
      </c>
      <c r="E43" s="14" t="n">
        <v>0.368</v>
      </c>
      <c r="F43" s="14">
        <f>IF(D43="","",D43*'参数与说明'!$B$6/0.68)</f>
        <v/>
      </c>
      <c r="G43" s="15">
        <f>IFERROR(IF(D43="","",D43/INDEX($D:$D,MATCH(EDATE($A43,-1),$A:$A,0))-1),"")</f>
        <v/>
      </c>
      <c r="H43" s="15">
        <f>IFERROR(IF(D43="","",D43/INDEX($D:$D,MATCH(EDATE($A43,-12),$A:$A,0))-1),"")</f>
        <v/>
      </c>
    </row>
    <row r="44">
      <c r="A44" s="16" t="n">
        <v>37316</v>
      </c>
      <c r="B44" s="17" t="n">
        <v>2002</v>
      </c>
      <c r="C44" s="17" t="n">
        <v>3</v>
      </c>
      <c r="D44" s="18" t="n">
        <v>0.676</v>
      </c>
      <c r="E44" s="18" t="n">
        <v>0.513</v>
      </c>
      <c r="F44" s="18">
        <f>IF(D44="","",D44*'参数与说明'!$B$6/0.68)</f>
        <v/>
      </c>
      <c r="G44" s="19">
        <f>IFERROR(IF(D44="","",D44/INDEX($D:$D,MATCH(EDATE($A44,-1),$A:$A,0))-1),"")</f>
        <v/>
      </c>
      <c r="H44" s="19">
        <f>IFERROR(IF(D44="","",D44/INDEX($D:$D,MATCH(EDATE($A44,-12),$A:$A,0))-1),"")</f>
        <v/>
      </c>
    </row>
    <row r="45">
      <c r="A45" s="12" t="n">
        <v>37347</v>
      </c>
      <c r="B45" s="13" t="n">
        <v>2002</v>
      </c>
      <c r="C45" s="13" t="n">
        <v>4</v>
      </c>
      <c r="D45" s="14" t="n">
        <v>0.521</v>
      </c>
      <c r="E45" s="14" t="n">
        <v>0.326</v>
      </c>
      <c r="F45" s="14">
        <f>IF(D45="","",D45*'参数与说明'!$B$6/0.68)</f>
        <v/>
      </c>
      <c r="G45" s="15">
        <f>IFERROR(IF(D45="","",D45/INDEX($D:$D,MATCH(EDATE($A45,-1),$A:$A,0))-1),"")</f>
        <v/>
      </c>
      <c r="H45" s="15">
        <f>IFERROR(IF(D45="","",D45/INDEX($D:$D,MATCH(EDATE($A45,-12),$A:$A,0))-1),"")</f>
        <v/>
      </c>
    </row>
    <row r="46">
      <c r="A46" s="16" t="n">
        <v>37377</v>
      </c>
      <c r="B46" s="17" t="n">
        <v>2002</v>
      </c>
      <c r="C46" s="17" t="n">
        <v>5</v>
      </c>
      <c r="D46" s="18" t="n">
        <v>0.505</v>
      </c>
      <c r="E46" s="18" t="n">
        <v>0.302</v>
      </c>
      <c r="F46" s="18">
        <f>IF(D46="","",D46*'参数与说明'!$B$6/0.68)</f>
        <v/>
      </c>
      <c r="G46" s="19">
        <f>IFERROR(IF(D46="","",D46/INDEX($D:$D,MATCH(EDATE($A46,-1),$A:$A,0))-1),"")</f>
        <v/>
      </c>
      <c r="H46" s="19">
        <f>IFERROR(IF(D46="","",D46/INDEX($D:$D,MATCH(EDATE($A46,-12),$A:$A,0))-1),"")</f>
        <v/>
      </c>
    </row>
    <row r="47">
      <c r="A47" s="12" t="n">
        <v>37408</v>
      </c>
      <c r="B47" s="13" t="n">
        <v>2002</v>
      </c>
      <c r="C47" s="13" t="n">
        <v>6</v>
      </c>
      <c r="D47" s="14" t="n">
        <v>0.62</v>
      </c>
      <c r="E47" s="14" t="n">
        <v>0.442</v>
      </c>
      <c r="F47" s="14">
        <f>IF(D47="","",D47*'参数与说明'!$B$6/0.68)</f>
        <v/>
      </c>
      <c r="G47" s="15">
        <f>IFERROR(IF(D47="","",D47/INDEX($D:$D,MATCH(EDATE($A47,-1),$A:$A,0))-1),"")</f>
        <v/>
      </c>
      <c r="H47" s="15">
        <f>IFERROR(IF(D47="","",D47/INDEX($D:$D,MATCH(EDATE($A47,-12),$A:$A,0))-1),"")</f>
        <v/>
      </c>
    </row>
    <row r="48">
      <c r="A48" s="16" t="n">
        <v>37438</v>
      </c>
      <c r="B48" s="17" t="n">
        <v>2002</v>
      </c>
      <c r="C48" s="17" t="n">
        <v>7</v>
      </c>
      <c r="D48" s="18" t="n">
        <v>0.5639999999999999</v>
      </c>
      <c r="E48" s="18" t="n">
        <v>0.38</v>
      </c>
      <c r="F48" s="18">
        <f>IF(D48="","",D48*'参数与说明'!$B$6/0.68)</f>
        <v/>
      </c>
      <c r="G48" s="19">
        <f>IFERROR(IF(D48="","",D48/INDEX($D:$D,MATCH(EDATE($A48,-1),$A:$A,0))-1),"")</f>
        <v/>
      </c>
      <c r="H48" s="19">
        <f>IFERROR(IF(D48="","",D48/INDEX($D:$D,MATCH(EDATE($A48,-12),$A:$A,0))-1),"")</f>
        <v/>
      </c>
    </row>
    <row r="49">
      <c r="A49" s="12" t="n">
        <v>37469</v>
      </c>
      <c r="B49" s="13" t="n">
        <v>2002</v>
      </c>
      <c r="C49" s="13" t="n">
        <v>8</v>
      </c>
      <c r="D49" s="14" t="n">
        <v>0.61</v>
      </c>
      <c r="E49" s="14" t="n">
        <v>0.436</v>
      </c>
      <c r="F49" s="14">
        <f>IF(D49="","",D49*'参数与说明'!$B$6/0.68)</f>
        <v/>
      </c>
      <c r="G49" s="15">
        <f>IFERROR(IF(D49="","",D49/INDEX($D:$D,MATCH(EDATE($A49,-1),$A:$A,0))-1),"")</f>
        <v/>
      </c>
      <c r="H49" s="15">
        <f>IFERROR(IF(D49="","",D49/INDEX($D:$D,MATCH(EDATE($A49,-12),$A:$A,0))-1),"")</f>
        <v/>
      </c>
    </row>
    <row r="50">
      <c r="A50" s="16" t="n">
        <v>37500</v>
      </c>
      <c r="B50" s="17" t="n">
        <v>2002</v>
      </c>
      <c r="C50" s="17" t="n">
        <v>9</v>
      </c>
      <c r="D50" s="18" t="n">
        <v>0.57</v>
      </c>
      <c r="E50" s="18" t="n">
        <v>0.392</v>
      </c>
      <c r="F50" s="18">
        <f>IF(D50="","",D50*'参数与说明'!$B$6/0.68)</f>
        <v/>
      </c>
      <c r="G50" s="19">
        <f>IFERROR(IF(D50="","",D50/INDEX($D:$D,MATCH(EDATE($A50,-1),$A:$A,0))-1),"")</f>
        <v/>
      </c>
      <c r="H50" s="19">
        <f>IFERROR(IF(D50="","",D50/INDEX($D:$D,MATCH(EDATE($A50,-12),$A:$A,0))-1),"")</f>
        <v/>
      </c>
    </row>
    <row r="51">
      <c r="A51" s="12" t="n">
        <v>37530</v>
      </c>
      <c r="B51" s="13" t="n">
        <v>2002</v>
      </c>
      <c r="C51" s="13" t="n">
        <v>10</v>
      </c>
      <c r="D51" s="14" t="n">
        <v>0.532</v>
      </c>
      <c r="E51" s="14" t="n">
        <v>0.352</v>
      </c>
      <c r="F51" s="14">
        <f>IF(D51="","",D51*'参数与说明'!$B$6/0.68)</f>
        <v/>
      </c>
      <c r="G51" s="15">
        <f>IFERROR(IF(D51="","",D51/INDEX($D:$D,MATCH(EDATE($A51,-1),$A:$A,0))-1),"")</f>
        <v/>
      </c>
      <c r="H51" s="15">
        <f>IFERROR(IF(D51="","",D51/INDEX($D:$D,MATCH(EDATE($A51,-12),$A:$A,0))-1),"")</f>
        <v/>
      </c>
    </row>
    <row r="52">
      <c r="A52" s="16" t="n">
        <v>37561</v>
      </c>
      <c r="B52" s="17" t="n">
        <v>2002</v>
      </c>
      <c r="C52" s="17" t="n">
        <v>11</v>
      </c>
      <c r="D52" s="18" t="n">
        <v>0.706</v>
      </c>
      <c r="E52" s="18" t="n">
        <v>0.5590000000000001</v>
      </c>
      <c r="F52" s="18">
        <f>IF(D52="","",D52*'参数与说明'!$B$6/0.68)</f>
        <v/>
      </c>
      <c r="G52" s="19">
        <f>IFERROR(IF(D52="","",D52/INDEX($D:$D,MATCH(EDATE($A52,-1),$A:$A,0))-1),"")</f>
        <v/>
      </c>
      <c r="H52" s="19">
        <f>IFERROR(IF(D52="","",D52/INDEX($D:$D,MATCH(EDATE($A52,-12),$A:$A,0))-1),"")</f>
        <v/>
      </c>
    </row>
    <row r="53">
      <c r="A53" s="12" t="n">
        <v>37591</v>
      </c>
      <c r="B53" s="13" t="n">
        <v>2002</v>
      </c>
      <c r="C53" s="13" t="n">
        <v>12</v>
      </c>
      <c r="D53" s="14" t="n">
        <v>0.676</v>
      </c>
      <c r="E53" s="14" t="n">
        <v>0.518</v>
      </c>
      <c r="F53" s="14">
        <f>IF(D53="","",D53*'参数与说明'!$B$6/0.68)</f>
        <v/>
      </c>
      <c r="G53" s="15">
        <f>IFERROR(IF(D53="","",D53/INDEX($D:$D,MATCH(EDATE($A53,-1),$A:$A,0))-1),"")</f>
        <v/>
      </c>
      <c r="H53" s="15">
        <f>IFERROR(IF(D53="","",D53/INDEX($D:$D,MATCH(EDATE($A53,-12),$A:$A,0))-1),"")</f>
        <v/>
      </c>
    </row>
    <row r="54">
      <c r="A54" s="16" t="n">
        <v>37622</v>
      </c>
      <c r="B54" s="17" t="n">
        <v>2003</v>
      </c>
      <c r="C54" s="17" t="n">
        <v>1</v>
      </c>
      <c r="D54" s="18" t="n">
        <v>0.6909999999999999</v>
      </c>
      <c r="E54" s="18" t="n">
        <v>0.528</v>
      </c>
      <c r="F54" s="18">
        <f>IF(D54="","",D54*'参数与说明'!$B$6/0.68)</f>
        <v/>
      </c>
      <c r="G54" s="19">
        <f>IFERROR(IF(D54="","",D54/INDEX($D:$D,MATCH(EDATE($A54,-1),$A:$A,0))-1),"")</f>
        <v/>
      </c>
      <c r="H54" s="19">
        <f>IFERROR(IF(D54="","",D54/INDEX($D:$D,MATCH(EDATE($A54,-12),$A:$A,0))-1),"")</f>
        <v/>
      </c>
    </row>
    <row r="55">
      <c r="A55" s="12" t="n">
        <v>37653</v>
      </c>
      <c r="B55" s="13" t="n">
        <v>2003</v>
      </c>
      <c r="C55" s="13" t="n">
        <v>2</v>
      </c>
      <c r="D55" s="14" t="n">
        <v>0.637</v>
      </c>
      <c r="E55" s="14" t="n">
        <v>0.463</v>
      </c>
      <c r="F55" s="14">
        <f>IF(D55="","",D55*'参数与说明'!$B$6/0.68)</f>
        <v/>
      </c>
      <c r="G55" s="15">
        <f>IFERROR(IF(D55="","",D55/INDEX($D:$D,MATCH(EDATE($A55,-1),$A:$A,0))-1),"")</f>
        <v/>
      </c>
      <c r="H55" s="15">
        <f>IFERROR(IF(D55="","",D55/INDEX($D:$D,MATCH(EDATE($A55,-12),$A:$A,0))-1),"")</f>
        <v/>
      </c>
    </row>
    <row r="56">
      <c r="A56" s="16" t="n">
        <v>37681</v>
      </c>
      <c r="B56" s="17" t="n">
        <v>2003</v>
      </c>
      <c r="C56" s="17" t="n">
        <v>3</v>
      </c>
      <c r="D56" s="18" t="n">
        <v>0.6850000000000001</v>
      </c>
      <c r="E56" s="18" t="n">
        <v>0.518</v>
      </c>
      <c r="F56" s="18">
        <f>IF(D56="","",D56*'参数与说明'!$B$6/0.68)</f>
        <v/>
      </c>
      <c r="G56" s="19">
        <f>IFERROR(IF(D56="","",D56/INDEX($D:$D,MATCH(EDATE($A56,-1),$A:$A,0))-1),"")</f>
        <v/>
      </c>
      <c r="H56" s="19">
        <f>IFERROR(IF(D56="","",D56/INDEX($D:$D,MATCH(EDATE($A56,-12),$A:$A,0))-1),"")</f>
        <v/>
      </c>
    </row>
    <row r="57">
      <c r="A57" s="12" t="n">
        <v>37712</v>
      </c>
      <c r="B57" s="13" t="n">
        <v>2003</v>
      </c>
      <c r="C57" s="13" t="n">
        <v>4</v>
      </c>
      <c r="D57" s="14" t="n">
        <v>0.6860000000000001</v>
      </c>
      <c r="E57" s="14" t="n">
        <v>0.518</v>
      </c>
      <c r="F57" s="14">
        <f>IF(D57="","",D57*'参数与说明'!$B$6/0.68)</f>
        <v/>
      </c>
      <c r="G57" s="15">
        <f>IFERROR(IF(D57="","",D57/INDEX($D:$D,MATCH(EDATE($A57,-1),$A:$A,0))-1),"")</f>
        <v/>
      </c>
      <c r="H57" s="15">
        <f>IFERROR(IF(D57="","",D57/INDEX($D:$D,MATCH(EDATE($A57,-12),$A:$A,0))-1),"")</f>
        <v/>
      </c>
    </row>
    <row r="58">
      <c r="A58" s="16" t="n">
        <v>37742</v>
      </c>
      <c r="B58" s="17" t="n">
        <v>2003</v>
      </c>
      <c r="C58" s="17" t="n">
        <v>5</v>
      </c>
      <c r="D58" s="18" t="n">
        <v>0.587</v>
      </c>
      <c r="E58" s="18" t="n">
        <v>0.397</v>
      </c>
      <c r="F58" s="18">
        <f>IF(D58="","",D58*'参数与说明'!$B$6/0.68)</f>
        <v/>
      </c>
      <c r="G58" s="19">
        <f>IFERROR(IF(D58="","",D58/INDEX($D:$D,MATCH(EDATE($A58,-1),$A:$A,0))-1),"")</f>
        <v/>
      </c>
      <c r="H58" s="19">
        <f>IFERROR(IF(D58="","",D58/INDEX($D:$D,MATCH(EDATE($A58,-12),$A:$A,0))-1),"")</f>
        <v/>
      </c>
    </row>
    <row r="59">
      <c r="A59" s="12" t="n">
        <v>37773</v>
      </c>
      <c r="B59" s="13" t="n">
        <v>2003</v>
      </c>
      <c r="C59" s="13" t="n">
        <v>6</v>
      </c>
      <c r="D59" s="14" t="n">
        <v>0.672</v>
      </c>
      <c r="E59" s="14" t="n">
        <v>0.501</v>
      </c>
      <c r="F59" s="14">
        <f>IF(D59="","",D59*'参数与说明'!$B$6/0.68)</f>
        <v/>
      </c>
      <c r="G59" s="15">
        <f>IFERROR(IF(D59="","",D59/INDEX($D:$D,MATCH(EDATE($A59,-1),$A:$A,0))-1),"")</f>
        <v/>
      </c>
      <c r="H59" s="15">
        <f>IFERROR(IF(D59="","",D59/INDEX($D:$D,MATCH(EDATE($A59,-12),$A:$A,0))-1),"")</f>
        <v/>
      </c>
    </row>
    <row r="60">
      <c r="A60" s="16" t="n">
        <v>37803</v>
      </c>
      <c r="B60" s="17" t="n">
        <v>2003</v>
      </c>
      <c r="C60" s="17" t="n">
        <v>7</v>
      </c>
      <c r="D60" s="18" t="n">
        <v>0.6870000000000001</v>
      </c>
      <c r="E60" s="18" t="n">
        <v>0.524</v>
      </c>
      <c r="F60" s="18">
        <f>IF(D60="","",D60*'参数与说明'!$B$6/0.68)</f>
        <v/>
      </c>
      <c r="G60" s="19">
        <f>IFERROR(IF(D60="","",D60/INDEX($D:$D,MATCH(EDATE($A60,-1),$A:$A,0))-1),"")</f>
        <v/>
      </c>
      <c r="H60" s="19">
        <f>IFERROR(IF(D60="","",D60/INDEX($D:$D,MATCH(EDATE($A60,-12),$A:$A,0))-1),"")</f>
        <v/>
      </c>
    </row>
    <row r="61">
      <c r="A61" s="12" t="n">
        <v>37834</v>
      </c>
      <c r="B61" s="13" t="n">
        <v>2003</v>
      </c>
      <c r="C61" s="13" t="n">
        <v>8</v>
      </c>
      <c r="D61" s="14" t="n">
        <v>0.8080000000000001</v>
      </c>
      <c r="E61" s="14" t="n">
        <v>0.667</v>
      </c>
      <c r="F61" s="14">
        <f>IF(D61="","",D61*'参数与说明'!$B$6/0.68)</f>
        <v/>
      </c>
      <c r="G61" s="15">
        <f>IFERROR(IF(D61="","",D61/INDEX($D:$D,MATCH(EDATE($A61,-1),$A:$A,0))-1),"")</f>
        <v/>
      </c>
      <c r="H61" s="15">
        <f>IFERROR(IF(D61="","",D61/INDEX($D:$D,MATCH(EDATE($A61,-12),$A:$A,0))-1),"")</f>
        <v/>
      </c>
    </row>
    <row r="62">
      <c r="A62" s="16" t="n">
        <v>37865</v>
      </c>
      <c r="B62" s="17" t="n">
        <v>2003</v>
      </c>
      <c r="C62" s="17" t="n">
        <v>9</v>
      </c>
      <c r="D62" s="18" t="n">
        <v>0.776</v>
      </c>
      <c r="E62" s="18" t="n">
        <v>0.633</v>
      </c>
      <c r="F62" s="18">
        <f>IF(D62="","",D62*'参数与说明'!$B$6/0.68)</f>
        <v/>
      </c>
      <c r="G62" s="19">
        <f>IFERROR(IF(D62="","",D62/INDEX($D:$D,MATCH(EDATE($A62,-1),$A:$A,0))-1),"")</f>
        <v/>
      </c>
      <c r="H62" s="19">
        <f>IFERROR(IF(D62="","",D62/INDEX($D:$D,MATCH(EDATE($A62,-12),$A:$A,0))-1),"")</f>
        <v/>
      </c>
    </row>
    <row r="63">
      <c r="A63" s="12" t="n">
        <v>37895</v>
      </c>
      <c r="B63" s="13" t="n">
        <v>2003</v>
      </c>
      <c r="C63" s="13" t="n">
        <v>10</v>
      </c>
      <c r="D63" s="14" t="n">
        <v>0.838</v>
      </c>
      <c r="E63" s="14" t="n">
        <v>0.706</v>
      </c>
      <c r="F63" s="14">
        <f>IF(D63="","",D63*'参数与说明'!$B$6/0.68)</f>
        <v/>
      </c>
      <c r="G63" s="15">
        <f>IFERROR(IF(D63="","",D63/INDEX($D:$D,MATCH(EDATE($A63,-1),$A:$A,0))-1),"")</f>
        <v/>
      </c>
      <c r="H63" s="15">
        <f>IFERROR(IF(D63="","",D63/INDEX($D:$D,MATCH(EDATE($A63,-12),$A:$A,0))-1),"")</f>
        <v/>
      </c>
    </row>
    <row r="64">
      <c r="A64" s="16" t="n">
        <v>37926</v>
      </c>
      <c r="B64" s="17" t="n">
        <v>2003</v>
      </c>
      <c r="C64" s="17" t="n">
        <v>11</v>
      </c>
      <c r="D64" s="18" t="n">
        <v>1.02</v>
      </c>
      <c r="E64" s="18" t="n">
        <v>0.925</v>
      </c>
      <c r="F64" s="18">
        <f>IF(D64="","",D64*'参数与说明'!$B$6/0.68)</f>
        <v/>
      </c>
      <c r="G64" s="19">
        <f>IFERROR(IF(D64="","",D64/INDEX($D:$D,MATCH(EDATE($A64,-1),$A:$A,0))-1),"")</f>
        <v/>
      </c>
      <c r="H64" s="19">
        <f>IFERROR(IF(D64="","",D64/INDEX($D:$D,MATCH(EDATE($A64,-12),$A:$A,0))-1),"")</f>
        <v/>
      </c>
    </row>
    <row r="65">
      <c r="A65" s="12" t="n">
        <v>37956</v>
      </c>
      <c r="B65" s="13" t="n">
        <v>2003</v>
      </c>
      <c r="C65" s="13" t="n">
        <v>12</v>
      </c>
      <c r="D65" s="14" t="n">
        <v>0.864</v>
      </c>
      <c r="E65" s="14" t="n">
        <v>0.738</v>
      </c>
      <c r="F65" s="14">
        <f>IF(D65="","",D65*'参数与说明'!$B$6/0.68)</f>
        <v/>
      </c>
      <c r="G65" s="15">
        <f>IFERROR(IF(D65="","",D65/INDEX($D:$D,MATCH(EDATE($A65,-1),$A:$A,0))-1),"")</f>
        <v/>
      </c>
      <c r="H65" s="15">
        <f>IFERROR(IF(D65="","",D65/INDEX($D:$D,MATCH(EDATE($A65,-12),$A:$A,0))-1),"")</f>
        <v/>
      </c>
    </row>
    <row r="66">
      <c r="A66" s="16" t="n">
        <v>37987</v>
      </c>
      <c r="B66" s="17" t="n">
        <v>2004</v>
      </c>
      <c r="C66" s="17" t="n">
        <v>1</v>
      </c>
      <c r="D66" s="18" t="n">
        <v>0.928</v>
      </c>
      <c r="E66" s="18" t="n">
        <v>0.8100000000000001</v>
      </c>
      <c r="F66" s="18">
        <f>IF(D66="","",D66*'参数与说明'!$B$6/0.68)</f>
        <v/>
      </c>
      <c r="G66" s="19">
        <f>IFERROR(IF(D66="","",D66/INDEX($D:$D,MATCH(EDATE($A66,-1),$A:$A,0))-1),"")</f>
        <v/>
      </c>
      <c r="H66" s="19">
        <f>IFERROR(IF(D66="","",D66/INDEX($D:$D,MATCH(EDATE($A66,-12),$A:$A,0))-1),"")</f>
        <v/>
      </c>
    </row>
    <row r="67">
      <c r="A67" s="12" t="n">
        <v>38018</v>
      </c>
      <c r="B67" s="13" t="n">
        <v>2004</v>
      </c>
      <c r="C67" s="13" t="n">
        <v>2</v>
      </c>
      <c r="D67" s="14" t="n">
        <v>0.877</v>
      </c>
      <c r="E67" s="14" t="n">
        <v>0.749</v>
      </c>
      <c r="F67" s="14">
        <f>IF(D67="","",D67*'参数与说明'!$B$6/0.68)</f>
        <v/>
      </c>
      <c r="G67" s="15">
        <f>IFERROR(IF(D67="","",D67/INDEX($D:$D,MATCH(EDATE($A67,-1),$A:$A,0))-1),"")</f>
        <v/>
      </c>
      <c r="H67" s="15">
        <f>IFERROR(IF(D67="","",D67/INDEX($D:$D,MATCH(EDATE($A67,-12),$A:$A,0))-1),"")</f>
        <v/>
      </c>
    </row>
    <row r="68">
      <c r="A68" s="16" t="n">
        <v>38047</v>
      </c>
      <c r="B68" s="17" t="n">
        <v>2004</v>
      </c>
      <c r="C68" s="17" t="n">
        <v>3</v>
      </c>
      <c r="D68" s="18" t="n">
        <v>1.09</v>
      </c>
      <c r="E68" s="18" t="n">
        <v>1</v>
      </c>
      <c r="F68" s="18">
        <f>IF(D68="","",D68*'参数与说明'!$B$6/0.68)</f>
        <v/>
      </c>
      <c r="G68" s="19">
        <f>IFERROR(IF(D68="","",D68/INDEX($D:$D,MATCH(EDATE($A68,-1),$A:$A,0))-1),"")</f>
        <v/>
      </c>
      <c r="H68" s="19">
        <f>IFERROR(IF(D68="","",D68/INDEX($D:$D,MATCH(EDATE($A68,-12),$A:$A,0))-1),"")</f>
        <v/>
      </c>
    </row>
    <row r="69">
      <c r="A69" s="12" t="n">
        <v>38078</v>
      </c>
      <c r="B69" s="13" t="n">
        <v>2004</v>
      </c>
      <c r="C69" s="13" t="n">
        <v>4</v>
      </c>
      <c r="D69" s="14" t="n">
        <v>0.766</v>
      </c>
      <c r="E69" s="14" t="n">
        <v>0.619</v>
      </c>
      <c r="F69" s="14">
        <f>IF(D69="","",D69*'参数与说明'!$B$6/0.68)</f>
        <v/>
      </c>
      <c r="G69" s="15">
        <f>IFERROR(IF(D69="","",D69/INDEX($D:$D,MATCH(EDATE($A69,-1),$A:$A,0))-1),"")</f>
        <v/>
      </c>
      <c r="H69" s="15">
        <f>IFERROR(IF(D69="","",D69/INDEX($D:$D,MATCH(EDATE($A69,-12),$A:$A,0))-1),"")</f>
        <v/>
      </c>
    </row>
    <row r="70">
      <c r="A70" s="16" t="n">
        <v>38108</v>
      </c>
      <c r="B70" s="17" t="n">
        <v>2004</v>
      </c>
      <c r="C70" s="17" t="n">
        <v>5</v>
      </c>
      <c r="D70" s="18" t="n">
        <v>0.644</v>
      </c>
      <c r="E70" s="18" t="n">
        <v>0.472</v>
      </c>
      <c r="F70" s="18">
        <f>IF(D70="","",D70*'参数与说明'!$B$6/0.68)</f>
        <v/>
      </c>
      <c r="G70" s="19">
        <f>IFERROR(IF(D70="","",D70/INDEX($D:$D,MATCH(EDATE($A70,-1),$A:$A,0))-1),"")</f>
        <v/>
      </c>
      <c r="H70" s="19">
        <f>IFERROR(IF(D70="","",D70/INDEX($D:$D,MATCH(EDATE($A70,-12),$A:$A,0))-1),"")</f>
        <v/>
      </c>
    </row>
    <row r="71">
      <c r="A71" s="12" t="n">
        <v>38139</v>
      </c>
      <c r="B71" s="13" t="n">
        <v>2004</v>
      </c>
      <c r="C71" s="13" t="n">
        <v>6</v>
      </c>
      <c r="D71" s="14" t="n">
        <v>0.665</v>
      </c>
      <c r="E71" s="14" t="n">
        <v>0.498</v>
      </c>
      <c r="F71" s="14">
        <f>IF(D71="","",D71*'参数与说明'!$B$6/0.68)</f>
        <v/>
      </c>
      <c r="G71" s="15">
        <f>IFERROR(IF(D71="","",D71/INDEX($D:$D,MATCH(EDATE($A71,-1),$A:$A,0))-1),"")</f>
        <v/>
      </c>
      <c r="H71" s="15">
        <f>IFERROR(IF(D71="","",D71/INDEX($D:$D,MATCH(EDATE($A71,-12),$A:$A,0))-1),"")</f>
        <v/>
      </c>
    </row>
    <row r="72">
      <c r="A72" s="16" t="n">
        <v>38169</v>
      </c>
      <c r="B72" s="17" t="n">
        <v>2004</v>
      </c>
      <c r="C72" s="17" t="n">
        <v>7</v>
      </c>
      <c r="D72" s="18" t="n">
        <v>0.582</v>
      </c>
      <c r="E72" s="18" t="n">
        <v>0.404</v>
      </c>
      <c r="F72" s="18">
        <f>IF(D72="","",D72*'参数与说明'!$B$6/0.68)</f>
        <v/>
      </c>
      <c r="G72" s="19">
        <f>IFERROR(IF(D72="","",D72/INDEX($D:$D,MATCH(EDATE($A72,-1),$A:$A,0))-1),"")</f>
        <v/>
      </c>
      <c r="H72" s="19">
        <f>IFERROR(IF(D72="","",D72/INDEX($D:$D,MATCH(EDATE($A72,-12),$A:$A,0))-1),"")</f>
        <v/>
      </c>
    </row>
    <row r="73">
      <c r="A73" s="12" t="n">
        <v>38200</v>
      </c>
      <c r="B73" s="13" t="n">
        <v>2004</v>
      </c>
      <c r="C73" s="13" t="n">
        <v>8</v>
      </c>
      <c r="D73" s="14" t="n">
        <v>0.526</v>
      </c>
      <c r="E73" s="14" t="n">
        <v>0.338</v>
      </c>
      <c r="F73" s="14">
        <f>IF(D73="","",D73*'参数与说明'!$B$6/0.68)</f>
        <v/>
      </c>
      <c r="G73" s="15">
        <f>IFERROR(IF(D73="","",D73/INDEX($D:$D,MATCH(EDATE($A73,-1),$A:$A,0))-1),"")</f>
        <v/>
      </c>
      <c r="H73" s="15">
        <f>IFERROR(IF(D73="","",D73/INDEX($D:$D,MATCH(EDATE($A73,-12),$A:$A,0))-1),"")</f>
        <v/>
      </c>
    </row>
    <row r="74">
      <c r="A74" s="16" t="n">
        <v>38231</v>
      </c>
      <c r="B74" s="17" t="n">
        <v>2004</v>
      </c>
      <c r="C74" s="17" t="n">
        <v>9</v>
      </c>
      <c r="D74" s="18" t="n">
        <v>0.538</v>
      </c>
      <c r="E74" s="18" t="n">
        <v>0.354</v>
      </c>
      <c r="F74" s="18">
        <f>IF(D74="","",D74*'参数与说明'!$B$6/0.68)</f>
        <v/>
      </c>
      <c r="G74" s="19">
        <f>IFERROR(IF(D74="","",D74/INDEX($D:$D,MATCH(EDATE($A74,-1),$A:$A,0))-1),"")</f>
        <v/>
      </c>
      <c r="H74" s="19">
        <f>IFERROR(IF(D74="","",D74/INDEX($D:$D,MATCH(EDATE($A74,-12),$A:$A,0))-1),"")</f>
        <v/>
      </c>
    </row>
    <row r="75">
      <c r="A75" s="12" t="n">
        <v>38261</v>
      </c>
      <c r="B75" s="13" t="n">
        <v>2004</v>
      </c>
      <c r="C75" s="13" t="n">
        <v>10</v>
      </c>
      <c r="D75" s="14" t="n">
        <v>0.494</v>
      </c>
      <c r="E75" s="14" t="n">
        <v>0.306</v>
      </c>
      <c r="F75" s="14">
        <f>IF(D75="","",D75*'参数与说明'!$B$6/0.68)</f>
        <v/>
      </c>
      <c r="G75" s="15">
        <f>IFERROR(IF(D75="","",D75/INDEX($D:$D,MATCH(EDATE($A75,-1),$A:$A,0))-1),"")</f>
        <v/>
      </c>
      <c r="H75" s="15">
        <f>IFERROR(IF(D75="","",D75/INDEX($D:$D,MATCH(EDATE($A75,-12),$A:$A,0))-1),"")</f>
        <v/>
      </c>
    </row>
    <row r="76">
      <c r="A76" s="16" t="n">
        <v>38292</v>
      </c>
      <c r="B76" s="17" t="n">
        <v>2004</v>
      </c>
      <c r="C76" s="17" t="n">
        <v>11</v>
      </c>
      <c r="D76" s="18" t="n">
        <v>0.604</v>
      </c>
      <c r="E76" s="18" t="n">
        <v>0.437</v>
      </c>
      <c r="F76" s="18">
        <f>IF(D76="","",D76*'参数与说明'!$B$6/0.68)</f>
        <v/>
      </c>
      <c r="G76" s="19">
        <f>IFERROR(IF(D76="","",D76/INDEX($D:$D,MATCH(EDATE($A76,-1),$A:$A,0))-1),"")</f>
        <v/>
      </c>
      <c r="H76" s="19">
        <f>IFERROR(IF(D76="","",D76/INDEX($D:$D,MATCH(EDATE($A76,-12),$A:$A,0))-1),"")</f>
        <v/>
      </c>
    </row>
    <row r="77">
      <c r="A77" s="12" t="n">
        <v>38322</v>
      </c>
      <c r="B77" s="13" t="n">
        <v>2004</v>
      </c>
      <c r="C77" s="13" t="n">
        <v>12</v>
      </c>
      <c r="D77" s="14" t="n">
        <v>0.653</v>
      </c>
      <c r="E77" s="14" t="n">
        <v>0.488</v>
      </c>
      <c r="F77" s="14">
        <f>IF(D77="","",D77*'参数与说明'!$B$6/0.68)</f>
        <v/>
      </c>
      <c r="G77" s="15">
        <f>IFERROR(IF(D77="","",D77/INDEX($D:$D,MATCH(EDATE($A77,-1),$A:$A,0))-1),"")</f>
        <v/>
      </c>
      <c r="H77" s="15">
        <f>IFERROR(IF(D77="","",D77/INDEX($D:$D,MATCH(EDATE($A77,-12),$A:$A,0))-1),"")</f>
        <v/>
      </c>
    </row>
    <row r="78">
      <c r="A78" s="16" t="n">
        <v>38353</v>
      </c>
      <c r="B78" s="17" t="n">
        <v>2005</v>
      </c>
      <c r="C78" s="17" t="n">
        <v>1</v>
      </c>
      <c r="D78" s="18" t="n">
        <v>0.5620000000000001</v>
      </c>
      <c r="E78" s="18" t="n">
        <v>0.375</v>
      </c>
      <c r="F78" s="18">
        <f>IF(D78="","",D78*'参数与说明'!$B$6/0.68)</f>
        <v/>
      </c>
      <c r="G78" s="19">
        <f>IFERROR(IF(D78="","",D78/INDEX($D:$D,MATCH(EDATE($A78,-1),$A:$A,0))-1),"")</f>
        <v/>
      </c>
      <c r="H78" s="19">
        <f>IFERROR(IF(D78="","",D78/INDEX($D:$D,MATCH(EDATE($A78,-12),$A:$A,0))-1),"")</f>
        <v/>
      </c>
    </row>
    <row r="79">
      <c r="A79" s="12" t="n">
        <v>38384</v>
      </c>
      <c r="B79" s="13" t="n">
        <v>2005</v>
      </c>
      <c r="C79" s="13" t="n">
        <v>2</v>
      </c>
      <c r="D79" s="14" t="n">
        <v>0.553</v>
      </c>
      <c r="E79" s="14" t="n">
        <v>0.362</v>
      </c>
      <c r="F79" s="14">
        <f>IF(D79="","",D79*'参数与说明'!$B$6/0.68)</f>
        <v/>
      </c>
      <c r="G79" s="15">
        <f>IFERROR(IF(D79="","",D79/INDEX($D:$D,MATCH(EDATE($A79,-1),$A:$A,0))-1),"")</f>
        <v/>
      </c>
      <c r="H79" s="15">
        <f>IFERROR(IF(D79="","",D79/INDEX($D:$D,MATCH(EDATE($A79,-12),$A:$A,0))-1),"")</f>
        <v/>
      </c>
    </row>
    <row r="80">
      <c r="A80" s="16" t="n">
        <v>38412</v>
      </c>
      <c r="B80" s="17" t="n">
        <v>2005</v>
      </c>
      <c r="C80" s="17" t="n">
        <v>3</v>
      </c>
      <c r="D80" s="18" t="n">
        <v>0.528</v>
      </c>
      <c r="E80" s="18" t="n">
        <v>0.332</v>
      </c>
      <c r="F80" s="18">
        <f>IF(D80="","",D80*'参数与说明'!$B$6/0.68)</f>
        <v/>
      </c>
      <c r="G80" s="19">
        <f>IFERROR(IF(D80="","",D80/INDEX($D:$D,MATCH(EDATE($A80,-1),$A:$A,0))-1),"")</f>
        <v/>
      </c>
      <c r="H80" s="19">
        <f>IFERROR(IF(D80="","",D80/INDEX($D:$D,MATCH(EDATE($A80,-12),$A:$A,0))-1),"")</f>
        <v/>
      </c>
    </row>
    <row r="81">
      <c r="A81" s="12" t="n">
        <v>38443</v>
      </c>
      <c r="B81" s="13" t="n">
        <v>2005</v>
      </c>
      <c r="C81" s="13" t="n">
        <v>4</v>
      </c>
      <c r="D81" s="14" t="n">
        <v>0.475</v>
      </c>
      <c r="E81" s="14" t="n">
        <v>0.268</v>
      </c>
      <c r="F81" s="14">
        <f>IF(D81="","",D81*'参数与说明'!$B$6/0.68)</f>
        <v/>
      </c>
      <c r="G81" s="15">
        <f>IFERROR(IF(D81="","",D81/INDEX($D:$D,MATCH(EDATE($A81,-1),$A:$A,0))-1),"")</f>
        <v/>
      </c>
      <c r="H81" s="15">
        <f>IFERROR(IF(D81="","",D81/INDEX($D:$D,MATCH(EDATE($A81,-12),$A:$A,0))-1),"")</f>
        <v/>
      </c>
    </row>
    <row r="82">
      <c r="A82" s="16" t="n">
        <v>38473</v>
      </c>
      <c r="B82" s="17" t="n">
        <v>2005</v>
      </c>
      <c r="C82" s="17" t="n">
        <v>5</v>
      </c>
      <c r="D82" s="18" t="n">
        <v>0.457</v>
      </c>
      <c r="E82" s="18" t="n">
        <v>0.244</v>
      </c>
      <c r="F82" s="18">
        <f>IF(D82="","",D82*'参数与说明'!$B$6/0.68)</f>
        <v/>
      </c>
      <c r="G82" s="19">
        <f>IFERROR(IF(D82="","",D82/INDEX($D:$D,MATCH(EDATE($A82,-1),$A:$A,0))-1),"")</f>
        <v/>
      </c>
      <c r="H82" s="19">
        <f>IFERROR(IF(D82="","",D82/INDEX($D:$D,MATCH(EDATE($A82,-12),$A:$A,0))-1),"")</f>
        <v/>
      </c>
    </row>
    <row r="83">
      <c r="A83" s="12" t="n">
        <v>38504</v>
      </c>
      <c r="B83" s="13" t="n">
        <v>2005</v>
      </c>
      <c r="C83" s="13" t="n">
        <v>6</v>
      </c>
      <c r="D83" s="14" t="n">
        <v>0.453</v>
      </c>
      <c r="E83" s="14" t="n">
        <v>0.24</v>
      </c>
      <c r="F83" s="14">
        <f>IF(D83="","",D83*'参数与说明'!$B$6/0.68)</f>
        <v/>
      </c>
      <c r="G83" s="15">
        <f>IFERROR(IF(D83="","",D83/INDEX($D:$D,MATCH(EDATE($A83,-1),$A:$A,0))-1),"")</f>
        <v/>
      </c>
      <c r="H83" s="15">
        <f>IFERROR(IF(D83="","",D83/INDEX($D:$D,MATCH(EDATE($A83,-12),$A:$A,0))-1),"")</f>
        <v/>
      </c>
    </row>
    <row r="84">
      <c r="A84" s="16" t="n">
        <v>38534</v>
      </c>
      <c r="B84" s="17" t="n">
        <v>2005</v>
      </c>
      <c r="C84" s="17" t="n">
        <v>7</v>
      </c>
      <c r="D84" s="18" t="n">
        <v>0.528</v>
      </c>
      <c r="E84" s="18" t="n">
        <v>0.329</v>
      </c>
      <c r="F84" s="18">
        <f>IF(D84="","",D84*'参数与说明'!$B$6/0.68)</f>
        <v/>
      </c>
      <c r="G84" s="19">
        <f>IFERROR(IF(D84="","",D84/INDEX($D:$D,MATCH(EDATE($A84,-1),$A:$A,0))-1),"")</f>
        <v/>
      </c>
      <c r="H84" s="19">
        <f>IFERROR(IF(D84="","",D84/INDEX($D:$D,MATCH(EDATE($A84,-12),$A:$A,0))-1),"")</f>
        <v/>
      </c>
    </row>
    <row r="85">
      <c r="A85" s="12" t="n">
        <v>38565</v>
      </c>
      <c r="B85" s="13" t="n">
        <v>2005</v>
      </c>
      <c r="C85" s="13" t="n">
        <v>8</v>
      </c>
      <c r="D85" s="14" t="n">
        <v>0.472</v>
      </c>
      <c r="E85" s="14" t="n">
        <v>0.266</v>
      </c>
      <c r="F85" s="14">
        <f>IF(D85="","",D85*'参数与说明'!$B$6/0.68)</f>
        <v/>
      </c>
      <c r="G85" s="15">
        <f>IFERROR(IF(D85="","",D85/INDEX($D:$D,MATCH(EDATE($A85,-1),$A:$A,0))-1),"")</f>
        <v/>
      </c>
      <c r="H85" s="15">
        <f>IFERROR(IF(D85="","",D85/INDEX($D:$D,MATCH(EDATE($A85,-12),$A:$A,0))-1),"")</f>
        <v/>
      </c>
    </row>
    <row r="86">
      <c r="A86" s="16" t="n">
        <v>38596</v>
      </c>
      <c r="B86" s="17" t="n">
        <v>2005</v>
      </c>
      <c r="C86" s="17" t="n">
        <v>9</v>
      </c>
      <c r="D86" s="18" t="n">
        <v>0.637</v>
      </c>
      <c r="E86" s="18" t="n">
        <v>0.461</v>
      </c>
      <c r="F86" s="18">
        <f>IF(D86="","",D86*'参数与说明'!$B$6/0.68)</f>
        <v/>
      </c>
      <c r="G86" s="19">
        <f>IFERROR(IF(D86="","",D86/INDEX($D:$D,MATCH(EDATE($A86,-1),$A:$A,0))-1),"")</f>
        <v/>
      </c>
      <c r="H86" s="19">
        <f>IFERROR(IF(D86="","",D86/INDEX($D:$D,MATCH(EDATE($A86,-12),$A:$A,0))-1),"")</f>
        <v/>
      </c>
    </row>
    <row r="87">
      <c r="A87" s="12" t="n">
        <v>38626</v>
      </c>
      <c r="B87" s="13" t="n">
        <v>2005</v>
      </c>
      <c r="C87" s="13" t="n">
        <v>10</v>
      </c>
      <c r="D87" s="14" t="n">
        <v>0.512</v>
      </c>
      <c r="E87" s="14" t="n">
        <v>0.317</v>
      </c>
      <c r="F87" s="14">
        <f>IF(D87="","",D87*'参数与说明'!$B$6/0.68)</f>
        <v/>
      </c>
      <c r="G87" s="15">
        <f>IFERROR(IF(D87="","",D87/INDEX($D:$D,MATCH(EDATE($A87,-1),$A:$A,0))-1),"")</f>
        <v/>
      </c>
      <c r="H87" s="15">
        <f>IFERROR(IF(D87="","",D87/INDEX($D:$D,MATCH(EDATE($A87,-12),$A:$A,0))-1),"")</f>
        <v/>
      </c>
    </row>
    <row r="88">
      <c r="A88" s="16" t="n">
        <v>38657</v>
      </c>
      <c r="B88" s="17" t="n">
        <v>2005</v>
      </c>
      <c r="C88" s="17" t="n">
        <v>11</v>
      </c>
      <c r="D88" s="18" t="n">
        <v>0.651</v>
      </c>
      <c r="E88" s="18" t="n">
        <v>0.485</v>
      </c>
      <c r="F88" s="18">
        <f>IF(D88="","",D88*'参数与说明'!$B$6/0.68)</f>
        <v/>
      </c>
      <c r="G88" s="19">
        <f>IFERROR(IF(D88="","",D88/INDEX($D:$D,MATCH(EDATE($A88,-1),$A:$A,0))-1),"")</f>
        <v/>
      </c>
      <c r="H88" s="19">
        <f>IFERROR(IF(D88="","",D88/INDEX($D:$D,MATCH(EDATE($A88,-12),$A:$A,0))-1),"")</f>
        <v/>
      </c>
    </row>
    <row r="89">
      <c r="A89" s="12" t="n">
        <v>38687</v>
      </c>
      <c r="B89" s="13" t="n">
        <v>2005</v>
      </c>
      <c r="C89" s="13" t="n">
        <v>12</v>
      </c>
      <c r="D89" s="14" t="n">
        <v>0.716</v>
      </c>
      <c r="E89" s="14" t="n">
        <v>0.5610000000000001</v>
      </c>
      <c r="F89" s="14">
        <f>IF(D89="","",D89*'参数与说明'!$B$6/0.68)</f>
        <v/>
      </c>
      <c r="G89" s="15">
        <f>IFERROR(IF(D89="","",D89/INDEX($D:$D,MATCH(EDATE($A89,-1),$A:$A,0))-1),"")</f>
        <v/>
      </c>
      <c r="H89" s="15">
        <f>IFERROR(IF(D89="","",D89/INDEX($D:$D,MATCH(EDATE($A89,-12),$A:$A,0))-1),"")</f>
        <v/>
      </c>
    </row>
    <row r="90">
      <c r="A90" s="16" t="n">
        <v>38718</v>
      </c>
      <c r="B90" s="17" t="n">
        <v>2006</v>
      </c>
      <c r="C90" s="17" t="n">
        <v>1</v>
      </c>
      <c r="D90" s="18" t="n">
        <v>0.613</v>
      </c>
      <c r="E90" s="18" t="n">
        <v>0.437</v>
      </c>
      <c r="F90" s="18">
        <f>IF(D90="","",D90*'参数与说明'!$B$6/0.68)</f>
        <v/>
      </c>
      <c r="G90" s="19">
        <f>IFERROR(IF(D90="","",D90/INDEX($D:$D,MATCH(EDATE($A90,-1),$A:$A,0))-1),"")</f>
        <v/>
      </c>
      <c r="H90" s="19">
        <f>IFERROR(IF(D90="","",D90/INDEX($D:$D,MATCH(EDATE($A90,-12),$A:$A,0))-1),"")</f>
        <v/>
      </c>
    </row>
    <row r="91">
      <c r="A91" s="12" t="n">
        <v>38749</v>
      </c>
      <c r="B91" s="13" t="n">
        <v>2006</v>
      </c>
      <c r="C91" s="13" t="n">
        <v>2</v>
      </c>
      <c r="D91" s="14" t="n">
        <v>0.495</v>
      </c>
      <c r="E91" s="14" t="n">
        <v>0.299</v>
      </c>
      <c r="F91" s="14">
        <f>IF(D91="","",D91*'参数与说明'!$B$6/0.68)</f>
        <v/>
      </c>
      <c r="G91" s="15">
        <f>IFERROR(IF(D91="","",D91/INDEX($D:$D,MATCH(EDATE($A91,-1),$A:$A,0))-1),"")</f>
        <v/>
      </c>
      <c r="H91" s="15">
        <f>IFERROR(IF(D91="","",D91/INDEX($D:$D,MATCH(EDATE($A91,-12),$A:$A,0))-1),"")</f>
        <v/>
      </c>
    </row>
    <row r="92">
      <c r="A92" s="16" t="n">
        <v>38777</v>
      </c>
      <c r="B92" s="17" t="n">
        <v>2006</v>
      </c>
      <c r="C92" s="17" t="n">
        <v>3</v>
      </c>
      <c r="D92" s="18" t="n">
        <v>0.663</v>
      </c>
      <c r="E92" s="18" t="n">
        <v>0.496</v>
      </c>
      <c r="F92" s="18">
        <f>IF(D92="","",D92*'参数与说明'!$B$6/0.68)</f>
        <v/>
      </c>
      <c r="G92" s="19">
        <f>IFERROR(IF(D92="","",D92/INDEX($D:$D,MATCH(EDATE($A92,-1),$A:$A,0))-1),"")</f>
        <v/>
      </c>
      <c r="H92" s="19">
        <f>IFERROR(IF(D92="","",D92/INDEX($D:$D,MATCH(EDATE($A92,-12),$A:$A,0))-1),"")</f>
        <v/>
      </c>
    </row>
    <row r="93">
      <c r="A93" s="12" t="n">
        <v>38808</v>
      </c>
      <c r="B93" s="13" t="n">
        <v>2006</v>
      </c>
      <c r="C93" s="13" t="n">
        <v>4</v>
      </c>
      <c r="D93" s="14" t="n">
        <v>0.514</v>
      </c>
      <c r="E93" s="14" t="n">
        <v>0.322</v>
      </c>
      <c r="F93" s="14">
        <f>IF(D93="","",D93*'参数与说明'!$B$6/0.68)</f>
        <v/>
      </c>
      <c r="G93" s="15">
        <f>IFERROR(IF(D93="","",D93/INDEX($D:$D,MATCH(EDATE($A93,-1),$A:$A,0))-1),"")</f>
        <v/>
      </c>
      <c r="H93" s="15">
        <f>IFERROR(IF(D93="","",D93/INDEX($D:$D,MATCH(EDATE($A93,-12),$A:$A,0))-1),"")</f>
        <v/>
      </c>
    </row>
    <row r="94">
      <c r="A94" s="16" t="n">
        <v>38838</v>
      </c>
      <c r="B94" s="17" t="n">
        <v>2006</v>
      </c>
      <c r="C94" s="17" t="n">
        <v>5</v>
      </c>
      <c r="D94" s="18" t="n">
        <v>0.446</v>
      </c>
      <c r="E94" s="18" t="n">
        <v>0.236</v>
      </c>
      <c r="F94" s="18">
        <f>IF(D94="","",D94*'参数与说明'!$B$6/0.68)</f>
        <v/>
      </c>
      <c r="G94" s="19">
        <f>IFERROR(IF(D94="","",D94/INDEX($D:$D,MATCH(EDATE($A94,-1),$A:$A,0))-1),"")</f>
        <v/>
      </c>
      <c r="H94" s="19">
        <f>IFERROR(IF(D94="","",D94/INDEX($D:$D,MATCH(EDATE($A94,-12),$A:$A,0))-1),"")</f>
        <v/>
      </c>
    </row>
    <row r="95">
      <c r="A95" s="12" t="n">
        <v>38869</v>
      </c>
      <c r="B95" s="13" t="n">
        <v>2006</v>
      </c>
      <c r="C95" s="13" t="n">
        <v>6</v>
      </c>
      <c r="D95" s="14" t="n">
        <v>0.5620000000000001</v>
      </c>
      <c r="E95" s="14" t="n">
        <v>0.376</v>
      </c>
      <c r="F95" s="14">
        <f>IF(D95="","",D95*'参数与说明'!$B$6/0.68)</f>
        <v/>
      </c>
      <c r="G95" s="15">
        <f>IFERROR(IF(D95="","",D95/INDEX($D:$D,MATCH(EDATE($A95,-1),$A:$A,0))-1),"")</f>
        <v/>
      </c>
      <c r="H95" s="15">
        <f>IFERROR(IF(D95="","",D95/INDEX($D:$D,MATCH(EDATE($A95,-12),$A:$A,0))-1),"")</f>
        <v/>
      </c>
    </row>
    <row r="96">
      <c r="A96" s="16" t="n">
        <v>38899</v>
      </c>
      <c r="B96" s="17" t="n">
        <v>2006</v>
      </c>
      <c r="C96" s="17" t="n">
        <v>7</v>
      </c>
      <c r="D96" s="18" t="n">
        <v>0.456</v>
      </c>
      <c r="E96" s="18" t="n">
        <v>0.253</v>
      </c>
      <c r="F96" s="18">
        <f>IF(D96="","",D96*'参数与说明'!$B$6/0.68)</f>
        <v/>
      </c>
      <c r="G96" s="19">
        <f>IFERROR(IF(D96="","",D96/INDEX($D:$D,MATCH(EDATE($A96,-1),$A:$A,0))-1),"")</f>
        <v/>
      </c>
      <c r="H96" s="19">
        <f>IFERROR(IF(D96="","",D96/INDEX($D:$D,MATCH(EDATE($A96,-12),$A:$A,0))-1),"")</f>
        <v/>
      </c>
    </row>
    <row r="97">
      <c r="A97" s="12" t="n">
        <v>38930</v>
      </c>
      <c r="B97" s="13" t="n">
        <v>2006</v>
      </c>
      <c r="C97" s="13" t="n">
        <v>8</v>
      </c>
      <c r="D97" s="14" t="n">
        <v>0.577</v>
      </c>
      <c r="E97" s="14" t="n">
        <v>0.395</v>
      </c>
      <c r="F97" s="14">
        <f>IF(D97="","",D97*'参数与说明'!$B$6/0.68)</f>
        <v/>
      </c>
      <c r="G97" s="15">
        <f>IFERROR(IF(D97="","",D97/INDEX($D:$D,MATCH(EDATE($A97,-1),$A:$A,0))-1),"")</f>
        <v/>
      </c>
      <c r="H97" s="15">
        <f>IFERROR(IF(D97="","",D97/INDEX($D:$D,MATCH(EDATE($A97,-12),$A:$A,0))-1),"")</f>
        <v/>
      </c>
    </row>
    <row r="98">
      <c r="A98" s="16" t="n">
        <v>38961</v>
      </c>
      <c r="B98" s="17" t="n">
        <v>2006</v>
      </c>
      <c r="C98" s="17" t="n">
        <v>9</v>
      </c>
      <c r="D98" s="18" t="n">
        <v>0.5600000000000001</v>
      </c>
      <c r="E98" s="18" t="n">
        <v>0.377</v>
      </c>
      <c r="F98" s="18">
        <f>IF(D98="","",D98*'参数与说明'!$B$6/0.68)</f>
        <v/>
      </c>
      <c r="G98" s="19">
        <f>IFERROR(IF(D98="","",D98/INDEX($D:$D,MATCH(EDATE($A98,-1),$A:$A,0))-1),"")</f>
        <v/>
      </c>
      <c r="H98" s="19">
        <f>IFERROR(IF(D98="","",D98/INDEX($D:$D,MATCH(EDATE($A98,-12),$A:$A,0))-1),"")</f>
        <v/>
      </c>
    </row>
    <row r="99">
      <c r="A99" s="12" t="n">
        <v>38991</v>
      </c>
      <c r="B99" s="13" t="n">
        <v>2006</v>
      </c>
      <c r="C99" s="13" t="n">
        <v>10</v>
      </c>
      <c r="D99" s="14" t="n">
        <v>0.569</v>
      </c>
      <c r="E99" s="14" t="n">
        <v>0.389</v>
      </c>
      <c r="F99" s="14">
        <f>IF(D99="","",D99*'参数与说明'!$B$6/0.68)</f>
        <v/>
      </c>
      <c r="G99" s="15">
        <f>IFERROR(IF(D99="","",D99/INDEX($D:$D,MATCH(EDATE($A99,-1),$A:$A,0))-1),"")</f>
        <v/>
      </c>
      <c r="H99" s="15">
        <f>IFERROR(IF(D99="","",D99/INDEX($D:$D,MATCH(EDATE($A99,-12),$A:$A,0))-1),"")</f>
        <v/>
      </c>
    </row>
    <row r="100">
      <c r="A100" s="16" t="n">
        <v>39022</v>
      </c>
      <c r="B100" s="17" t="n">
        <v>2006</v>
      </c>
      <c r="C100" s="17" t="n">
        <v>11</v>
      </c>
      <c r="D100" s="18" t="n">
        <v>0.8139999999999999</v>
      </c>
      <c r="E100" s="18" t="n">
        <v>0.678</v>
      </c>
      <c r="F100" s="18">
        <f>IF(D100="","",D100*'参数与说明'!$B$6/0.68)</f>
        <v/>
      </c>
      <c r="G100" s="19">
        <f>IFERROR(IF(D100="","",D100/INDEX($D:$D,MATCH(EDATE($A100,-1),$A:$A,0))-1),"")</f>
        <v/>
      </c>
      <c r="H100" s="19">
        <f>IFERROR(IF(D100="","",D100/INDEX($D:$D,MATCH(EDATE($A100,-12),$A:$A,0))-1),"")</f>
        <v/>
      </c>
    </row>
    <row r="101">
      <c r="A101" s="12" t="n">
        <v>39052</v>
      </c>
      <c r="B101" s="13" t="n">
        <v>2006</v>
      </c>
      <c r="C101" s="13" t="n">
        <v>12</v>
      </c>
      <c r="D101" s="14" t="n">
        <v>0.8159999999999999</v>
      </c>
      <c r="E101" s="14" t="n">
        <v>0.671</v>
      </c>
      <c r="F101" s="14">
        <f>IF(D101="","",D101*'参数与说明'!$B$6/0.68)</f>
        <v/>
      </c>
      <c r="G101" s="15">
        <f>IFERROR(IF(D101="","",D101/INDEX($D:$D,MATCH(EDATE($A101,-1),$A:$A,0))-1),"")</f>
        <v/>
      </c>
      <c r="H101" s="15">
        <f>IFERROR(IF(D101="","",D101/INDEX($D:$D,MATCH(EDATE($A101,-12),$A:$A,0))-1),"")</f>
        <v/>
      </c>
    </row>
    <row r="102">
      <c r="A102" s="16" t="n">
        <v>39083</v>
      </c>
      <c r="B102" s="17" t="n">
        <v>2007</v>
      </c>
      <c r="C102" s="17" t="n">
        <v>1</v>
      </c>
      <c r="D102" s="18" t="n">
        <v>0.918</v>
      </c>
      <c r="E102" s="18" t="n">
        <v>0.787</v>
      </c>
      <c r="F102" s="18">
        <f>IF(D102="","",D102*'参数与说明'!$B$6/0.68)</f>
        <v/>
      </c>
      <c r="G102" s="19">
        <f>IFERROR(IF(D102="","",D102/INDEX($D:$D,MATCH(EDATE($A102,-1),$A:$A,0))-1),"")</f>
        <v/>
      </c>
      <c r="H102" s="19">
        <f>IFERROR(IF(D102="","",D102/INDEX($D:$D,MATCH(EDATE($A102,-12),$A:$A,0))-1),"")</f>
        <v/>
      </c>
    </row>
    <row r="103">
      <c r="A103" s="12" t="n">
        <v>39114</v>
      </c>
      <c r="B103" s="13" t="n">
        <v>2007</v>
      </c>
      <c r="C103" s="13" t="n">
        <v>2</v>
      </c>
      <c r="D103" s="14" t="n">
        <v>0.784</v>
      </c>
      <c r="E103" s="14" t="n">
        <v>0.629</v>
      </c>
      <c r="F103" s="14">
        <f>IF(D103="","",D103*'参数与说明'!$B$6/0.68)</f>
        <v/>
      </c>
      <c r="G103" s="15">
        <f>IFERROR(IF(D103="","",D103/INDEX($D:$D,MATCH(EDATE($A103,-1),$A:$A,0))-1),"")</f>
        <v/>
      </c>
      <c r="H103" s="15">
        <f>IFERROR(IF(D103="","",D103/INDEX($D:$D,MATCH(EDATE($A103,-12),$A:$A,0))-1),"")</f>
        <v/>
      </c>
    </row>
    <row r="104">
      <c r="A104" s="16" t="n">
        <v>39142</v>
      </c>
      <c r="B104" s="17" t="n">
        <v>2007</v>
      </c>
      <c r="C104" s="17" t="n">
        <v>3</v>
      </c>
      <c r="D104" s="18" t="n">
        <v>0.83</v>
      </c>
      <c r="E104" s="18" t="n">
        <v>0.6840000000000001</v>
      </c>
      <c r="F104" s="18">
        <f>IF(D104="","",D104*'参数与说明'!$B$6/0.68)</f>
        <v/>
      </c>
      <c r="G104" s="19">
        <f>IFERROR(IF(D104="","",D104/INDEX($D:$D,MATCH(EDATE($A104,-1),$A:$A,0))-1),"")</f>
        <v/>
      </c>
      <c r="H104" s="19">
        <f>IFERROR(IF(D104="","",D104/INDEX($D:$D,MATCH(EDATE($A104,-12),$A:$A,0))-1),"")</f>
        <v/>
      </c>
    </row>
    <row r="105">
      <c r="A105" s="12" t="n">
        <v>39173</v>
      </c>
      <c r="B105" s="13" t="n">
        <v>2007</v>
      </c>
      <c r="C105" s="13" t="n">
        <v>4</v>
      </c>
      <c r="D105" s="14" t="n">
        <v>0.728</v>
      </c>
      <c r="E105" s="14" t="n">
        <v>0.5610000000000001</v>
      </c>
      <c r="F105" s="14">
        <f>IF(D105="","",D105*'参数与说明'!$B$6/0.68)</f>
        <v/>
      </c>
      <c r="G105" s="15">
        <f>IFERROR(IF(D105="","",D105/INDEX($D:$D,MATCH(EDATE($A105,-1),$A:$A,0))-1),"")</f>
        <v/>
      </c>
      <c r="H105" s="15">
        <f>IFERROR(IF(D105="","",D105/INDEX($D:$D,MATCH(EDATE($A105,-12),$A:$A,0))-1),"")</f>
        <v/>
      </c>
    </row>
    <row r="106">
      <c r="A106" s="16" t="n">
        <v>39203</v>
      </c>
      <c r="B106" s="17" t="n">
        <v>2007</v>
      </c>
      <c r="C106" s="17" t="n">
        <v>5</v>
      </c>
      <c r="D106" s="18" t="n">
        <v>0.78</v>
      </c>
      <c r="E106" s="18" t="n">
        <v>0.618</v>
      </c>
      <c r="F106" s="18">
        <f>IF(D106="","",D106*'参数与说明'!$B$6/0.68)</f>
        <v/>
      </c>
      <c r="G106" s="19">
        <f>IFERROR(IF(D106="","",D106/INDEX($D:$D,MATCH(EDATE($A106,-1),$A:$A,0))-1),"")</f>
        <v/>
      </c>
      <c r="H106" s="19">
        <f>IFERROR(IF(D106="","",D106/INDEX($D:$D,MATCH(EDATE($A106,-12),$A:$A,0))-1),"")</f>
        <v/>
      </c>
    </row>
    <row r="107">
      <c r="A107" s="12" t="n">
        <v>39234</v>
      </c>
      <c r="B107" s="13" t="n">
        <v>2007</v>
      </c>
      <c r="C107" s="13" t="n">
        <v>6</v>
      </c>
      <c r="D107" s="14" t="n">
        <v>0.679</v>
      </c>
      <c r="E107" s="14" t="n">
        <v>0.499</v>
      </c>
      <c r="F107" s="14">
        <f>IF(D107="","",D107*'参数与说明'!$B$6/0.68)</f>
        <v/>
      </c>
      <c r="G107" s="15">
        <f>IFERROR(IF(D107="","",D107/INDEX($D:$D,MATCH(EDATE($A107,-1),$A:$A,0))-1),"")</f>
        <v/>
      </c>
      <c r="H107" s="15">
        <f>IFERROR(IF(D107="","",D107/INDEX($D:$D,MATCH(EDATE($A107,-12),$A:$A,0))-1),"")</f>
        <v/>
      </c>
    </row>
    <row r="108">
      <c r="A108" s="16" t="n">
        <v>39264</v>
      </c>
      <c r="B108" s="17" t="n">
        <v>2007</v>
      </c>
      <c r="C108" s="17" t="n">
        <v>7</v>
      </c>
      <c r="D108" s="18" t="n">
        <v>0.945</v>
      </c>
      <c r="E108" s="18" t="n">
        <v>0.8139999999999999</v>
      </c>
      <c r="F108" s="18">
        <f>IF(D108="","",D108*'参数与说明'!$B$6/0.68)</f>
        <v/>
      </c>
      <c r="G108" s="19">
        <f>IFERROR(IF(D108="","",D108/INDEX($D:$D,MATCH(EDATE($A108,-1),$A:$A,0))-1),"")</f>
        <v/>
      </c>
      <c r="H108" s="19">
        <f>IFERROR(IF(D108="","",D108/INDEX($D:$D,MATCH(EDATE($A108,-12),$A:$A,0))-1),"")</f>
        <v/>
      </c>
    </row>
    <row r="109">
      <c r="A109" s="12" t="n">
        <v>39295</v>
      </c>
      <c r="B109" s="13" t="n">
        <v>2007</v>
      </c>
      <c r="C109" s="13" t="n">
        <v>8</v>
      </c>
      <c r="D109" s="14" t="n">
        <v>0.867</v>
      </c>
      <c r="E109" s="14" t="n">
        <v>0.722</v>
      </c>
      <c r="F109" s="14">
        <f>IF(D109="","",D109*'参数与说明'!$B$6/0.68)</f>
        <v/>
      </c>
      <c r="G109" s="15">
        <f>IFERROR(IF(D109="","",D109/INDEX($D:$D,MATCH(EDATE($A109,-1),$A:$A,0))-1),"")</f>
        <v/>
      </c>
      <c r="H109" s="15">
        <f>IFERROR(IF(D109="","",D109/INDEX($D:$D,MATCH(EDATE($A109,-12),$A:$A,0))-1),"")</f>
        <v/>
      </c>
    </row>
    <row r="110">
      <c r="A110" s="16" t="n">
        <v>39326</v>
      </c>
      <c r="B110" s="17" t="n">
        <v>2007</v>
      </c>
      <c r="C110" s="17" t="n">
        <v>9</v>
      </c>
      <c r="D110" s="18" t="n">
        <v>1.07</v>
      </c>
      <c r="E110" s="18" t="n">
        <v>0.961</v>
      </c>
      <c r="F110" s="18">
        <f>IF(D110="","",D110*'参数与说明'!$B$6/0.68)</f>
        <v/>
      </c>
      <c r="G110" s="19">
        <f>IFERROR(IF(D110="","",D110/INDEX($D:$D,MATCH(EDATE($A110,-1),$A:$A,0))-1),"")</f>
        <v/>
      </c>
      <c r="H110" s="19">
        <f>IFERROR(IF(D110="","",D110/INDEX($D:$D,MATCH(EDATE($A110,-12),$A:$A,0))-1),"")</f>
        <v/>
      </c>
    </row>
    <row r="111">
      <c r="A111" s="12" t="n">
        <v>39356</v>
      </c>
      <c r="B111" s="13" t="n">
        <v>2007</v>
      </c>
      <c r="C111" s="13" t="n">
        <v>10</v>
      </c>
      <c r="D111" s="14" t="n">
        <v>0.9360000000000001</v>
      </c>
      <c r="E111" s="14" t="n">
        <v>0.806</v>
      </c>
      <c r="F111" s="14">
        <f>IF(D111="","",D111*'参数与说明'!$B$6/0.68)</f>
        <v/>
      </c>
      <c r="G111" s="15">
        <f>IFERROR(IF(D111="","",D111/INDEX($D:$D,MATCH(EDATE($A111,-1),$A:$A,0))-1),"")</f>
        <v/>
      </c>
      <c r="H111" s="15">
        <f>IFERROR(IF(D111="","",D111/INDEX($D:$D,MATCH(EDATE($A111,-12),$A:$A,0))-1),"")</f>
        <v/>
      </c>
    </row>
    <row r="112">
      <c r="A112" s="16" t="n">
        <v>39387</v>
      </c>
      <c r="B112" s="17" t="n">
        <v>2007</v>
      </c>
      <c r="C112" s="17" t="n">
        <v>11</v>
      </c>
      <c r="D112" s="18" t="n">
        <v>1.26</v>
      </c>
      <c r="E112" s="18" t="n">
        <v>1.19</v>
      </c>
      <c r="F112" s="18">
        <f>IF(D112="","",D112*'参数与说明'!$B$6/0.68)</f>
        <v/>
      </c>
      <c r="G112" s="19">
        <f>IFERROR(IF(D112="","",D112/INDEX($D:$D,MATCH(EDATE($A112,-1),$A:$A,0))-1),"")</f>
        <v/>
      </c>
      <c r="H112" s="19">
        <f>IFERROR(IF(D112="","",D112/INDEX($D:$D,MATCH(EDATE($A112,-12),$A:$A,0))-1),"")</f>
        <v/>
      </c>
    </row>
    <row r="113">
      <c r="A113" s="12" t="n">
        <v>39417</v>
      </c>
      <c r="B113" s="13" t="n">
        <v>2007</v>
      </c>
      <c r="C113" s="13" t="n">
        <v>12</v>
      </c>
      <c r="D113" s="14" t="n">
        <v>1.35</v>
      </c>
      <c r="E113" s="14" t="n">
        <v>1.28</v>
      </c>
      <c r="F113" s="14">
        <f>IF(D113="","",D113*'参数与说明'!$B$6/0.68)</f>
        <v/>
      </c>
      <c r="G113" s="15">
        <f>IFERROR(IF(D113="","",D113/INDEX($D:$D,MATCH(EDATE($A113,-1),$A:$A,0))-1),"")</f>
        <v/>
      </c>
      <c r="H113" s="15">
        <f>IFERROR(IF(D113="","",D113/INDEX($D:$D,MATCH(EDATE($A113,-12),$A:$A,0))-1),"")</f>
        <v/>
      </c>
    </row>
    <row r="114">
      <c r="A114" s="16" t="n">
        <v>39448</v>
      </c>
      <c r="B114" s="17" t="n">
        <v>2008</v>
      </c>
      <c r="C114" s="17" t="n">
        <v>1</v>
      </c>
      <c r="D114" s="18" t="n">
        <v>1.3</v>
      </c>
      <c r="E114" s="18" t="n">
        <v>1.21</v>
      </c>
      <c r="F114" s="18">
        <f>IF(D114="","",D114*'参数与说明'!$B$6/0.68)</f>
        <v/>
      </c>
      <c r="G114" s="19">
        <f>IFERROR(IF(D114="","",D114/INDEX($D:$D,MATCH(EDATE($A114,-1),$A:$A,0))-1),"")</f>
        <v/>
      </c>
      <c r="H114" s="19">
        <f>IFERROR(IF(D114="","",D114/INDEX($D:$D,MATCH(EDATE($A114,-12),$A:$A,0))-1),"")</f>
        <v/>
      </c>
    </row>
    <row r="115">
      <c r="A115" s="12" t="n">
        <v>39479</v>
      </c>
      <c r="B115" s="13" t="n">
        <v>2008</v>
      </c>
      <c r="C115" s="13" t="n">
        <v>2</v>
      </c>
      <c r="D115" s="14" t="n">
        <v>1.31</v>
      </c>
      <c r="E115" s="14" t="n">
        <v>1.23</v>
      </c>
      <c r="F115" s="14">
        <f>IF(D115="","",D115*'参数与说明'!$B$6/0.68)</f>
        <v/>
      </c>
      <c r="G115" s="15">
        <f>IFERROR(IF(D115="","",D115/INDEX($D:$D,MATCH(EDATE($A115,-1),$A:$A,0))-1),"")</f>
        <v/>
      </c>
      <c r="H115" s="15">
        <f>IFERROR(IF(D115="","",D115/INDEX($D:$D,MATCH(EDATE($A115,-12),$A:$A,0))-1),"")</f>
        <v/>
      </c>
    </row>
    <row r="116">
      <c r="A116" s="16" t="n">
        <v>39508</v>
      </c>
      <c r="B116" s="17" t="n">
        <v>2008</v>
      </c>
      <c r="C116" s="17" t="n">
        <v>3</v>
      </c>
      <c r="D116" s="18" t="n">
        <v>1.37</v>
      </c>
      <c r="E116" s="18" t="n">
        <v>1.3</v>
      </c>
      <c r="F116" s="18">
        <f>IF(D116="","",D116*'参数与说明'!$B$6/0.68)</f>
        <v/>
      </c>
      <c r="G116" s="19">
        <f>IFERROR(IF(D116="","",D116/INDEX($D:$D,MATCH(EDATE($A116,-1),$A:$A,0))-1),"")</f>
        <v/>
      </c>
      <c r="H116" s="19">
        <f>IFERROR(IF(D116="","",D116/INDEX($D:$D,MATCH(EDATE($A116,-12),$A:$A,0))-1),"")</f>
        <v/>
      </c>
    </row>
    <row r="117">
      <c r="A117" s="12" t="n">
        <v>39539</v>
      </c>
      <c r="B117" s="13" t="n">
        <v>2008</v>
      </c>
      <c r="C117" s="13" t="n">
        <v>4</v>
      </c>
      <c r="D117" s="14" t="n">
        <v>1.03</v>
      </c>
      <c r="E117" s="14" t="n">
        <v>0.89</v>
      </c>
      <c r="F117" s="14">
        <f>IF(D117="","",D117*'参数与说明'!$B$6/0.68)</f>
        <v/>
      </c>
      <c r="G117" s="15">
        <f>IFERROR(IF(D117="","",D117/INDEX($D:$D,MATCH(EDATE($A117,-1),$A:$A,0))-1),"")</f>
        <v/>
      </c>
      <c r="H117" s="15">
        <f>IFERROR(IF(D117="","",D117/INDEX($D:$D,MATCH(EDATE($A117,-12),$A:$A,0))-1),"")</f>
        <v/>
      </c>
    </row>
    <row r="118">
      <c r="A118" s="16" t="n">
        <v>39569</v>
      </c>
      <c r="B118" s="17" t="n">
        <v>2008</v>
      </c>
      <c r="C118" s="17" t="n">
        <v>5</v>
      </c>
      <c r="D118" s="18" t="n">
        <v>0.868</v>
      </c>
      <c r="E118" s="18" t="n">
        <v>0.702</v>
      </c>
      <c r="F118" s="18">
        <f>IF(D118="","",D118*'参数与说明'!$B$6/0.68)</f>
        <v/>
      </c>
      <c r="G118" s="19">
        <f>IFERROR(IF(D118="","",D118/INDEX($D:$D,MATCH(EDATE($A118,-1),$A:$A,0))-1),"")</f>
        <v/>
      </c>
      <c r="H118" s="19">
        <f>IFERROR(IF(D118="","",D118/INDEX($D:$D,MATCH(EDATE($A118,-12),$A:$A,0))-1),"")</f>
        <v/>
      </c>
    </row>
    <row r="119">
      <c r="A119" s="12" t="n">
        <v>39600</v>
      </c>
      <c r="B119" s="13" t="n">
        <v>2008</v>
      </c>
      <c r="C119" s="13" t="n">
        <v>6</v>
      </c>
      <c r="D119" s="14" t="n">
        <v>1.06</v>
      </c>
      <c r="E119" s="14" t="n">
        <v>0.93</v>
      </c>
      <c r="F119" s="14">
        <f>IF(D119="","",D119*'参数与说明'!$B$6/0.68)</f>
        <v/>
      </c>
      <c r="G119" s="15">
        <f>IFERROR(IF(D119="","",D119/INDEX($D:$D,MATCH(EDATE($A119,-1),$A:$A,0))-1),"")</f>
        <v/>
      </c>
      <c r="H119" s="15">
        <f>IFERROR(IF(D119="","",D119/INDEX($D:$D,MATCH(EDATE($A119,-12),$A:$A,0))-1),"")</f>
        <v/>
      </c>
    </row>
    <row r="120">
      <c r="A120" s="16" t="n">
        <v>39630</v>
      </c>
      <c r="B120" s="17" t="n">
        <v>2008</v>
      </c>
      <c r="C120" s="17" t="n">
        <v>7</v>
      </c>
      <c r="D120" s="18" t="n">
        <v>0.841</v>
      </c>
      <c r="E120" s="18" t="n">
        <v>0.676</v>
      </c>
      <c r="F120" s="18">
        <f>IF(D120="","",D120*'参数与说明'!$B$6/0.68)</f>
        <v/>
      </c>
      <c r="G120" s="19">
        <f>IFERROR(IF(D120="","",D120/INDEX($D:$D,MATCH(EDATE($A120,-1),$A:$A,0))-1),"")</f>
        <v/>
      </c>
      <c r="H120" s="19">
        <f>IFERROR(IF(D120="","",D120/INDEX($D:$D,MATCH(EDATE($A120,-12),$A:$A,0))-1),"")</f>
        <v/>
      </c>
    </row>
    <row r="121">
      <c r="A121" s="12" t="n">
        <v>39661</v>
      </c>
      <c r="B121" s="13" t="n">
        <v>2008</v>
      </c>
      <c r="C121" s="13" t="n">
        <v>8</v>
      </c>
      <c r="D121" s="14" t="n">
        <v>0.964</v>
      </c>
      <c r="E121" s="14" t="n">
        <v>0.82</v>
      </c>
      <c r="F121" s="14">
        <f>IF(D121="","",D121*'参数与说明'!$B$6/0.68)</f>
        <v/>
      </c>
      <c r="G121" s="15">
        <f>IFERROR(IF(D121="","",D121/INDEX($D:$D,MATCH(EDATE($A121,-1),$A:$A,0))-1),"")</f>
        <v/>
      </c>
      <c r="H121" s="15">
        <f>IFERROR(IF(D121="","",D121/INDEX($D:$D,MATCH(EDATE($A121,-12),$A:$A,0))-1),"")</f>
        <v/>
      </c>
    </row>
    <row r="122">
      <c r="A122" s="16" t="n">
        <v>39692</v>
      </c>
      <c r="B122" s="17" t="n">
        <v>2008</v>
      </c>
      <c r="C122" s="17" t="n">
        <v>9</v>
      </c>
      <c r="D122" s="18" t="n">
        <v>0.996</v>
      </c>
      <c r="E122" s="18" t="n">
        <v>0.861</v>
      </c>
      <c r="F122" s="18">
        <f>IF(D122="","",D122*'参数与说明'!$B$6/0.68)</f>
        <v/>
      </c>
      <c r="G122" s="19">
        <f>IFERROR(IF(D122="","",D122/INDEX($D:$D,MATCH(EDATE($A122,-1),$A:$A,0))-1),"")</f>
        <v/>
      </c>
      <c r="H122" s="19">
        <f>IFERROR(IF(D122="","",D122/INDEX($D:$D,MATCH(EDATE($A122,-12),$A:$A,0))-1),"")</f>
        <v/>
      </c>
    </row>
    <row r="123">
      <c r="A123" s="12" t="n">
        <v>39722</v>
      </c>
      <c r="B123" s="13" t="n">
        <v>2008</v>
      </c>
      <c r="C123" s="13" t="n">
        <v>10</v>
      </c>
      <c r="D123" s="14" t="n">
        <v>1.02</v>
      </c>
      <c r="E123" s="14" t="n">
        <v>0.892</v>
      </c>
      <c r="F123" s="14">
        <f>IF(D123="","",D123*'参数与说明'!$B$6/0.68)</f>
        <v/>
      </c>
      <c r="G123" s="15">
        <f>IFERROR(IF(D123="","",D123/INDEX($D:$D,MATCH(EDATE($A123,-1),$A:$A,0))-1),"")</f>
        <v/>
      </c>
      <c r="H123" s="15">
        <f>IFERROR(IF(D123="","",D123/INDEX($D:$D,MATCH(EDATE($A123,-12),$A:$A,0))-1),"")</f>
        <v/>
      </c>
    </row>
    <row r="124">
      <c r="A124" s="16" t="n">
        <v>39753</v>
      </c>
      <c r="B124" s="17" t="n">
        <v>2008</v>
      </c>
      <c r="C124" s="17" t="n">
        <v>11</v>
      </c>
      <c r="D124" s="18" t="n">
        <v>1.02</v>
      </c>
      <c r="E124" s="18" t="n">
        <v>0.9</v>
      </c>
      <c r="F124" s="18">
        <f>IF(D124="","",D124*'参数与说明'!$B$6/0.68)</f>
        <v/>
      </c>
      <c r="G124" s="19">
        <f>IFERROR(IF(D124="","",D124/INDEX($D:$D,MATCH(EDATE($A124,-1),$A:$A,0))-1),"")</f>
        <v/>
      </c>
      <c r="H124" s="19">
        <f>IFERROR(IF(D124="","",D124/INDEX($D:$D,MATCH(EDATE($A124,-12),$A:$A,0))-1),"")</f>
        <v/>
      </c>
    </row>
    <row r="125">
      <c r="A125" s="12" t="n">
        <v>39783</v>
      </c>
      <c r="B125" s="13" t="n">
        <v>2008</v>
      </c>
      <c r="C125" s="13" t="n">
        <v>12</v>
      </c>
      <c r="D125" s="14" t="n">
        <v>0.996</v>
      </c>
      <c r="E125" s="14" t="n">
        <v>0.864</v>
      </c>
      <c r="F125" s="14">
        <f>IF(D125="","",D125*'参数与说明'!$B$6/0.68)</f>
        <v/>
      </c>
      <c r="G125" s="15">
        <f>IFERROR(IF(D125="","",D125/INDEX($D:$D,MATCH(EDATE($A125,-1),$A:$A,0))-1),"")</f>
        <v/>
      </c>
      <c r="H125" s="15">
        <f>IFERROR(IF(D125="","",D125/INDEX($D:$D,MATCH(EDATE($A125,-12),$A:$A,0))-1),"")</f>
        <v/>
      </c>
    </row>
    <row r="126">
      <c r="A126" s="16" t="n">
        <v>39814</v>
      </c>
      <c r="B126" s="17" t="n">
        <v>2009</v>
      </c>
      <c r="C126" s="17" t="n">
        <v>1</v>
      </c>
      <c r="D126" s="18" t="n">
        <v>1.03</v>
      </c>
      <c r="E126" s="18" t="n">
        <v>0.901</v>
      </c>
      <c r="F126" s="18">
        <f>IF(D126="","",D126*'参数与说明'!$B$6/0.68)</f>
        <v/>
      </c>
      <c r="G126" s="19">
        <f>IFERROR(IF(D126="","",D126/INDEX($D:$D,MATCH(EDATE($A126,-1),$A:$A,0))-1),"")</f>
        <v/>
      </c>
      <c r="H126" s="19">
        <f>IFERROR(IF(D126="","",D126/INDEX($D:$D,MATCH(EDATE($A126,-12),$A:$A,0))-1),"")</f>
        <v/>
      </c>
    </row>
    <row r="127">
      <c r="A127" s="12" t="n">
        <v>39845</v>
      </c>
      <c r="B127" s="13" t="n">
        <v>2009</v>
      </c>
      <c r="C127" s="13" t="n">
        <v>2</v>
      </c>
      <c r="D127" s="14" t="n">
        <v>0.8110000000000001</v>
      </c>
      <c r="E127" s="14" t="n">
        <v>0.642</v>
      </c>
      <c r="F127" s="14">
        <f>IF(D127="","",D127*'参数与说明'!$B$6/0.68)</f>
        <v/>
      </c>
      <c r="G127" s="15">
        <f>IFERROR(IF(D127="","",D127/INDEX($D:$D,MATCH(EDATE($A127,-1),$A:$A,0))-1),"")</f>
        <v/>
      </c>
      <c r="H127" s="15">
        <f>IFERROR(IF(D127="","",D127/INDEX($D:$D,MATCH(EDATE($A127,-12),$A:$A,0))-1),"")</f>
        <v/>
      </c>
    </row>
    <row r="128">
      <c r="A128" s="16" t="n">
        <v>39873</v>
      </c>
      <c r="B128" s="17" t="n">
        <v>2009</v>
      </c>
      <c r="C128" s="17" t="n">
        <v>3</v>
      </c>
      <c r="D128" s="18" t="n">
        <v>0.8129999999999999</v>
      </c>
      <c r="E128" s="18" t="n">
        <v>0.647</v>
      </c>
      <c r="F128" s="18">
        <f>IF(D128="","",D128*'参数与说明'!$B$6/0.68)</f>
        <v/>
      </c>
      <c r="G128" s="19">
        <f>IFERROR(IF(D128="","",D128/INDEX($D:$D,MATCH(EDATE($A128,-1),$A:$A,0))-1),"")</f>
        <v/>
      </c>
      <c r="H128" s="19">
        <f>IFERROR(IF(D128="","",D128/INDEX($D:$D,MATCH(EDATE($A128,-12),$A:$A,0))-1),"")</f>
        <v/>
      </c>
    </row>
    <row r="129">
      <c r="A129" s="12" t="n">
        <v>39904</v>
      </c>
      <c r="B129" s="13" t="n">
        <v>2009</v>
      </c>
      <c r="C129" s="13" t="n">
        <v>4</v>
      </c>
      <c r="D129" s="14" t="n">
        <v>0.921</v>
      </c>
      <c r="E129" s="14" t="n">
        <v>0.774</v>
      </c>
      <c r="F129" s="14">
        <f>IF(D129="","",D129*'参数与说明'!$B$6/0.68)</f>
        <v/>
      </c>
      <c r="G129" s="15">
        <f>IFERROR(IF(D129="","",D129/INDEX($D:$D,MATCH(EDATE($A129,-1),$A:$A,0))-1),"")</f>
        <v/>
      </c>
      <c r="H129" s="15">
        <f>IFERROR(IF(D129="","",D129/INDEX($D:$D,MATCH(EDATE($A129,-12),$A:$A,0))-1),"")</f>
        <v/>
      </c>
    </row>
    <row r="130">
      <c r="A130" s="16" t="n">
        <v>39934</v>
      </c>
      <c r="B130" s="17" t="n">
        <v>2009</v>
      </c>
      <c r="C130" s="17" t="n">
        <v>5</v>
      </c>
      <c r="D130" s="18" t="n">
        <v>0.619</v>
      </c>
      <c r="E130" s="18" t="n">
        <v>0.417</v>
      </c>
      <c r="F130" s="18">
        <f>IF(D130="","",D130*'参数与说明'!$B$6/0.68)</f>
        <v/>
      </c>
      <c r="G130" s="19">
        <f>IFERROR(IF(D130="","",D130/INDEX($D:$D,MATCH(EDATE($A130,-1),$A:$A,0))-1),"")</f>
        <v/>
      </c>
      <c r="H130" s="19">
        <f>IFERROR(IF(D130="","",D130/INDEX($D:$D,MATCH(EDATE($A130,-12),$A:$A,0))-1),"")</f>
        <v/>
      </c>
    </row>
    <row r="131">
      <c r="A131" s="12" t="n">
        <v>39965</v>
      </c>
      <c r="B131" s="13" t="n">
        <v>2009</v>
      </c>
      <c r="C131" s="13" t="n">
        <v>6</v>
      </c>
      <c r="D131" s="14" t="n">
        <v>0.595</v>
      </c>
      <c r="E131" s="14" t="n">
        <v>0.389</v>
      </c>
      <c r="F131" s="14">
        <f>IF(D131="","",D131*'参数与说明'!$B$6/0.68)</f>
        <v/>
      </c>
      <c r="G131" s="15">
        <f>IFERROR(IF(D131="","",D131/INDEX($D:$D,MATCH(EDATE($A131,-1),$A:$A,0))-1),"")</f>
        <v/>
      </c>
      <c r="H131" s="15">
        <f>IFERROR(IF(D131="","",D131/INDEX($D:$D,MATCH(EDATE($A131,-12),$A:$A,0))-1),"")</f>
        <v/>
      </c>
    </row>
    <row r="132">
      <c r="A132" s="16" t="n">
        <v>39995</v>
      </c>
      <c r="B132" s="17" t="n">
        <v>2009</v>
      </c>
      <c r="C132" s="17" t="n">
        <v>7</v>
      </c>
      <c r="D132" s="18" t="n">
        <v>0.709</v>
      </c>
      <c r="E132" s="18" t="n">
        <v>0.524</v>
      </c>
      <c r="F132" s="18">
        <f>IF(D132="","",D132*'参数与说明'!$B$6/0.68)</f>
        <v/>
      </c>
      <c r="G132" s="19">
        <f>IFERROR(IF(D132="","",D132/INDEX($D:$D,MATCH(EDATE($A132,-1),$A:$A,0))-1),"")</f>
        <v/>
      </c>
      <c r="H132" s="19">
        <f>IFERROR(IF(D132="","",D132/INDEX($D:$D,MATCH(EDATE($A132,-12),$A:$A,0))-1),"")</f>
        <v/>
      </c>
    </row>
    <row r="133">
      <c r="A133" s="12" t="n">
        <v>40026</v>
      </c>
      <c r="B133" s="13" t="n">
        <v>2009</v>
      </c>
      <c r="C133" s="13" t="n">
        <v>8</v>
      </c>
      <c r="D133" s="14" t="n">
        <v>0.76</v>
      </c>
      <c r="E133" s="14" t="n">
        <v>0.585</v>
      </c>
      <c r="F133" s="14">
        <f>IF(D133="","",D133*'参数与说明'!$B$6/0.68)</f>
        <v/>
      </c>
      <c r="G133" s="15">
        <f>IFERROR(IF(D133="","",D133/INDEX($D:$D,MATCH(EDATE($A133,-1),$A:$A,0))-1),"")</f>
        <v/>
      </c>
      <c r="H133" s="15">
        <f>IFERROR(IF(D133="","",D133/INDEX($D:$D,MATCH(EDATE($A133,-12),$A:$A,0))-1),"")</f>
        <v/>
      </c>
    </row>
    <row r="134">
      <c r="A134" s="16" t="n">
        <v>40057</v>
      </c>
      <c r="B134" s="17" t="n">
        <v>2009</v>
      </c>
      <c r="C134" s="17" t="n">
        <v>9</v>
      </c>
      <c r="D134" s="18" t="n">
        <v>0.745</v>
      </c>
      <c r="E134" s="18" t="n">
        <v>0.571</v>
      </c>
      <c r="F134" s="18">
        <f>IF(D134="","",D134*'参数与说明'!$B$6/0.68)</f>
        <v/>
      </c>
      <c r="G134" s="19">
        <f>IFERROR(IF(D134="","",D134/INDEX($D:$D,MATCH(EDATE($A134,-1),$A:$A,0))-1),"")</f>
        <v/>
      </c>
      <c r="H134" s="19">
        <f>IFERROR(IF(D134="","",D134/INDEX($D:$D,MATCH(EDATE($A134,-12),$A:$A,0))-1),"")</f>
        <v/>
      </c>
    </row>
    <row r="135">
      <c r="A135" s="12" t="n">
        <v>40087</v>
      </c>
      <c r="B135" s="13" t="n">
        <v>2009</v>
      </c>
      <c r="C135" s="13" t="n">
        <v>10</v>
      </c>
      <c r="D135" s="14" t="n">
        <v>0.801</v>
      </c>
      <c r="E135" s="14" t="n">
        <v>0.638</v>
      </c>
      <c r="F135" s="14">
        <f>IF(D135="","",D135*'参数与说明'!$B$6/0.68)</f>
        <v/>
      </c>
      <c r="G135" s="15">
        <f>IFERROR(IF(D135="","",D135/INDEX($D:$D,MATCH(EDATE($A135,-1),$A:$A,0))-1),"")</f>
        <v/>
      </c>
      <c r="H135" s="15">
        <f>IFERROR(IF(D135="","",D135/INDEX($D:$D,MATCH(EDATE($A135,-12),$A:$A,0))-1),"")</f>
        <v/>
      </c>
    </row>
    <row r="136">
      <c r="A136" s="16" t="n">
        <v>40118</v>
      </c>
      <c r="B136" s="17" t="n">
        <v>2009</v>
      </c>
      <c r="C136" s="17" t="n">
        <v>11</v>
      </c>
      <c r="D136" s="18" t="n">
        <v>1.01</v>
      </c>
      <c r="E136" s="18" t="n">
        <v>0.884</v>
      </c>
      <c r="F136" s="18">
        <f>IF(D136="","",D136*'参数与说明'!$B$6/0.68)</f>
        <v/>
      </c>
      <c r="G136" s="19">
        <f>IFERROR(IF(D136="","",D136/INDEX($D:$D,MATCH(EDATE($A136,-1),$A:$A,0))-1),"")</f>
        <v/>
      </c>
      <c r="H136" s="19">
        <f>IFERROR(IF(D136="","",D136/INDEX($D:$D,MATCH(EDATE($A136,-12),$A:$A,0))-1),"")</f>
        <v/>
      </c>
    </row>
    <row r="137">
      <c r="A137" s="12" t="n">
        <v>40148</v>
      </c>
      <c r="B137" s="13" t="n">
        <v>2009</v>
      </c>
      <c r="C137" s="13" t="n">
        <v>12</v>
      </c>
      <c r="D137" s="14" t="n">
        <v>1.06</v>
      </c>
      <c r="E137" s="14" t="n">
        <v>0.944</v>
      </c>
      <c r="F137" s="14">
        <f>IF(D137="","",D137*'参数与说明'!$B$6/0.68)</f>
        <v/>
      </c>
      <c r="G137" s="15">
        <f>IFERROR(IF(D137="","",D137/INDEX($D:$D,MATCH(EDATE($A137,-1),$A:$A,0))-1),"")</f>
        <v/>
      </c>
      <c r="H137" s="15">
        <f>IFERROR(IF(D137="","",D137/INDEX($D:$D,MATCH(EDATE($A137,-12),$A:$A,0))-1),"")</f>
        <v/>
      </c>
    </row>
    <row r="138">
      <c r="A138" s="16" t="n">
        <v>40179</v>
      </c>
      <c r="B138" s="17" t="n">
        <v>2010</v>
      </c>
      <c r="C138" s="17" t="n">
        <v>1</v>
      </c>
      <c r="D138" s="18" t="n">
        <v>1.03</v>
      </c>
      <c r="E138" s="18" t="n">
        <v>0.906</v>
      </c>
      <c r="F138" s="18">
        <f>IF(D138="","",D138*'参数与说明'!$B$6/0.68)</f>
        <v/>
      </c>
      <c r="G138" s="19">
        <f>IFERROR(IF(D138="","",D138/INDEX($D:$D,MATCH(EDATE($A138,-1),$A:$A,0))-1),"")</f>
        <v/>
      </c>
      <c r="H138" s="19">
        <f>IFERROR(IF(D138="","",D138/INDEX($D:$D,MATCH(EDATE($A138,-12),$A:$A,0))-1),"")</f>
        <v/>
      </c>
    </row>
    <row r="139">
      <c r="A139" s="12" t="n">
        <v>40210</v>
      </c>
      <c r="B139" s="13" t="n">
        <v>2010</v>
      </c>
      <c r="C139" s="13" t="n">
        <v>2</v>
      </c>
      <c r="D139" s="14" t="n">
        <v>0.92</v>
      </c>
      <c r="E139" s="14" t="n">
        <v>0.775</v>
      </c>
      <c r="F139" s="14">
        <f>IF(D139="","",D139*'参数与说明'!$B$6/0.68)</f>
        <v/>
      </c>
      <c r="G139" s="15">
        <f>IFERROR(IF(D139="","",D139/INDEX($D:$D,MATCH(EDATE($A139,-1),$A:$A,0))-1),"")</f>
        <v/>
      </c>
      <c r="H139" s="15">
        <f>IFERROR(IF(D139="","",D139/INDEX($D:$D,MATCH(EDATE($A139,-12),$A:$A,0))-1),"")</f>
        <v/>
      </c>
    </row>
    <row r="140">
      <c r="A140" s="16" t="n">
        <v>40238</v>
      </c>
      <c r="B140" s="17" t="n">
        <v>2010</v>
      </c>
      <c r="C140" s="17" t="n">
        <v>3</v>
      </c>
      <c r="D140" s="18" t="n">
        <v>1.16</v>
      </c>
      <c r="E140" s="18" t="n">
        <v>1.06</v>
      </c>
      <c r="F140" s="18">
        <f>IF(D140="","",D140*'参数与说明'!$B$6/0.68)</f>
        <v/>
      </c>
      <c r="G140" s="19">
        <f>IFERROR(IF(D140="","",D140/INDEX($D:$D,MATCH(EDATE($A140,-1),$A:$A,0))-1),"")</f>
        <v/>
      </c>
      <c r="H140" s="19">
        <f>IFERROR(IF(D140="","",D140/INDEX($D:$D,MATCH(EDATE($A140,-12),$A:$A,0))-1),"")</f>
        <v/>
      </c>
    </row>
    <row r="141">
      <c r="A141" s="12" t="n">
        <v>40269</v>
      </c>
      <c r="B141" s="13" t="n">
        <v>2010</v>
      </c>
      <c r="C141" s="13" t="n">
        <v>4</v>
      </c>
      <c r="D141" s="14" t="n">
        <v>0.769</v>
      </c>
      <c r="E141" s="14" t="n">
        <v>0.6</v>
      </c>
      <c r="F141" s="14">
        <f>IF(D141="","",D141*'参数与说明'!$B$6/0.68)</f>
        <v/>
      </c>
      <c r="G141" s="15">
        <f>IFERROR(IF(D141="","",D141/INDEX($D:$D,MATCH(EDATE($A141,-1),$A:$A,0))-1),"")</f>
        <v/>
      </c>
      <c r="H141" s="15">
        <f>IFERROR(IF(D141="","",D141/INDEX($D:$D,MATCH(EDATE($A141,-12),$A:$A,0))-1),"")</f>
        <v/>
      </c>
    </row>
    <row r="142">
      <c r="A142" s="16" t="n">
        <v>40299</v>
      </c>
      <c r="B142" s="17" t="n">
        <v>2010</v>
      </c>
      <c r="C142" s="17" t="n">
        <v>5</v>
      </c>
      <c r="D142" s="18" t="n">
        <v>0.636</v>
      </c>
      <c r="E142" s="18" t="n">
        <v>0.442</v>
      </c>
      <c r="F142" s="18">
        <f>IF(D142="","",D142*'参数与说明'!$B$6/0.68)</f>
        <v/>
      </c>
      <c r="G142" s="19">
        <f>IFERROR(IF(D142="","",D142/INDEX($D:$D,MATCH(EDATE($A142,-1),$A:$A,0))-1),"")</f>
        <v/>
      </c>
      <c r="H142" s="19">
        <f>IFERROR(IF(D142="","",D142/INDEX($D:$D,MATCH(EDATE($A142,-12),$A:$A,0))-1),"")</f>
        <v/>
      </c>
    </row>
    <row r="143">
      <c r="A143" s="12" t="n">
        <v>40330</v>
      </c>
      <c r="B143" s="13" t="n">
        <v>2010</v>
      </c>
      <c r="C143" s="13" t="n">
        <v>6</v>
      </c>
      <c r="D143" s="14" t="n">
        <v>0.618</v>
      </c>
      <c r="E143" s="14" t="n">
        <v>0.423</v>
      </c>
      <c r="F143" s="14">
        <f>IF(D143="","",D143*'参数与说明'!$B$6/0.68)</f>
        <v/>
      </c>
      <c r="G143" s="15">
        <f>IFERROR(IF(D143="","",D143/INDEX($D:$D,MATCH(EDATE($A143,-1),$A:$A,0))-1),"")</f>
        <v/>
      </c>
      <c r="H143" s="15">
        <f>IFERROR(IF(D143="","",D143/INDEX($D:$D,MATCH(EDATE($A143,-12),$A:$A,0))-1),"")</f>
        <v/>
      </c>
    </row>
    <row r="144">
      <c r="A144" s="16" t="n">
        <v>40360</v>
      </c>
      <c r="B144" s="17" t="n">
        <v>2010</v>
      </c>
      <c r="C144" s="17" t="n">
        <v>7</v>
      </c>
      <c r="D144" s="18" t="n">
        <v>0.71</v>
      </c>
      <c r="E144" s="18" t="n">
        <v>0.528</v>
      </c>
      <c r="F144" s="18">
        <f>IF(D144="","",D144*'参数与说明'!$B$6/0.68)</f>
        <v/>
      </c>
      <c r="G144" s="19">
        <f>IFERROR(IF(D144="","",D144/INDEX($D:$D,MATCH(EDATE($A144,-1),$A:$A,0))-1),"")</f>
        <v/>
      </c>
      <c r="H144" s="19">
        <f>IFERROR(IF(D144="","",D144/INDEX($D:$D,MATCH(EDATE($A144,-12),$A:$A,0))-1),"")</f>
        <v/>
      </c>
    </row>
    <row r="145">
      <c r="A145" s="12" t="n">
        <v>40391</v>
      </c>
      <c r="B145" s="13" t="n">
        <v>2010</v>
      </c>
      <c r="C145" s="13" t="n">
        <v>8</v>
      </c>
      <c r="D145" s="14" t="n">
        <v>0.79</v>
      </c>
      <c r="E145" s="14" t="n">
        <v>0.625</v>
      </c>
      <c r="F145" s="14">
        <f>IF(D145="","",D145*'参数与说明'!$B$6/0.68)</f>
        <v/>
      </c>
      <c r="G145" s="15">
        <f>IFERROR(IF(D145="","",D145/INDEX($D:$D,MATCH(EDATE($A145,-1),$A:$A,0))-1),"")</f>
        <v/>
      </c>
      <c r="H145" s="15">
        <f>IFERROR(IF(D145="","",D145/INDEX($D:$D,MATCH(EDATE($A145,-12),$A:$A,0))-1),"")</f>
        <v/>
      </c>
    </row>
    <row r="146">
      <c r="A146" s="16" t="n">
        <v>40422</v>
      </c>
      <c r="B146" s="17" t="n">
        <v>2010</v>
      </c>
      <c r="C146" s="17" t="n">
        <v>9</v>
      </c>
      <c r="D146" s="18" t="n">
        <v>0.635</v>
      </c>
      <c r="E146" s="18" t="n">
        <v>0.447</v>
      </c>
      <c r="F146" s="18">
        <f>IF(D146="","",D146*'参数与说明'!$B$6/0.68)</f>
        <v/>
      </c>
      <c r="G146" s="19">
        <f>IFERROR(IF(D146="","",D146/INDEX($D:$D,MATCH(EDATE($A146,-1),$A:$A,0))-1),"")</f>
        <v/>
      </c>
      <c r="H146" s="19">
        <f>IFERROR(IF(D146="","",D146/INDEX($D:$D,MATCH(EDATE($A146,-12),$A:$A,0))-1),"")</f>
        <v/>
      </c>
    </row>
    <row r="147">
      <c r="A147" s="12" t="n">
        <v>40452</v>
      </c>
      <c r="B147" s="13" t="n">
        <v>2010</v>
      </c>
      <c r="C147" s="13" t="n">
        <v>10</v>
      </c>
      <c r="D147" s="14" t="n">
        <v>0.8139999999999999</v>
      </c>
      <c r="E147" s="14" t="n">
        <v>0.655</v>
      </c>
      <c r="F147" s="14">
        <f>IF(D147="","",D147*'参数与说明'!$B$6/0.68)</f>
        <v/>
      </c>
      <c r="G147" s="15">
        <f>IFERROR(IF(D147="","",D147/INDEX($D:$D,MATCH(EDATE($A147,-1),$A:$A,0))-1),"")</f>
        <v/>
      </c>
      <c r="H147" s="15">
        <f>IFERROR(IF(D147="","",D147/INDEX($D:$D,MATCH(EDATE($A147,-12),$A:$A,0))-1),"")</f>
        <v/>
      </c>
    </row>
    <row r="148">
      <c r="A148" s="16" t="n">
        <v>40483</v>
      </c>
      <c r="B148" s="17" t="n">
        <v>2010</v>
      </c>
      <c r="C148" s="17" t="n">
        <v>11</v>
      </c>
      <c r="D148" s="18" t="n">
        <v>1.13</v>
      </c>
      <c r="E148" s="18" t="n">
        <v>1.02</v>
      </c>
      <c r="F148" s="18">
        <f>IF(D148="","",D148*'参数与说明'!$B$6/0.68)</f>
        <v/>
      </c>
      <c r="G148" s="19">
        <f>IFERROR(IF(D148="","",D148/INDEX($D:$D,MATCH(EDATE($A148,-1),$A:$A,0))-1),"")</f>
        <v/>
      </c>
      <c r="H148" s="19">
        <f>IFERROR(IF(D148="","",D148/INDEX($D:$D,MATCH(EDATE($A148,-12),$A:$A,0))-1),"")</f>
        <v/>
      </c>
    </row>
    <row r="149">
      <c r="A149" s="12" t="n">
        <v>40513</v>
      </c>
      <c r="B149" s="13" t="n">
        <v>2010</v>
      </c>
      <c r="C149" s="13" t="n">
        <v>12</v>
      </c>
      <c r="D149" s="14" t="n">
        <v>1.07</v>
      </c>
      <c r="E149" s="14" t="n">
        <v>0.919</v>
      </c>
      <c r="F149" s="14">
        <f>IF(D149="","",D149*'参数与说明'!$B$6/0.68)</f>
        <v/>
      </c>
      <c r="G149" s="15">
        <f>IFERROR(IF(D149="","",D149/INDEX($D:$D,MATCH(EDATE($A149,-1),$A:$A,0))-1),"")</f>
        <v/>
      </c>
      <c r="H149" s="15">
        <f>IFERROR(IF(D149="","",D149/INDEX($D:$D,MATCH(EDATE($A149,-12),$A:$A,0))-1),"")</f>
        <v/>
      </c>
    </row>
    <row r="150">
      <c r="A150" s="16" t="n">
        <v>40544</v>
      </c>
      <c r="B150" s="17" t="n">
        <v>2011</v>
      </c>
      <c r="C150" s="17" t="n">
        <v>1</v>
      </c>
      <c r="D150" s="18" t="n">
        <v>0.848</v>
      </c>
      <c r="E150" s="18" t="n">
        <v>0.66</v>
      </c>
      <c r="F150" s="18">
        <f>IF(D150="","",D150*'参数与说明'!$B$6/0.68)</f>
        <v/>
      </c>
      <c r="G150" s="19">
        <f>IFERROR(IF(D150="","",D150/INDEX($D:$D,MATCH(EDATE($A150,-1),$A:$A,0))-1),"")</f>
        <v/>
      </c>
      <c r="H150" s="19">
        <f>IFERROR(IF(D150="","",D150/INDEX($D:$D,MATCH(EDATE($A150,-12),$A:$A,0))-1),"")</f>
        <v/>
      </c>
    </row>
    <row r="151">
      <c r="A151" s="12" t="n">
        <v>40575</v>
      </c>
      <c r="B151" s="13" t="n">
        <v>2011</v>
      </c>
      <c r="C151" s="13" t="n">
        <v>2</v>
      </c>
      <c r="D151" s="14" t="n">
        <v>0.949</v>
      </c>
      <c r="E151" s="14" t="n">
        <v>0.776</v>
      </c>
      <c r="F151" s="14">
        <f>IF(D151="","",D151*'参数与说明'!$B$6/0.68)</f>
        <v/>
      </c>
      <c r="G151" s="15">
        <f>IFERROR(IF(D151="","",D151/INDEX($D:$D,MATCH(EDATE($A151,-1),$A:$A,0))-1),"")</f>
        <v/>
      </c>
      <c r="H151" s="15">
        <f>IFERROR(IF(D151="","",D151/INDEX($D:$D,MATCH(EDATE($A151,-12),$A:$A,0))-1),"")</f>
        <v/>
      </c>
    </row>
    <row r="152">
      <c r="A152" s="16" t="n">
        <v>40603</v>
      </c>
      <c r="B152" s="17" t="n">
        <v>2011</v>
      </c>
      <c r="C152" s="17" t="n">
        <v>3</v>
      </c>
      <c r="D152" s="18" t="n">
        <v>0.843</v>
      </c>
      <c r="E152" s="18" t="n">
        <v>0.654</v>
      </c>
      <c r="F152" s="18">
        <f>IF(D152="","",D152*'参数与说明'!$B$6/0.68)</f>
        <v/>
      </c>
      <c r="G152" s="19">
        <f>IFERROR(IF(D152="","",D152/INDEX($D:$D,MATCH(EDATE($A152,-1),$A:$A,0))-1),"")</f>
        <v/>
      </c>
      <c r="H152" s="19">
        <f>IFERROR(IF(D152="","",D152/INDEX($D:$D,MATCH(EDATE($A152,-12),$A:$A,0))-1),"")</f>
        <v/>
      </c>
    </row>
    <row r="153">
      <c r="A153" s="12" t="n">
        <v>40634</v>
      </c>
      <c r="B153" s="13" t="n">
        <v>2011</v>
      </c>
      <c r="C153" s="13" t="n">
        <v>4</v>
      </c>
      <c r="D153" s="14" t="n">
        <v>1.05</v>
      </c>
      <c r="E153" s="14" t="n">
        <v>0.888</v>
      </c>
      <c r="F153" s="14">
        <f>IF(D153="","",D153*'参数与说明'!$B$6/0.68)</f>
        <v/>
      </c>
      <c r="G153" s="15">
        <f>IFERROR(IF(D153="","",D153/INDEX($D:$D,MATCH(EDATE($A153,-1),$A:$A,0))-1),"")</f>
        <v/>
      </c>
      <c r="H153" s="15">
        <f>IFERROR(IF(D153="","",D153/INDEX($D:$D,MATCH(EDATE($A153,-12),$A:$A,0))-1),"")</f>
        <v/>
      </c>
    </row>
    <row r="154">
      <c r="A154" s="16" t="n">
        <v>40664</v>
      </c>
      <c r="B154" s="17" t="n">
        <v>2011</v>
      </c>
      <c r="C154" s="17" t="n">
        <v>5</v>
      </c>
      <c r="D154" s="18" t="n">
        <v>0.821</v>
      </c>
      <c r="E154" s="18" t="n">
        <v>0.622</v>
      </c>
      <c r="F154" s="18">
        <f>IF(D154="","",D154*'参数与说明'!$B$6/0.68)</f>
        <v/>
      </c>
      <c r="G154" s="19">
        <f>IFERROR(IF(D154="","",D154/INDEX($D:$D,MATCH(EDATE($A154,-1),$A:$A,0))-1),"")</f>
        <v/>
      </c>
      <c r="H154" s="19">
        <f>IFERROR(IF(D154="","",D154/INDEX($D:$D,MATCH(EDATE($A154,-12),$A:$A,0))-1),"")</f>
        <v/>
      </c>
    </row>
    <row r="155">
      <c r="A155" s="12" t="n">
        <v>40695</v>
      </c>
      <c r="B155" s="13" t="n">
        <v>2011</v>
      </c>
      <c r="C155" s="13" t="n">
        <v>6</v>
      </c>
      <c r="D155" s="14" t="n">
        <v>0.884</v>
      </c>
      <c r="E155" s="14" t="n">
        <v>0.6870000000000001</v>
      </c>
      <c r="F155" s="14">
        <f>IF(D155="","",D155*'参数与说明'!$B$6/0.68)</f>
        <v/>
      </c>
      <c r="G155" s="15">
        <f>IFERROR(IF(D155="","",D155/INDEX($D:$D,MATCH(EDATE($A155,-1),$A:$A,0))-1),"")</f>
        <v/>
      </c>
      <c r="H155" s="15">
        <f>IFERROR(IF(D155="","",D155/INDEX($D:$D,MATCH(EDATE($A155,-12),$A:$A,0))-1),"")</f>
        <v/>
      </c>
    </row>
    <row r="156">
      <c r="A156" s="16" t="n">
        <v>40725</v>
      </c>
      <c r="B156" s="17" t="n">
        <v>2011</v>
      </c>
      <c r="C156" s="17" t="n">
        <v>7</v>
      </c>
      <c r="D156" s="18" t="n">
        <v>0.878</v>
      </c>
      <c r="E156" s="18" t="n">
        <v>0.6840000000000001</v>
      </c>
      <c r="F156" s="18">
        <f>IF(D156="","",D156*'参数与说明'!$B$6/0.68)</f>
        <v/>
      </c>
      <c r="G156" s="19">
        <f>IFERROR(IF(D156="","",D156/INDEX($D:$D,MATCH(EDATE($A156,-1),$A:$A,0))-1),"")</f>
        <v/>
      </c>
      <c r="H156" s="19">
        <f>IFERROR(IF(D156="","",D156/INDEX($D:$D,MATCH(EDATE($A156,-12),$A:$A,0))-1),"")</f>
        <v/>
      </c>
    </row>
    <row r="157">
      <c r="A157" s="12" t="n">
        <v>40756</v>
      </c>
      <c r="B157" s="13" t="n">
        <v>2011</v>
      </c>
      <c r="C157" s="13" t="n">
        <v>8</v>
      </c>
      <c r="D157" s="14" t="n">
        <v>1.14</v>
      </c>
      <c r="E157" s="14" t="n">
        <v>0.991</v>
      </c>
      <c r="F157" s="14">
        <f>IF(D157="","",D157*'参数与说明'!$B$6/0.68)</f>
        <v/>
      </c>
      <c r="G157" s="15">
        <f>IFERROR(IF(D157="","",D157/INDEX($D:$D,MATCH(EDATE($A157,-1),$A:$A,0))-1),"")</f>
        <v/>
      </c>
      <c r="H157" s="15">
        <f>IFERROR(IF(D157="","",D157/INDEX($D:$D,MATCH(EDATE($A157,-12),$A:$A,0))-1),"")</f>
        <v/>
      </c>
    </row>
    <row r="158">
      <c r="A158" s="16" t="n">
        <v>40787</v>
      </c>
      <c r="B158" s="17" t="n">
        <v>2011</v>
      </c>
      <c r="C158" s="17" t="n">
        <v>9</v>
      </c>
      <c r="D158" s="18" t="n">
        <v>0.944</v>
      </c>
      <c r="E158" s="18" t="n">
        <v>0.769</v>
      </c>
      <c r="F158" s="18">
        <f>IF(D158="","",D158*'参数与说明'!$B$6/0.68)</f>
        <v/>
      </c>
      <c r="G158" s="19">
        <f>IFERROR(IF(D158="","",D158/INDEX($D:$D,MATCH(EDATE($A158,-1),$A:$A,0))-1),"")</f>
        <v/>
      </c>
      <c r="H158" s="19">
        <f>IFERROR(IF(D158="","",D158/INDEX($D:$D,MATCH(EDATE($A158,-12),$A:$A,0))-1),"")</f>
        <v/>
      </c>
    </row>
    <row r="159">
      <c r="A159" s="12" t="n">
        <v>40817</v>
      </c>
      <c r="B159" s="13" t="n">
        <v>2011</v>
      </c>
      <c r="C159" s="13" t="n">
        <v>10</v>
      </c>
      <c r="D159" s="14" t="n">
        <v>1.02</v>
      </c>
      <c r="E159" s="14" t="n">
        <v>0.857</v>
      </c>
      <c r="F159" s="14">
        <f>IF(D159="","",D159*'参数与说明'!$B$6/0.68)</f>
        <v/>
      </c>
      <c r="G159" s="15">
        <f>IFERROR(IF(D159="","",D159/INDEX($D:$D,MATCH(EDATE($A159,-1),$A:$A,0))-1),"")</f>
        <v/>
      </c>
      <c r="H159" s="15">
        <f>IFERROR(IF(D159="","",D159/INDEX($D:$D,MATCH(EDATE($A159,-12),$A:$A,0))-1),"")</f>
        <v/>
      </c>
    </row>
    <row r="160">
      <c r="A160" s="16" t="n">
        <v>40848</v>
      </c>
      <c r="B160" s="17" t="n">
        <v>2011</v>
      </c>
      <c r="C160" s="17" t="n">
        <v>11</v>
      </c>
      <c r="D160" s="18" t="n">
        <v>1.02</v>
      </c>
      <c r="E160" s="18" t="n">
        <v>0.862</v>
      </c>
      <c r="F160" s="18">
        <f>IF(D160="","",D160*'参数与说明'!$B$6/0.68)</f>
        <v/>
      </c>
      <c r="G160" s="19">
        <f>IFERROR(IF(D160="","",D160/INDEX($D:$D,MATCH(EDATE($A160,-1),$A:$A,0))-1),"")</f>
        <v/>
      </c>
      <c r="H160" s="19">
        <f>IFERROR(IF(D160="","",D160/INDEX($D:$D,MATCH(EDATE($A160,-12),$A:$A,0))-1),"")</f>
        <v/>
      </c>
    </row>
    <row r="161">
      <c r="A161" s="12" t="n">
        <v>40878</v>
      </c>
      <c r="B161" s="13" t="n">
        <v>2011</v>
      </c>
      <c r="C161" s="13" t="n">
        <v>12</v>
      </c>
      <c r="D161" s="14" t="n">
        <v>1.22</v>
      </c>
      <c r="E161" s="14" t="n">
        <v>1.1</v>
      </c>
      <c r="F161" s="14">
        <f>IF(D161="","",D161*'参数与说明'!$B$6/0.68)</f>
        <v/>
      </c>
      <c r="G161" s="15">
        <f>IFERROR(IF(D161="","",D161/INDEX($D:$D,MATCH(EDATE($A161,-1),$A:$A,0))-1),"")</f>
        <v/>
      </c>
      <c r="H161" s="15">
        <f>IFERROR(IF(D161="","",D161/INDEX($D:$D,MATCH(EDATE($A161,-12),$A:$A,0))-1),"")</f>
        <v/>
      </c>
    </row>
    <row r="162">
      <c r="A162" s="16" t="n">
        <v>40909</v>
      </c>
      <c r="B162" s="17" t="n">
        <v>2012</v>
      </c>
      <c r="C162" s="17" t="n">
        <v>1</v>
      </c>
      <c r="D162" s="18" t="n">
        <v>0.881</v>
      </c>
      <c r="E162" s="18" t="n">
        <v>0.667</v>
      </c>
      <c r="F162" s="18">
        <f>IF(D162="","",D162*'参数与说明'!$B$6/0.68)</f>
        <v/>
      </c>
      <c r="G162" s="19">
        <f>IFERROR(IF(D162="","",D162/INDEX($D:$D,MATCH(EDATE($A162,-1),$A:$A,0))-1),"")</f>
        <v/>
      </c>
      <c r="H162" s="19">
        <f>IFERROR(IF(D162="","",D162/INDEX($D:$D,MATCH(EDATE($A162,-12),$A:$A,0))-1),"")</f>
        <v/>
      </c>
    </row>
    <row r="163">
      <c r="A163" s="12" t="n">
        <v>40940</v>
      </c>
      <c r="B163" s="13" t="n">
        <v>2012</v>
      </c>
      <c r="C163" s="13" t="n">
        <v>2</v>
      </c>
      <c r="D163" s="14" t="n">
        <v>0.887</v>
      </c>
      <c r="E163" s="14" t="n">
        <v>0.669</v>
      </c>
      <c r="F163" s="14">
        <f>IF(D163="","",D163*'参数与说明'!$B$6/0.68)</f>
        <v/>
      </c>
      <c r="G163" s="15">
        <f>IFERROR(IF(D163="","",D163/INDEX($D:$D,MATCH(EDATE($A163,-1),$A:$A,0))-1),"")</f>
        <v/>
      </c>
      <c r="H163" s="15">
        <f>IFERROR(IF(D163="","",D163/INDEX($D:$D,MATCH(EDATE($A163,-12),$A:$A,0))-1),"")</f>
        <v/>
      </c>
    </row>
    <row r="164">
      <c r="A164" s="16" t="n">
        <v>40969</v>
      </c>
      <c r="B164" s="17" t="n">
        <v>2012</v>
      </c>
      <c r="C164" s="17" t="n">
        <v>3</v>
      </c>
      <c r="D164" s="18" t="n">
        <v>0.99</v>
      </c>
      <c r="E164" s="18" t="n">
        <v>0.792</v>
      </c>
      <c r="F164" s="18">
        <f>IF(D164="","",D164*'参数与说明'!$B$6/0.68)</f>
        <v/>
      </c>
      <c r="G164" s="19">
        <f>IFERROR(IF(D164="","",D164/INDEX($D:$D,MATCH(EDATE($A164,-1),$A:$A,0))-1),"")</f>
        <v/>
      </c>
      <c r="H164" s="19">
        <f>IFERROR(IF(D164="","",D164/INDEX($D:$D,MATCH(EDATE($A164,-12),$A:$A,0))-1),"")</f>
        <v/>
      </c>
    </row>
    <row r="165">
      <c r="A165" s="12" t="n">
        <v>41000</v>
      </c>
      <c r="B165" s="13" t="n">
        <v>2012</v>
      </c>
      <c r="C165" s="13" t="n">
        <v>4</v>
      </c>
      <c r="D165" s="14" t="n">
        <v>0.862</v>
      </c>
      <c r="E165" s="14" t="n">
        <v>0.641</v>
      </c>
      <c r="F165" s="14">
        <f>IF(D165="","",D165*'参数与说明'!$B$6/0.68)</f>
        <v/>
      </c>
      <c r="G165" s="15">
        <f>IFERROR(IF(D165="","",D165/INDEX($D:$D,MATCH(EDATE($A165,-1),$A:$A,0))-1),"")</f>
        <v/>
      </c>
      <c r="H165" s="15">
        <f>IFERROR(IF(D165="","",D165/INDEX($D:$D,MATCH(EDATE($A165,-12),$A:$A,0))-1),"")</f>
        <v/>
      </c>
    </row>
    <row r="166">
      <c r="A166" s="16" t="n">
        <v>41030</v>
      </c>
      <c r="B166" s="17" t="n">
        <v>2012</v>
      </c>
      <c r="C166" s="17" t="n">
        <v>5</v>
      </c>
      <c r="D166" s="18" t="n">
        <v>0.826</v>
      </c>
      <c r="E166" s="18" t="n">
        <v>0.596</v>
      </c>
      <c r="F166" s="18">
        <f>IF(D166="","",D166*'参数与说明'!$B$6/0.68)</f>
        <v/>
      </c>
      <c r="G166" s="19">
        <f>IFERROR(IF(D166="","",D166/INDEX($D:$D,MATCH(EDATE($A166,-1),$A:$A,0))-1),"")</f>
        <v/>
      </c>
      <c r="H166" s="19">
        <f>IFERROR(IF(D166="","",D166/INDEX($D:$D,MATCH(EDATE($A166,-12),$A:$A,0))-1),"")</f>
        <v/>
      </c>
    </row>
    <row r="167">
      <c r="A167" s="12" t="n">
        <v>41061</v>
      </c>
      <c r="B167" s="13" t="n">
        <v>2012</v>
      </c>
      <c r="C167" s="13" t="n">
        <v>6</v>
      </c>
      <c r="D167" s="14" t="n">
        <v>0.905</v>
      </c>
      <c r="E167" s="14" t="n">
        <v>0.6879999999999999</v>
      </c>
      <c r="F167" s="14">
        <f>IF(D167="","",D167*'参数与说明'!$B$6/0.68)</f>
        <v/>
      </c>
      <c r="G167" s="15">
        <f>IFERROR(IF(D167="","",D167/INDEX($D:$D,MATCH(EDATE($A167,-1),$A:$A,0))-1),"")</f>
        <v/>
      </c>
      <c r="H167" s="15">
        <f>IFERROR(IF(D167="","",D167/INDEX($D:$D,MATCH(EDATE($A167,-12),$A:$A,0))-1),"")</f>
        <v/>
      </c>
    </row>
    <row r="168">
      <c r="A168" s="16" t="n">
        <v>41091</v>
      </c>
      <c r="B168" s="17" t="n">
        <v>2012</v>
      </c>
      <c r="C168" s="17" t="n">
        <v>7</v>
      </c>
      <c r="D168" s="18" t="n">
        <v>0.967</v>
      </c>
      <c r="E168" s="18" t="n">
        <v>0.764</v>
      </c>
      <c r="F168" s="18">
        <f>IF(D168="","",D168*'参数与说明'!$B$6/0.68)</f>
        <v/>
      </c>
      <c r="G168" s="19">
        <f>IFERROR(IF(D168="","",D168/INDEX($D:$D,MATCH(EDATE($A168,-1),$A:$A,0))-1),"")</f>
        <v/>
      </c>
      <c r="H168" s="19">
        <f>IFERROR(IF(D168="","",D168/INDEX($D:$D,MATCH(EDATE($A168,-12),$A:$A,0))-1),"")</f>
        <v/>
      </c>
    </row>
    <row r="169">
      <c r="A169" s="12" t="n">
        <v>41122</v>
      </c>
      <c r="B169" s="13" t="n">
        <v>2012</v>
      </c>
      <c r="C169" s="13" t="n">
        <v>8</v>
      </c>
      <c r="D169" s="14" t="n">
        <v>1.12</v>
      </c>
      <c r="E169" s="14" t="n">
        <v>0.949</v>
      </c>
      <c r="F169" s="14">
        <f>IF(D169="","",D169*'参数与说明'!$B$6/0.68)</f>
        <v/>
      </c>
      <c r="G169" s="15">
        <f>IFERROR(IF(D169="","",D169/INDEX($D:$D,MATCH(EDATE($A169,-1),$A:$A,0))-1),"")</f>
        <v/>
      </c>
      <c r="H169" s="15">
        <f>IFERROR(IF(D169="","",D169/INDEX($D:$D,MATCH(EDATE($A169,-12),$A:$A,0))-1),"")</f>
        <v/>
      </c>
    </row>
    <row r="170">
      <c r="A170" s="16" t="n">
        <v>41153</v>
      </c>
      <c r="B170" s="17" t="n">
        <v>2012</v>
      </c>
      <c r="C170" s="17" t="n">
        <v>9</v>
      </c>
      <c r="D170" s="18" t="n">
        <v>1.22</v>
      </c>
      <c r="E170" s="18" t="n">
        <v>1.06</v>
      </c>
      <c r="F170" s="18">
        <f>IF(D170="","",D170*'参数与说明'!$B$6/0.68)</f>
        <v/>
      </c>
      <c r="G170" s="19">
        <f>IFERROR(IF(D170="","",D170/INDEX($D:$D,MATCH(EDATE($A170,-1),$A:$A,0))-1),"")</f>
        <v/>
      </c>
      <c r="H170" s="19">
        <f>IFERROR(IF(D170="","",D170/INDEX($D:$D,MATCH(EDATE($A170,-12),$A:$A,0))-1),"")</f>
        <v/>
      </c>
    </row>
    <row r="171">
      <c r="A171" s="12" t="n">
        <v>41183</v>
      </c>
      <c r="B171" s="13" t="n">
        <v>2012</v>
      </c>
      <c r="C171" s="13" t="n">
        <v>10</v>
      </c>
      <c r="D171" s="14" t="n">
        <v>1.02</v>
      </c>
      <c r="E171" s="14" t="n">
        <v>0.837</v>
      </c>
      <c r="F171" s="14">
        <f>IF(D171="","",D171*'参数与说明'!$B$6/0.68)</f>
        <v/>
      </c>
      <c r="G171" s="15">
        <f>IFERROR(IF(D171="","",D171/INDEX($D:$D,MATCH(EDATE($A171,-1),$A:$A,0))-1),"")</f>
        <v/>
      </c>
      <c r="H171" s="15">
        <f>IFERROR(IF(D171="","",D171/INDEX($D:$D,MATCH(EDATE($A171,-12),$A:$A,0))-1),"")</f>
        <v/>
      </c>
    </row>
    <row r="172">
      <c r="A172" s="16" t="n">
        <v>41214</v>
      </c>
      <c r="B172" s="17" t="n">
        <v>2012</v>
      </c>
      <c r="C172" s="17" t="n">
        <v>11</v>
      </c>
      <c r="D172" s="18" t="n">
        <v>1.18</v>
      </c>
      <c r="E172" s="18" t="n">
        <v>1.02</v>
      </c>
      <c r="F172" s="18">
        <f>IF(D172="","",D172*'参数与说明'!$B$6/0.68)</f>
        <v/>
      </c>
      <c r="G172" s="19">
        <f>IFERROR(IF(D172="","",D172/INDEX($D:$D,MATCH(EDATE($A172,-1),$A:$A,0))-1),"")</f>
        <v/>
      </c>
      <c r="H172" s="19">
        <f>IFERROR(IF(D172="","",D172/INDEX($D:$D,MATCH(EDATE($A172,-12),$A:$A,0))-1),"")</f>
        <v/>
      </c>
    </row>
    <row r="173">
      <c r="A173" s="12" t="n">
        <v>41244</v>
      </c>
      <c r="B173" s="13" t="n">
        <v>2012</v>
      </c>
      <c r="C173" s="13" t="n">
        <v>12</v>
      </c>
      <c r="D173" s="14" t="n">
        <v>1.12</v>
      </c>
      <c r="E173" s="14" t="n">
        <v>0.957</v>
      </c>
      <c r="F173" s="14">
        <f>IF(D173="","",D173*'参数与说明'!$B$6/0.68)</f>
        <v/>
      </c>
      <c r="G173" s="15">
        <f>IFERROR(IF(D173="","",D173/INDEX($D:$D,MATCH(EDATE($A173,-1),$A:$A,0))-1),"")</f>
        <v/>
      </c>
      <c r="H173" s="15">
        <f>IFERROR(IF(D173="","",D173/INDEX($D:$D,MATCH(EDATE($A173,-12),$A:$A,0))-1),"")</f>
        <v/>
      </c>
    </row>
    <row r="174">
      <c r="A174" s="16" t="n">
        <v>41275</v>
      </c>
      <c r="B174" s="17" t="n">
        <v>2013</v>
      </c>
      <c r="C174" s="17" t="n">
        <v>1</v>
      </c>
      <c r="D174" s="18" t="n">
        <v>1.06</v>
      </c>
      <c r="E174" s="18" t="n">
        <v>0.863</v>
      </c>
      <c r="F174" s="18">
        <f>IF(D174="","",D174*'参数与说明'!$B$6/0.68)</f>
        <v/>
      </c>
      <c r="G174" s="19">
        <f>IFERROR(IF(D174="","",D174/INDEX($D:$D,MATCH(EDATE($A174,-1),$A:$A,0))-1),"")</f>
        <v/>
      </c>
      <c r="H174" s="19">
        <f>IFERROR(IF(D174="","",D174/INDEX($D:$D,MATCH(EDATE($A174,-12),$A:$A,0))-1),"")</f>
        <v/>
      </c>
    </row>
    <row r="175">
      <c r="A175" s="12" t="n">
        <v>41306</v>
      </c>
      <c r="B175" s="13" t="n">
        <v>2013</v>
      </c>
      <c r="C175" s="13" t="n">
        <v>2</v>
      </c>
      <c r="D175" s="14" t="n">
        <v>0.989</v>
      </c>
      <c r="E175" s="14" t="n">
        <v>0.776</v>
      </c>
      <c r="F175" s="14">
        <f>IF(D175="","",D175*'参数与说明'!$B$6/0.68)</f>
        <v/>
      </c>
      <c r="G175" s="15">
        <f>IFERROR(IF(D175="","",D175/INDEX($D:$D,MATCH(EDATE($A175,-1),$A:$A,0))-1),"")</f>
        <v/>
      </c>
      <c r="H175" s="15">
        <f>IFERROR(IF(D175="","",D175/INDEX($D:$D,MATCH(EDATE($A175,-12),$A:$A,0))-1),"")</f>
        <v/>
      </c>
    </row>
    <row r="176">
      <c r="A176" s="16" t="n">
        <v>41334</v>
      </c>
      <c r="B176" s="17" t="n">
        <v>2013</v>
      </c>
      <c r="C176" s="17" t="n">
        <v>3</v>
      </c>
      <c r="D176" s="18" t="n">
        <v>1.14</v>
      </c>
      <c r="E176" s="18" t="n">
        <v>0.952</v>
      </c>
      <c r="F176" s="18">
        <f>IF(D176="","",D176*'参数与说明'!$B$6/0.68)</f>
        <v/>
      </c>
      <c r="G176" s="19">
        <f>IFERROR(IF(D176="","",D176/INDEX($D:$D,MATCH(EDATE($A176,-1),$A:$A,0))-1),"")</f>
        <v/>
      </c>
      <c r="H176" s="19">
        <f>IFERROR(IF(D176="","",D176/INDEX($D:$D,MATCH(EDATE($A176,-12),$A:$A,0))-1),"")</f>
        <v/>
      </c>
    </row>
    <row r="177">
      <c r="A177" s="12" t="n">
        <v>41365</v>
      </c>
      <c r="B177" s="13" t="n">
        <v>2013</v>
      </c>
      <c r="C177" s="13" t="n">
        <v>4</v>
      </c>
      <c r="D177" s="14" t="n">
        <v>0.877</v>
      </c>
      <c r="E177" s="14" t="n">
        <v>0.644</v>
      </c>
      <c r="F177" s="14">
        <f>IF(D177="","",D177*'参数与说明'!$B$6/0.68)</f>
        <v/>
      </c>
      <c r="G177" s="15">
        <f>IFERROR(IF(D177="","",D177/INDEX($D:$D,MATCH(EDATE($A177,-1),$A:$A,0))-1),"")</f>
        <v/>
      </c>
      <c r="H177" s="15">
        <f>IFERROR(IF(D177="","",D177/INDEX($D:$D,MATCH(EDATE($A177,-12),$A:$A,0))-1),"")</f>
        <v/>
      </c>
    </row>
    <row r="178">
      <c r="A178" s="16" t="n">
        <v>41395</v>
      </c>
      <c r="B178" s="17" t="n">
        <v>2013</v>
      </c>
      <c r="C178" s="17" t="n">
        <v>5</v>
      </c>
      <c r="D178" s="18" t="n">
        <v>1.17</v>
      </c>
      <c r="E178" s="18" t="n">
        <v>0.976</v>
      </c>
      <c r="F178" s="18">
        <f>IF(D178="","",D178*'参数与说明'!$B$6/0.68)</f>
        <v/>
      </c>
      <c r="G178" s="19">
        <f>IFERROR(IF(D178="","",D178/INDEX($D:$D,MATCH(EDATE($A178,-1),$A:$A,0))-1),"")</f>
        <v/>
      </c>
      <c r="H178" s="19">
        <f>IFERROR(IF(D178="","",D178/INDEX($D:$D,MATCH(EDATE($A178,-12),$A:$A,0))-1),"")</f>
        <v/>
      </c>
    </row>
    <row r="179">
      <c r="A179" s="12" t="n">
        <v>41426</v>
      </c>
      <c r="B179" s="13" t="n">
        <v>2013</v>
      </c>
      <c r="C179" s="13" t="n">
        <v>6</v>
      </c>
      <c r="D179" s="14" t="n">
        <v>0.924</v>
      </c>
      <c r="E179" s="14" t="n">
        <v>0.695</v>
      </c>
      <c r="F179" s="14">
        <f>IF(D179="","",D179*'参数与说明'!$B$6/0.68)</f>
        <v/>
      </c>
      <c r="G179" s="15">
        <f>IFERROR(IF(D179="","",D179/INDEX($D:$D,MATCH(EDATE($A179,-1),$A:$A,0))-1),"")</f>
        <v/>
      </c>
      <c r="H179" s="15">
        <f>IFERROR(IF(D179="","",D179/INDEX($D:$D,MATCH(EDATE($A179,-12),$A:$A,0))-1),"")</f>
        <v/>
      </c>
    </row>
    <row r="180">
      <c r="A180" s="16" t="n">
        <v>41456</v>
      </c>
      <c r="B180" s="17" t="n">
        <v>2013</v>
      </c>
      <c r="C180" s="17" t="n">
        <v>7</v>
      </c>
      <c r="D180" s="18" t="n">
        <v>1.03</v>
      </c>
      <c r="E180" s="18" t="n">
        <v>0.82</v>
      </c>
      <c r="F180" s="18">
        <f>IF(D180="","",D180*'参数与说明'!$B$6/0.68)</f>
        <v/>
      </c>
      <c r="G180" s="19">
        <f>IFERROR(IF(D180="","",D180/INDEX($D:$D,MATCH(EDATE($A180,-1),$A:$A,0))-1),"")</f>
        <v/>
      </c>
      <c r="H180" s="19">
        <f>IFERROR(IF(D180="","",D180/INDEX($D:$D,MATCH(EDATE($A180,-12),$A:$A,0))-1),"")</f>
        <v/>
      </c>
    </row>
    <row r="181">
      <c r="A181" s="12" t="n">
        <v>41487</v>
      </c>
      <c r="B181" s="13" t="n">
        <v>2013</v>
      </c>
      <c r="C181" s="13" t="n">
        <v>8</v>
      </c>
      <c r="D181" s="14" t="n">
        <v>1.07</v>
      </c>
      <c r="E181" s="14" t="n">
        <v>0.87</v>
      </c>
      <c r="F181" s="14">
        <f>IF(D181="","",D181*'参数与说明'!$B$6/0.68)</f>
        <v/>
      </c>
      <c r="G181" s="15">
        <f>IFERROR(IF(D181="","",D181/INDEX($D:$D,MATCH(EDATE($A181,-1),$A:$A,0))-1),"")</f>
        <v/>
      </c>
      <c r="H181" s="15">
        <f>IFERROR(IF(D181="","",D181/INDEX($D:$D,MATCH(EDATE($A181,-12),$A:$A,0))-1),"")</f>
        <v/>
      </c>
    </row>
    <row r="182">
      <c r="A182" s="16" t="n">
        <v>41518</v>
      </c>
      <c r="B182" s="17" t="n">
        <v>2013</v>
      </c>
      <c r="C182" s="17" t="n">
        <v>9</v>
      </c>
      <c r="D182" s="18" t="n">
        <v>1.03</v>
      </c>
      <c r="E182" s="18" t="n">
        <v>0.823</v>
      </c>
      <c r="F182" s="18">
        <f>IF(D182="","",D182*'参数与说明'!$B$6/0.68)</f>
        <v/>
      </c>
      <c r="G182" s="19">
        <f>IFERROR(IF(D182="","",D182/INDEX($D:$D,MATCH(EDATE($A182,-1),$A:$A,0))-1),"")</f>
        <v/>
      </c>
      <c r="H182" s="19">
        <f>IFERROR(IF(D182="","",D182/INDEX($D:$D,MATCH(EDATE($A182,-12),$A:$A,0))-1),"")</f>
        <v/>
      </c>
    </row>
    <row r="183">
      <c r="A183" s="12" t="n">
        <v>41548</v>
      </c>
      <c r="B183" s="13" t="n">
        <v>2013</v>
      </c>
      <c r="C183" s="13" t="n">
        <v>10</v>
      </c>
      <c r="D183" s="14" t="n">
        <v>1.04</v>
      </c>
      <c r="E183" s="14" t="n">
        <v>0.836</v>
      </c>
      <c r="F183" s="14">
        <f>IF(D183="","",D183*'参数与说明'!$B$6/0.68)</f>
        <v/>
      </c>
      <c r="G183" s="15">
        <f>IFERROR(IF(D183="","",D183/INDEX($D:$D,MATCH(EDATE($A183,-1),$A:$A,0))-1),"")</f>
        <v/>
      </c>
      <c r="H183" s="15">
        <f>IFERROR(IF(D183="","",D183/INDEX($D:$D,MATCH(EDATE($A183,-12),$A:$A,0))-1),"")</f>
        <v/>
      </c>
    </row>
    <row r="184">
      <c r="A184" s="16" t="n">
        <v>41579</v>
      </c>
      <c r="B184" s="17" t="n">
        <v>2013</v>
      </c>
      <c r="C184" s="17" t="n">
        <v>11</v>
      </c>
      <c r="D184" s="18" t="n">
        <v>1.32</v>
      </c>
      <c r="E184" s="18" t="n">
        <v>1.16</v>
      </c>
      <c r="F184" s="18">
        <f>IF(D184="","",D184*'参数与说明'!$B$6/0.68)</f>
        <v/>
      </c>
      <c r="G184" s="19">
        <f>IFERROR(IF(D184="","",D184/INDEX($D:$D,MATCH(EDATE($A184,-1),$A:$A,0))-1),"")</f>
        <v/>
      </c>
      <c r="H184" s="19">
        <f>IFERROR(IF(D184="","",D184/INDEX($D:$D,MATCH(EDATE($A184,-12),$A:$A,0))-1),"")</f>
        <v/>
      </c>
    </row>
    <row r="185">
      <c r="A185" s="12" t="n">
        <v>41609</v>
      </c>
      <c r="B185" s="13" t="n">
        <v>2013</v>
      </c>
      <c r="C185" s="13" t="n">
        <v>12</v>
      </c>
      <c r="D185" s="14" t="n">
        <v>1.37</v>
      </c>
      <c r="E185" s="14" t="n">
        <v>1.21</v>
      </c>
      <c r="F185" s="14">
        <f>IF(D185="","",D185*'参数与说明'!$B$6/0.68)</f>
        <v/>
      </c>
      <c r="G185" s="15">
        <f>IFERROR(IF(D185="","",D185/INDEX($D:$D,MATCH(EDATE($A185,-1),$A:$A,0))-1),"")</f>
        <v/>
      </c>
      <c r="H185" s="15">
        <f>IFERROR(IF(D185="","",D185/INDEX($D:$D,MATCH(EDATE($A185,-12),$A:$A,0))-1),"")</f>
        <v/>
      </c>
    </row>
    <row r="186">
      <c r="A186" s="16" t="n">
        <v>41640</v>
      </c>
      <c r="B186" s="17" t="n">
        <v>2014</v>
      </c>
      <c r="C186" s="17" t="n">
        <v>1</v>
      </c>
      <c r="D186" s="18" t="n">
        <v>1.11</v>
      </c>
      <c r="E186" s="18" t="n">
        <v>0.906</v>
      </c>
      <c r="F186" s="18">
        <f>IF(D186="","",D186*'参数与说明'!$B$6/0.68)</f>
        <v/>
      </c>
      <c r="G186" s="19">
        <f>IFERROR(IF(D186="","",D186/INDEX($D:$D,MATCH(EDATE($A186,-1),$A:$A,0))-1),"")</f>
        <v/>
      </c>
      <c r="H186" s="19">
        <f>IFERROR(IF(D186="","",D186/INDEX($D:$D,MATCH(EDATE($A186,-12),$A:$A,0))-1),"")</f>
        <v/>
      </c>
    </row>
    <row r="187">
      <c r="A187" s="12" t="n">
        <v>41671</v>
      </c>
      <c r="B187" s="13" t="n">
        <v>2014</v>
      </c>
      <c r="C187" s="13" t="n">
        <v>2</v>
      </c>
      <c r="D187" s="14" t="n">
        <v>1.4</v>
      </c>
      <c r="E187" s="14" t="n">
        <v>1.23</v>
      </c>
      <c r="F187" s="14">
        <f>IF(D187="","",D187*'参数与说明'!$B$6/0.68)</f>
        <v/>
      </c>
      <c r="G187" s="15">
        <f>IFERROR(IF(D187="","",D187/INDEX($D:$D,MATCH(EDATE($A187,-1),$A:$A,0))-1),"")</f>
        <v/>
      </c>
      <c r="H187" s="15">
        <f>IFERROR(IF(D187="","",D187/INDEX($D:$D,MATCH(EDATE($A187,-12),$A:$A,0))-1),"")</f>
        <v/>
      </c>
    </row>
    <row r="188">
      <c r="A188" s="16" t="n">
        <v>41699</v>
      </c>
      <c r="B188" s="17" t="n">
        <v>2014</v>
      </c>
      <c r="C188" s="17" t="n">
        <v>3</v>
      </c>
      <c r="D188" s="18" t="n">
        <v>1.23</v>
      </c>
      <c r="E188" s="18" t="n">
        <v>1.04</v>
      </c>
      <c r="F188" s="18">
        <f>IF(D188="","",D188*'参数与说明'!$B$6/0.68)</f>
        <v/>
      </c>
      <c r="G188" s="19">
        <f>IFERROR(IF(D188="","",D188/INDEX($D:$D,MATCH(EDATE($A188,-1),$A:$A,0))-1),"")</f>
        <v/>
      </c>
      <c r="H188" s="19">
        <f>IFERROR(IF(D188="","",D188/INDEX($D:$D,MATCH(EDATE($A188,-12),$A:$A,0))-1),"")</f>
        <v/>
      </c>
    </row>
    <row r="189">
      <c r="A189" s="12" t="n">
        <v>41730</v>
      </c>
      <c r="B189" s="13" t="n">
        <v>2014</v>
      </c>
      <c r="C189" s="13" t="n">
        <v>4</v>
      </c>
      <c r="D189" s="14" t="n">
        <v>1.27</v>
      </c>
      <c r="E189" s="14" t="n">
        <v>1.09</v>
      </c>
      <c r="F189" s="14">
        <f>IF(D189="","",D189*'参数与说明'!$B$6/0.68)</f>
        <v/>
      </c>
      <c r="G189" s="15">
        <f>IFERROR(IF(D189="","",D189/INDEX($D:$D,MATCH(EDATE($A189,-1),$A:$A,0))-1),"")</f>
        <v/>
      </c>
      <c r="H189" s="15">
        <f>IFERROR(IF(D189="","",D189/INDEX($D:$D,MATCH(EDATE($A189,-12),$A:$A,0))-1),"")</f>
        <v/>
      </c>
    </row>
    <row r="190">
      <c r="A190" s="16" t="n">
        <v>41760</v>
      </c>
      <c r="B190" s="17" t="n">
        <v>2014</v>
      </c>
      <c r="C190" s="17" t="n">
        <v>5</v>
      </c>
      <c r="D190" s="18" t="n">
        <v>1.17</v>
      </c>
      <c r="E190" s="18" t="n">
        <v>0.97</v>
      </c>
      <c r="F190" s="18">
        <f>IF(D190="","",D190*'参数与说明'!$B$6/0.68)</f>
        <v/>
      </c>
      <c r="G190" s="19">
        <f>IFERROR(IF(D190="","",D190/INDEX($D:$D,MATCH(EDATE($A190,-1),$A:$A,0))-1),"")</f>
        <v/>
      </c>
      <c r="H190" s="19">
        <f>IFERROR(IF(D190="","",D190/INDEX($D:$D,MATCH(EDATE($A190,-12),$A:$A,0))-1),"")</f>
        <v/>
      </c>
    </row>
    <row r="191">
      <c r="A191" s="12" t="n">
        <v>41791</v>
      </c>
      <c r="B191" s="13" t="n">
        <v>2014</v>
      </c>
      <c r="C191" s="13" t="n">
        <v>6</v>
      </c>
      <c r="D191" s="14" t="n">
        <v>1.09</v>
      </c>
      <c r="E191" s="14" t="n">
        <v>0.873</v>
      </c>
      <c r="F191" s="14">
        <f>IF(D191="","",D191*'参数与说明'!$B$6/0.68)</f>
        <v/>
      </c>
      <c r="G191" s="15">
        <f>IFERROR(IF(D191="","",D191/INDEX($D:$D,MATCH(EDATE($A191,-1),$A:$A,0))-1),"")</f>
        <v/>
      </c>
      <c r="H191" s="15">
        <f>IFERROR(IF(D191="","",D191/INDEX($D:$D,MATCH(EDATE($A191,-12),$A:$A,0))-1),"")</f>
        <v/>
      </c>
    </row>
    <row r="192">
      <c r="A192" s="16" t="n">
        <v>41821</v>
      </c>
      <c r="B192" s="17" t="n">
        <v>2014</v>
      </c>
      <c r="C192" s="17" t="n">
        <v>7</v>
      </c>
      <c r="D192" s="18" t="n">
        <v>1.24</v>
      </c>
      <c r="E192" s="18" t="n">
        <v>1.05</v>
      </c>
      <c r="F192" s="18">
        <f>IF(D192="","",D192*'参数与说明'!$B$6/0.68)</f>
        <v/>
      </c>
      <c r="G192" s="19">
        <f>IFERROR(IF(D192="","",D192/INDEX($D:$D,MATCH(EDATE($A192,-1),$A:$A,0))-1),"")</f>
        <v/>
      </c>
      <c r="H192" s="19">
        <f>IFERROR(IF(D192="","",D192/INDEX($D:$D,MATCH(EDATE($A192,-12),$A:$A,0))-1),"")</f>
        <v/>
      </c>
    </row>
    <row r="193">
      <c r="A193" s="12" t="n">
        <v>41852</v>
      </c>
      <c r="B193" s="13" t="n">
        <v>2014</v>
      </c>
      <c r="C193" s="13" t="n">
        <v>8</v>
      </c>
      <c r="D193" s="14" t="n">
        <v>1.07</v>
      </c>
      <c r="E193" s="14" t="n">
        <v>0.861</v>
      </c>
      <c r="F193" s="14">
        <f>IF(D193="","",D193*'参数与说明'!$B$6/0.68)</f>
        <v/>
      </c>
      <c r="G193" s="15">
        <f>IFERROR(IF(D193="","",D193/INDEX($D:$D,MATCH(EDATE($A193,-1),$A:$A,0))-1),"")</f>
        <v/>
      </c>
      <c r="H193" s="15">
        <f>IFERROR(IF(D193="","",D193/INDEX($D:$D,MATCH(EDATE($A193,-12),$A:$A,0))-1),"")</f>
        <v/>
      </c>
    </row>
    <row r="194">
      <c r="A194" s="16" t="n">
        <v>41883</v>
      </c>
      <c r="B194" s="17" t="n">
        <v>2014</v>
      </c>
      <c r="C194" s="17" t="n">
        <v>9</v>
      </c>
      <c r="D194" s="18" t="n">
        <v>1.04</v>
      </c>
      <c r="E194" s="18" t="n">
        <v>0.824</v>
      </c>
      <c r="F194" s="18">
        <f>IF(D194="","",D194*'参数与说明'!$B$6/0.68)</f>
        <v/>
      </c>
      <c r="G194" s="19">
        <f>IFERROR(IF(D194="","",D194/INDEX($D:$D,MATCH(EDATE($A194,-1),$A:$A,0))-1),"")</f>
        <v/>
      </c>
      <c r="H194" s="19">
        <f>IFERROR(IF(D194="","",D194/INDEX($D:$D,MATCH(EDATE($A194,-12),$A:$A,0))-1),"")</f>
        <v/>
      </c>
    </row>
    <row r="195">
      <c r="A195" s="12" t="n">
        <v>41913</v>
      </c>
      <c r="B195" s="13" t="n">
        <v>2014</v>
      </c>
      <c r="C195" s="13" t="n">
        <v>10</v>
      </c>
      <c r="D195" s="14" t="n">
        <v>1.14</v>
      </c>
      <c r="E195" s="14" t="n">
        <v>0.9340000000000001</v>
      </c>
      <c r="F195" s="14">
        <f>IF(D195="","",D195*'参数与说明'!$B$6/0.68)</f>
        <v/>
      </c>
      <c r="G195" s="15">
        <f>IFERROR(IF(D195="","",D195/INDEX($D:$D,MATCH(EDATE($A195,-1),$A:$A,0))-1),"")</f>
        <v/>
      </c>
      <c r="H195" s="15">
        <f>IFERROR(IF(D195="","",D195/INDEX($D:$D,MATCH(EDATE($A195,-12),$A:$A,0))-1),"")</f>
        <v/>
      </c>
    </row>
    <row r="196">
      <c r="A196" s="16" t="n">
        <v>41944</v>
      </c>
      <c r="B196" s="17" t="n">
        <v>2014</v>
      </c>
      <c r="C196" s="17" t="n">
        <v>11</v>
      </c>
      <c r="D196" s="18" t="n">
        <v>1.51</v>
      </c>
      <c r="E196" s="18" t="n">
        <v>1.37</v>
      </c>
      <c r="F196" s="18">
        <f>IF(D196="","",D196*'参数与说明'!$B$6/0.68)</f>
        <v/>
      </c>
      <c r="G196" s="19">
        <f>IFERROR(IF(D196="","",D196/INDEX($D:$D,MATCH(EDATE($A196,-1),$A:$A,0))-1),"")</f>
        <v/>
      </c>
      <c r="H196" s="19">
        <f>IFERROR(IF(D196="","",D196/INDEX($D:$D,MATCH(EDATE($A196,-12),$A:$A,0))-1),"")</f>
        <v/>
      </c>
    </row>
    <row r="197">
      <c r="A197" s="12" t="n">
        <v>41974</v>
      </c>
      <c r="B197" s="13" t="n">
        <v>2014</v>
      </c>
      <c r="C197" s="13" t="n">
        <v>12</v>
      </c>
      <c r="D197" s="14" t="n">
        <v>1.75</v>
      </c>
      <c r="E197" s="14" t="n">
        <v>1.65</v>
      </c>
      <c r="F197" s="14">
        <f>IF(D197="","",D197*'参数与说明'!$B$6/0.68)</f>
        <v/>
      </c>
      <c r="G197" s="15">
        <f>IFERROR(IF(D197="","",D197/INDEX($D:$D,MATCH(EDATE($A197,-1),$A:$A,0))-1),"")</f>
        <v/>
      </c>
      <c r="H197" s="15">
        <f>IFERROR(IF(D197="","",D197/INDEX($D:$D,MATCH(EDATE($A197,-12),$A:$A,0))-1),"")</f>
        <v/>
      </c>
    </row>
    <row r="198">
      <c r="A198" s="16" t="n">
        <v>42005</v>
      </c>
      <c r="B198" s="17" t="n">
        <v>2015</v>
      </c>
      <c r="C198" s="17" t="n">
        <v>1</v>
      </c>
      <c r="D198" s="18" t="n">
        <v>1.24</v>
      </c>
      <c r="E198" s="18" t="n">
        <v>1.06</v>
      </c>
      <c r="F198" s="18">
        <f>IF(D198="","",D198*'参数与说明'!$B$6/0.68)</f>
        <v/>
      </c>
      <c r="G198" s="19">
        <f>IFERROR(IF(D198="","",D198/INDEX($D:$D,MATCH(EDATE($A198,-1),$A:$A,0))-1),"")</f>
        <v/>
      </c>
      <c r="H198" s="19">
        <f>IFERROR(IF(D198="","",D198/INDEX($D:$D,MATCH(EDATE($A198,-12),$A:$A,0))-1),"")</f>
        <v/>
      </c>
    </row>
    <row r="199">
      <c r="A199" s="12" t="n">
        <v>42036</v>
      </c>
      <c r="B199" s="13" t="n">
        <v>2015</v>
      </c>
      <c r="C199" s="13" t="n">
        <v>2</v>
      </c>
      <c r="D199" s="14" t="n">
        <v>1.29</v>
      </c>
      <c r="E199" s="14" t="n">
        <v>1.11</v>
      </c>
      <c r="F199" s="14">
        <f>IF(D199="","",D199*'参数与说明'!$B$6/0.68)</f>
        <v/>
      </c>
      <c r="G199" s="15">
        <f>IFERROR(IF(D199="","",D199/INDEX($D:$D,MATCH(EDATE($A199,-1),$A:$A,0))-1),"")</f>
        <v/>
      </c>
      <c r="H199" s="15">
        <f>IFERROR(IF(D199="","",D199/INDEX($D:$D,MATCH(EDATE($A199,-12),$A:$A,0))-1),"")</f>
        <v/>
      </c>
    </row>
    <row r="200">
      <c r="A200" s="16" t="n">
        <v>42064</v>
      </c>
      <c r="B200" s="17" t="n">
        <v>2015</v>
      </c>
      <c r="C200" s="17" t="n">
        <v>3</v>
      </c>
      <c r="D200" s="18" t="n">
        <v>1.54</v>
      </c>
      <c r="E200" s="18" t="n">
        <v>1.41</v>
      </c>
      <c r="F200" s="18">
        <f>IF(D200="","",D200*'参数与说明'!$B$6/0.68)</f>
        <v/>
      </c>
      <c r="G200" s="19">
        <f>IFERROR(IF(D200="","",D200/INDEX($D:$D,MATCH(EDATE($A200,-1),$A:$A,0))-1),"")</f>
        <v/>
      </c>
      <c r="H200" s="19">
        <f>IFERROR(IF(D200="","",D200/INDEX($D:$D,MATCH(EDATE($A200,-12),$A:$A,0))-1),"")</f>
        <v/>
      </c>
    </row>
    <row r="201">
      <c r="A201" s="12" t="n">
        <v>42095</v>
      </c>
      <c r="B201" s="13" t="n">
        <v>2015</v>
      </c>
      <c r="C201" s="13" t="n">
        <v>4</v>
      </c>
      <c r="D201" s="14" t="n">
        <v>1.08</v>
      </c>
      <c r="E201" s="14" t="n">
        <v>0.87</v>
      </c>
      <c r="F201" s="14">
        <f>IF(D201="","",D201*'参数与说明'!$B$6/0.68)</f>
        <v/>
      </c>
      <c r="G201" s="15">
        <f>IFERROR(IF(D201="","",D201/INDEX($D:$D,MATCH(EDATE($A201,-1),$A:$A,0))-1),"")</f>
        <v/>
      </c>
      <c r="H201" s="15">
        <f>IFERROR(IF(D201="","",D201/INDEX($D:$D,MATCH(EDATE($A201,-12),$A:$A,0))-1),"")</f>
        <v/>
      </c>
    </row>
    <row r="202">
      <c r="A202" s="16" t="n">
        <v>42125</v>
      </c>
      <c r="B202" s="17" t="n">
        <v>2015</v>
      </c>
      <c r="C202" s="17" t="n">
        <v>5</v>
      </c>
      <c r="D202" s="18" t="n">
        <v>1.73</v>
      </c>
      <c r="E202" s="18" t="n">
        <v>1.61</v>
      </c>
      <c r="F202" s="18">
        <f>IF(D202="","",D202*'参数与说明'!$B$6/0.68)</f>
        <v/>
      </c>
      <c r="G202" s="19">
        <f>IFERROR(IF(D202="","",D202/INDEX($D:$D,MATCH(EDATE($A202,-1),$A:$A,0))-1),"")</f>
        <v/>
      </c>
      <c r="H202" s="19">
        <f>IFERROR(IF(D202="","",D202/INDEX($D:$D,MATCH(EDATE($A202,-12),$A:$A,0))-1),"")</f>
        <v/>
      </c>
    </row>
    <row r="203">
      <c r="A203" s="12" t="n">
        <v>42156</v>
      </c>
      <c r="B203" s="13" t="n">
        <v>2015</v>
      </c>
      <c r="C203" s="13" t="n">
        <v>6</v>
      </c>
      <c r="D203" s="14" t="n">
        <v>2</v>
      </c>
      <c r="E203" s="14" t="n">
        <v>1.92</v>
      </c>
      <c r="F203" s="14">
        <f>IF(D203="","",D203*'参数与说明'!$B$6/0.68)</f>
        <v/>
      </c>
      <c r="G203" s="15">
        <f>IFERROR(IF(D203="","",D203/INDEX($D:$D,MATCH(EDATE($A203,-1),$A:$A,0))-1),"")</f>
        <v/>
      </c>
      <c r="H203" s="15">
        <f>IFERROR(IF(D203="","",D203/INDEX($D:$D,MATCH(EDATE($A203,-12),$A:$A,0))-1),"")</f>
        <v/>
      </c>
    </row>
    <row r="204">
      <c r="A204" s="16" t="n">
        <v>42186</v>
      </c>
      <c r="B204" s="17" t="n">
        <v>2015</v>
      </c>
      <c r="C204" s="17" t="n">
        <v>7</v>
      </c>
      <c r="D204" s="18" t="n">
        <v>1.9</v>
      </c>
      <c r="E204" s="18" t="n">
        <v>1.81</v>
      </c>
      <c r="F204" s="18">
        <f>IF(D204="","",D204*'参数与说明'!$B$6/0.68)</f>
        <v/>
      </c>
      <c r="G204" s="19">
        <f>IFERROR(IF(D204="","",D204/INDEX($D:$D,MATCH(EDATE($A204,-1),$A:$A,0))-1),"")</f>
        <v/>
      </c>
      <c r="H204" s="19">
        <f>IFERROR(IF(D204="","",D204/INDEX($D:$D,MATCH(EDATE($A204,-12),$A:$A,0))-1),"")</f>
        <v/>
      </c>
    </row>
    <row r="205">
      <c r="A205" s="12" t="n">
        <v>42217</v>
      </c>
      <c r="B205" s="13" t="n">
        <v>2015</v>
      </c>
      <c r="C205" s="13" t="n">
        <v>8</v>
      </c>
      <c r="D205" s="14" t="n">
        <v>2.39</v>
      </c>
      <c r="E205" s="14" t="n">
        <v>2.38</v>
      </c>
      <c r="F205" s="14">
        <f>IF(D205="","",D205*'参数与说明'!$B$6/0.68)</f>
        <v/>
      </c>
      <c r="G205" s="15">
        <f>IFERROR(IF(D205="","",D205/INDEX($D:$D,MATCH(EDATE($A205,-1),$A:$A,0))-1),"")</f>
        <v/>
      </c>
      <c r="H205" s="15">
        <f>IFERROR(IF(D205="","",D205/INDEX($D:$D,MATCH(EDATE($A205,-12),$A:$A,0))-1),"")</f>
        <v/>
      </c>
    </row>
    <row r="206">
      <c r="A206" s="16" t="n">
        <v>42248</v>
      </c>
      <c r="B206" s="17" t="n">
        <v>2015</v>
      </c>
      <c r="C206" s="17" t="n">
        <v>9</v>
      </c>
      <c r="D206" s="18" t="n">
        <v>1.89</v>
      </c>
      <c r="E206" s="18" t="n">
        <v>1.8</v>
      </c>
      <c r="F206" s="18">
        <f>IF(D206="","",D206*'参数与说明'!$B$6/0.68)</f>
        <v/>
      </c>
      <c r="G206" s="19">
        <f>IFERROR(IF(D206="","",D206/INDEX($D:$D,MATCH(EDATE($A206,-1),$A:$A,0))-1),"")</f>
        <v/>
      </c>
      <c r="H206" s="19">
        <f>IFERROR(IF(D206="","",D206/INDEX($D:$D,MATCH(EDATE($A206,-12),$A:$A,0))-1),"")</f>
        <v/>
      </c>
    </row>
    <row r="207">
      <c r="A207" s="12" t="n">
        <v>42278</v>
      </c>
      <c r="B207" s="13" t="n">
        <v>2015</v>
      </c>
      <c r="C207" s="13" t="n">
        <v>10</v>
      </c>
      <c r="D207" s="14" t="n">
        <v>1.43</v>
      </c>
      <c r="E207" s="14" t="n">
        <v>1.26</v>
      </c>
      <c r="F207" s="14">
        <f>IF(D207="","",D207*'参数与说明'!$B$6/0.68)</f>
        <v/>
      </c>
      <c r="G207" s="15">
        <f>IFERROR(IF(D207="","",D207/INDEX($D:$D,MATCH(EDATE($A207,-1),$A:$A,0))-1),"")</f>
        <v/>
      </c>
      <c r="H207" s="15">
        <f>IFERROR(IF(D207="","",D207/INDEX($D:$D,MATCH(EDATE($A207,-12),$A:$A,0))-1),"")</f>
        <v/>
      </c>
    </row>
    <row r="208">
      <c r="A208" s="16" t="n">
        <v>42309</v>
      </c>
      <c r="B208" s="17" t="n">
        <v>2015</v>
      </c>
      <c r="C208" s="17" t="n">
        <v>11</v>
      </c>
      <c r="D208" s="18" t="n">
        <v>2</v>
      </c>
      <c r="E208" s="18" t="n">
        <v>1.93</v>
      </c>
      <c r="F208" s="18">
        <f>IF(D208="","",D208*'参数与说明'!$B$6/0.68)</f>
        <v/>
      </c>
      <c r="G208" s="19">
        <f>IFERROR(IF(D208="","",D208/INDEX($D:$D,MATCH(EDATE($A208,-1),$A:$A,0))-1),"")</f>
        <v/>
      </c>
      <c r="H208" s="19">
        <f>IFERROR(IF(D208="","",D208/INDEX($D:$D,MATCH(EDATE($A208,-12),$A:$A,0))-1),"")</f>
        <v/>
      </c>
    </row>
    <row r="209">
      <c r="A209" s="12" t="n">
        <v>42339</v>
      </c>
      <c r="B209" s="13" t="n">
        <v>2015</v>
      </c>
      <c r="C209" s="13" t="n">
        <v>12</v>
      </c>
      <c r="D209" s="14" t="n">
        <v>1.24</v>
      </c>
      <c r="E209" s="14" t="n">
        <v>1.04</v>
      </c>
      <c r="F209" s="14">
        <f>IF(D209="","",D209*'参数与说明'!$B$6/0.68)</f>
        <v/>
      </c>
      <c r="G209" s="15">
        <f>IFERROR(IF(D209="","",D209/INDEX($D:$D,MATCH(EDATE($A209,-1),$A:$A,0))-1),"")</f>
        <v/>
      </c>
      <c r="H209" s="15">
        <f>IFERROR(IF(D209="","",D209/INDEX($D:$D,MATCH(EDATE($A209,-12),$A:$A,0))-1),"")</f>
        <v/>
      </c>
    </row>
    <row r="210">
      <c r="A210" s="16" t="n">
        <v>42370</v>
      </c>
      <c r="B210" s="17" t="n">
        <v>2016</v>
      </c>
      <c r="C210" s="17" t="n">
        <v>1</v>
      </c>
      <c r="D210" s="18" t="n">
        <v>1.18</v>
      </c>
      <c r="E210" s="18" t="n">
        <v>0.969</v>
      </c>
      <c r="F210" s="18">
        <f>IF(D210="","",D210*'参数与说明'!$B$6/0.68)</f>
        <v/>
      </c>
      <c r="G210" s="19">
        <f>IFERROR(IF(D210="","",D210/INDEX($D:$D,MATCH(EDATE($A210,-1),$A:$A,0))-1),"")</f>
        <v/>
      </c>
      <c r="H210" s="19">
        <f>IFERROR(IF(D210="","",D210/INDEX($D:$D,MATCH(EDATE($A210,-12),$A:$A,0))-1),"")</f>
        <v/>
      </c>
    </row>
    <row r="211">
      <c r="A211" s="12" t="n">
        <v>42401</v>
      </c>
      <c r="B211" s="13" t="n">
        <v>2016</v>
      </c>
      <c r="C211" s="13" t="n">
        <v>2</v>
      </c>
      <c r="D211" s="14" t="n">
        <v>1.08</v>
      </c>
      <c r="E211" s="14" t="n">
        <v>0.85</v>
      </c>
      <c r="F211" s="14">
        <f>IF(D211="","",D211*'参数与说明'!$B$6/0.68)</f>
        <v/>
      </c>
      <c r="G211" s="15">
        <f>IFERROR(IF(D211="","",D211/INDEX($D:$D,MATCH(EDATE($A211,-1),$A:$A,0))-1),"")</f>
        <v/>
      </c>
      <c r="H211" s="15">
        <f>IFERROR(IF(D211="","",D211/INDEX($D:$D,MATCH(EDATE($A211,-12),$A:$A,0))-1),"")</f>
        <v/>
      </c>
    </row>
    <row r="212">
      <c r="A212" s="16" t="n">
        <v>42430</v>
      </c>
      <c r="B212" s="17" t="n">
        <v>2016</v>
      </c>
      <c r="C212" s="17" t="n">
        <v>3</v>
      </c>
      <c r="D212" s="18" t="n">
        <v>0.97</v>
      </c>
      <c r="E212" s="18" t="n">
        <v>0.731</v>
      </c>
      <c r="F212" s="18">
        <f>IF(D212="","",D212*'参数与说明'!$B$6/0.68)</f>
        <v/>
      </c>
      <c r="G212" s="19">
        <f>IFERROR(IF(D212="","",D212/INDEX($D:$D,MATCH(EDATE($A212,-1),$A:$A,0))-1),"")</f>
        <v/>
      </c>
      <c r="H212" s="19">
        <f>IFERROR(IF(D212="","",D212/INDEX($D:$D,MATCH(EDATE($A212,-12),$A:$A,0))-1),"")</f>
        <v/>
      </c>
    </row>
    <row r="213">
      <c r="A213" s="12" t="n">
        <v>42461</v>
      </c>
      <c r="B213" s="13" t="n">
        <v>2016</v>
      </c>
      <c r="C213" s="13" t="n">
        <v>4</v>
      </c>
      <c r="D213" s="14" t="n">
        <v>0.68</v>
      </c>
      <c r="E213" s="14" t="n">
        <v>0.391</v>
      </c>
      <c r="F213" s="14">
        <f>IF(D213="","",D213*'参数与说明'!$B$6/0.68)</f>
        <v/>
      </c>
      <c r="G213" s="15">
        <f>IFERROR(IF(D213="","",D213/INDEX($D:$D,MATCH(EDATE($A213,-1),$A:$A,0))-1),"")</f>
        <v/>
      </c>
      <c r="H213" s="15">
        <f>IFERROR(IF(D213="","",D213/INDEX($D:$D,MATCH(EDATE($A213,-12),$A:$A,0))-1),"")</f>
        <v/>
      </c>
    </row>
    <row r="214">
      <c r="A214" s="16" t="n">
        <v>42491</v>
      </c>
      <c r="B214" s="17" t="n">
        <v>2016</v>
      </c>
      <c r="C214" s="17" t="n">
        <v>5</v>
      </c>
      <c r="D214" s="18" t="n">
        <v>0.552</v>
      </c>
      <c r="E214" s="18" t="n">
        <v>0.242</v>
      </c>
      <c r="F214" s="18">
        <f>IF(D214="","",D214*'参数与说明'!$B$6/0.68)</f>
        <v/>
      </c>
      <c r="G214" s="19">
        <f>IFERROR(IF(D214="","",D214/INDEX($D:$D,MATCH(EDATE($A214,-1),$A:$A,0))-1),"")</f>
        <v/>
      </c>
      <c r="H214" s="19">
        <f>IFERROR(IF(D214="","",D214/INDEX($D:$D,MATCH(EDATE($A214,-12),$A:$A,0))-1),"")</f>
        <v/>
      </c>
    </row>
    <row r="215">
      <c r="A215" s="12" t="n">
        <v>42522</v>
      </c>
      <c r="B215" s="13" t="n">
        <v>2016</v>
      </c>
      <c r="C215" s="13" t="n">
        <v>6</v>
      </c>
      <c r="D215" s="14" t="n">
        <v>0.541</v>
      </c>
      <c r="E215" s="14" t="n">
        <v>0.231</v>
      </c>
      <c r="F215" s="14">
        <f>IF(D215="","",D215*'参数与说明'!$B$6/0.68)</f>
        <v/>
      </c>
      <c r="G215" s="15">
        <f>IFERROR(IF(D215="","",D215/INDEX($D:$D,MATCH(EDATE($A215,-1),$A:$A,0))-1),"")</f>
        <v/>
      </c>
      <c r="H215" s="15">
        <f>IFERROR(IF(D215="","",D215/INDEX($D:$D,MATCH(EDATE($A215,-12),$A:$A,0))-1),"")</f>
        <v/>
      </c>
    </row>
    <row r="216">
      <c r="A216" s="16" t="n">
        <v>42552</v>
      </c>
      <c r="B216" s="17" t="n">
        <v>2016</v>
      </c>
      <c r="C216" s="17" t="n">
        <v>7</v>
      </c>
      <c r="D216" s="18" t="n">
        <v>0.651</v>
      </c>
      <c r="E216" s="18" t="n">
        <v>0.361</v>
      </c>
      <c r="F216" s="18">
        <f>IF(D216="","",D216*'参数与说明'!$B$6/0.68)</f>
        <v/>
      </c>
      <c r="G216" s="19">
        <f>IFERROR(IF(D216="","",D216/INDEX($D:$D,MATCH(EDATE($A216,-1),$A:$A,0))-1),"")</f>
        <v/>
      </c>
      <c r="H216" s="19">
        <f>IFERROR(IF(D216="","",D216/INDEX($D:$D,MATCH(EDATE($A216,-12),$A:$A,0))-1),"")</f>
        <v/>
      </c>
    </row>
    <row r="217">
      <c r="A217" s="12" t="n">
        <v>42583</v>
      </c>
      <c r="B217" s="13" t="n">
        <v>2016</v>
      </c>
      <c r="C217" s="13" t="n">
        <v>8</v>
      </c>
      <c r="D217" s="14" t="n">
        <v>0.654</v>
      </c>
      <c r="E217" s="14" t="n">
        <v>0.369</v>
      </c>
      <c r="F217" s="14">
        <f>IF(D217="","",D217*'参数与说明'!$B$6/0.68)</f>
        <v/>
      </c>
      <c r="G217" s="15">
        <f>IFERROR(IF(D217="","",D217/INDEX($D:$D,MATCH(EDATE($A217,-1),$A:$A,0))-1),"")</f>
        <v/>
      </c>
      <c r="H217" s="15">
        <f>IFERROR(IF(D217="","",D217/INDEX($D:$D,MATCH(EDATE($A217,-12),$A:$A,0))-1),"")</f>
        <v/>
      </c>
    </row>
    <row r="218">
      <c r="A218" s="16" t="n">
        <v>42614</v>
      </c>
      <c r="B218" s="17" t="n">
        <v>2016</v>
      </c>
      <c r="C218" s="17" t="n">
        <v>9</v>
      </c>
      <c r="D218" s="18" t="n">
        <v>0.604</v>
      </c>
      <c r="E218" s="18" t="n">
        <v>0.316</v>
      </c>
      <c r="F218" s="18">
        <f>IF(D218="","",D218*'参数与说明'!$B$6/0.68)</f>
        <v/>
      </c>
      <c r="G218" s="19">
        <f>IFERROR(IF(D218="","",D218/INDEX($D:$D,MATCH(EDATE($A218,-1),$A:$A,0))-1),"")</f>
        <v/>
      </c>
      <c r="H218" s="19">
        <f>IFERROR(IF(D218="","",D218/INDEX($D:$D,MATCH(EDATE($A218,-12),$A:$A,0))-1),"")</f>
        <v/>
      </c>
    </row>
    <row r="219">
      <c r="A219" s="12" t="n">
        <v>42644</v>
      </c>
      <c r="B219" s="13" t="n">
        <v>2016</v>
      </c>
      <c r="C219" s="13" t="n">
        <v>10</v>
      </c>
      <c r="D219" s="14" t="n">
        <v>0.513</v>
      </c>
      <c r="E219" s="14" t="n">
        <v>0.215</v>
      </c>
      <c r="F219" s="14">
        <f>IF(D219="","",D219*'参数与说明'!$B$6/0.68)</f>
        <v/>
      </c>
      <c r="G219" s="15">
        <f>IFERROR(IF(D219="","",D219/INDEX($D:$D,MATCH(EDATE($A219,-1),$A:$A,0))-1),"")</f>
        <v/>
      </c>
      <c r="H219" s="15">
        <f>IFERROR(IF(D219="","",D219/INDEX($D:$D,MATCH(EDATE($A219,-12),$A:$A,0))-1),"")</f>
        <v/>
      </c>
    </row>
    <row r="220">
      <c r="A220" s="16" t="n">
        <v>42675</v>
      </c>
      <c r="B220" s="17" t="n">
        <v>2016</v>
      </c>
      <c r="C220" s="17" t="n">
        <v>11</v>
      </c>
      <c r="D220" s="18" t="n">
        <v>0.591</v>
      </c>
      <c r="E220" s="18" t="n">
        <v>0.308</v>
      </c>
      <c r="F220" s="18">
        <f>IF(D220="","",D220*'参数与说明'!$B$6/0.68)</f>
        <v/>
      </c>
      <c r="G220" s="19">
        <f>IFERROR(IF(D220="","",D220/INDEX($D:$D,MATCH(EDATE($A220,-1),$A:$A,0))-1),"")</f>
        <v/>
      </c>
      <c r="H220" s="19">
        <f>IFERROR(IF(D220="","",D220/INDEX($D:$D,MATCH(EDATE($A220,-12),$A:$A,0))-1),"")</f>
        <v/>
      </c>
    </row>
    <row r="221">
      <c r="A221" s="12" t="n">
        <v>42705</v>
      </c>
      <c r="B221" s="13" t="n">
        <v>2016</v>
      </c>
      <c r="C221" s="13" t="n">
        <v>12</v>
      </c>
      <c r="D221" s="14" t="n">
        <v>1.21</v>
      </c>
      <c r="E221" s="14" t="n">
        <v>1.02</v>
      </c>
      <c r="F221" s="14">
        <f>IF(D221="","",D221*'参数与说明'!$B$6/0.68)</f>
        <v/>
      </c>
      <c r="G221" s="15">
        <f>IFERROR(IF(D221="","",D221/INDEX($D:$D,MATCH(EDATE($A221,-1),$A:$A,0))-1),"")</f>
        <v/>
      </c>
      <c r="H221" s="15">
        <f>IFERROR(IF(D221="","",D221/INDEX($D:$D,MATCH(EDATE($A221,-12),$A:$A,0))-1),"")</f>
        <v/>
      </c>
    </row>
    <row r="222">
      <c r="A222" s="16" t="n">
        <v>42736</v>
      </c>
      <c r="B222" s="17" t="n">
        <v>2017</v>
      </c>
      <c r="C222" s="17" t="n">
        <v>1</v>
      </c>
      <c r="D222" s="18" t="n">
        <v>0.8129999999999999</v>
      </c>
      <c r="E222" s="18" t="n">
        <v>0.572</v>
      </c>
      <c r="F222" s="18">
        <f>IF(D222="","",D222*'参数与说明'!$B$6/0.68)</f>
        <v/>
      </c>
      <c r="G222" s="19">
        <f>IFERROR(IF(D222="","",D222/INDEX($D:$D,MATCH(EDATE($A222,-1),$A:$A,0))-1),"")</f>
        <v/>
      </c>
      <c r="H222" s="19">
        <f>IFERROR(IF(D222="","",D222/INDEX($D:$D,MATCH(EDATE($A222,-12),$A:$A,0))-1),"")</f>
        <v/>
      </c>
    </row>
    <row r="223">
      <c r="A223" s="12" t="n">
        <v>42767</v>
      </c>
      <c r="B223" s="13" t="n">
        <v>2017</v>
      </c>
      <c r="C223" s="13" t="n">
        <v>2</v>
      </c>
      <c r="D223" s="14" t="n">
        <v>0.621</v>
      </c>
      <c r="E223" s="14" t="n">
        <v>0.371</v>
      </c>
      <c r="F223" s="14">
        <f>IF(D223="","",D223*'参数与说明'!$B$6/0.68)</f>
        <v/>
      </c>
      <c r="G223" s="15">
        <f>IFERROR(IF(D223="","",D223/INDEX($D:$D,MATCH(EDATE($A223,-1),$A:$A,0))-1),"")</f>
        <v/>
      </c>
      <c r="H223" s="15">
        <f>IFERROR(IF(D223="","",D223/INDEX($D:$D,MATCH(EDATE($A223,-12),$A:$A,0))-1),"")</f>
        <v/>
      </c>
    </row>
    <row r="224">
      <c r="A224" s="16" t="n">
        <v>42795</v>
      </c>
      <c r="B224" s="17" t="n">
        <v>2017</v>
      </c>
      <c r="C224" s="17" t="n">
        <v>3</v>
      </c>
      <c r="D224" s="18" t="n">
        <v>0.783</v>
      </c>
      <c r="E224" s="18" t="n">
        <v>0.555</v>
      </c>
      <c r="F224" s="18">
        <f>IF(D224="","",D224*'参数与说明'!$B$6/0.68)</f>
        <v/>
      </c>
      <c r="G224" s="19">
        <f>IFERROR(IF(D224="","",D224/INDEX($D:$D,MATCH(EDATE($A224,-1),$A:$A,0))-1),"")</f>
        <v/>
      </c>
      <c r="H224" s="19">
        <f>IFERROR(IF(D224="","",D224/INDEX($D:$D,MATCH(EDATE($A224,-12),$A:$A,0))-1),"")</f>
        <v/>
      </c>
    </row>
    <row r="225">
      <c r="A225" s="12" t="n">
        <v>42826</v>
      </c>
      <c r="B225" s="13" t="n">
        <v>2017</v>
      </c>
      <c r="C225" s="13" t="n">
        <v>4</v>
      </c>
      <c r="D225" s="14" t="n">
        <v>0.629</v>
      </c>
      <c r="E225" s="14" t="n">
        <v>0.376</v>
      </c>
      <c r="F225" s="14">
        <f>IF(D225="","",D225*'参数与说明'!$B$6/0.68)</f>
        <v/>
      </c>
      <c r="G225" s="15">
        <f>IFERROR(IF(D225="","",D225/INDEX($D:$D,MATCH(EDATE($A225,-1),$A:$A,0))-1),"")</f>
        <v/>
      </c>
      <c r="H225" s="15">
        <f>IFERROR(IF(D225="","",D225/INDEX($D:$D,MATCH(EDATE($A225,-12),$A:$A,0))-1),"")</f>
        <v/>
      </c>
    </row>
    <row r="226">
      <c r="A226" s="16" t="n">
        <v>42856</v>
      </c>
      <c r="B226" s="17" t="n">
        <v>2017</v>
      </c>
      <c r="C226" s="17" t="n">
        <v>5</v>
      </c>
      <c r="D226" s="18" t="n">
        <v>0.615</v>
      </c>
      <c r="E226" s="18" t="n">
        <v>0.358</v>
      </c>
      <c r="F226" s="18">
        <f>IF(D226="","",D226*'参数与说明'!$B$6/0.68)</f>
        <v/>
      </c>
      <c r="G226" s="19">
        <f>IFERROR(IF(D226="","",D226/INDEX($D:$D,MATCH(EDATE($A226,-1),$A:$A,0))-1),"")</f>
        <v/>
      </c>
      <c r="H226" s="19">
        <f>IFERROR(IF(D226="","",D226/INDEX($D:$D,MATCH(EDATE($A226,-12),$A:$A,0))-1),"")</f>
        <v/>
      </c>
    </row>
    <row r="227">
      <c r="A227" s="12" t="n">
        <v>42887</v>
      </c>
      <c r="B227" s="13" t="n">
        <v>2017</v>
      </c>
      <c r="C227" s="13" t="n">
        <v>6</v>
      </c>
      <c r="D227" s="14" t="n">
        <v>0.631</v>
      </c>
      <c r="E227" s="14" t="n">
        <v>0.375</v>
      </c>
      <c r="F227" s="14">
        <f>IF(D227="","",D227*'参数与说明'!$B$6/0.68)</f>
        <v/>
      </c>
      <c r="G227" s="15">
        <f>IFERROR(IF(D227="","",D227/INDEX($D:$D,MATCH(EDATE($A227,-1),$A:$A,0))-1),"")</f>
        <v/>
      </c>
      <c r="H227" s="15">
        <f>IFERROR(IF(D227="","",D227/INDEX($D:$D,MATCH(EDATE($A227,-12),$A:$A,0))-1),"")</f>
        <v/>
      </c>
    </row>
    <row r="228">
      <c r="A228" s="16" t="n">
        <v>42917</v>
      </c>
      <c r="B228" s="17" t="n">
        <v>2017</v>
      </c>
      <c r="C228" s="17" t="n">
        <v>7</v>
      </c>
      <c r="D228" s="18" t="n">
        <v>0.819</v>
      </c>
      <c r="E228" s="18" t="n">
        <v>0.589</v>
      </c>
      <c r="F228" s="18">
        <f>IF(D228="","",D228*'参数与说明'!$B$6/0.68)</f>
        <v/>
      </c>
      <c r="G228" s="19">
        <f>IFERROR(IF(D228="","",D228/INDEX($D:$D,MATCH(EDATE($A228,-1),$A:$A,0))-1),"")</f>
        <v/>
      </c>
      <c r="H228" s="19">
        <f>IFERROR(IF(D228="","",D228/INDEX($D:$D,MATCH(EDATE($A228,-12),$A:$A,0))-1),"")</f>
        <v/>
      </c>
    </row>
    <row r="229">
      <c r="A229" s="12" t="n">
        <v>42948</v>
      </c>
      <c r="B229" s="13" t="n">
        <v>2017</v>
      </c>
      <c r="C229" s="13" t="n">
        <v>8</v>
      </c>
      <c r="D229" s="14" t="n">
        <v>0.744</v>
      </c>
      <c r="E229" s="14" t="n">
        <v>0.504</v>
      </c>
      <c r="F229" s="14">
        <f>IF(D229="","",D229*'参数与说明'!$B$6/0.68)</f>
        <v/>
      </c>
      <c r="G229" s="15">
        <f>IFERROR(IF(D229="","",D229/INDEX($D:$D,MATCH(EDATE($A229,-1),$A:$A,0))-1),"")</f>
        <v/>
      </c>
      <c r="H229" s="15">
        <f>IFERROR(IF(D229="","",D229/INDEX($D:$D,MATCH(EDATE($A229,-12),$A:$A,0))-1),"")</f>
        <v/>
      </c>
    </row>
    <row r="230">
      <c r="A230" s="16" t="n">
        <v>42979</v>
      </c>
      <c r="B230" s="17" t="n">
        <v>2017</v>
      </c>
      <c r="C230" s="17" t="n">
        <v>9</v>
      </c>
      <c r="D230" s="18" t="n">
        <v>1.09</v>
      </c>
      <c r="E230" s="18" t="n">
        <v>0.9</v>
      </c>
      <c r="F230" s="18">
        <f>IF(D230="","",D230*'参数与说明'!$B$6/0.68)</f>
        <v/>
      </c>
      <c r="G230" s="19">
        <f>IFERROR(IF(D230="","",D230/INDEX($D:$D,MATCH(EDATE($A230,-1),$A:$A,0))-1),"")</f>
        <v/>
      </c>
      <c r="H230" s="19">
        <f>IFERROR(IF(D230="","",D230/INDEX($D:$D,MATCH(EDATE($A230,-12),$A:$A,0))-1),"")</f>
        <v/>
      </c>
    </row>
    <row r="231">
      <c r="A231" s="12" t="n">
        <v>43009</v>
      </c>
      <c r="B231" s="13" t="n">
        <v>2017</v>
      </c>
      <c r="C231" s="13" t="n">
        <v>10</v>
      </c>
      <c r="D231" s="14" t="n">
        <v>0.895</v>
      </c>
      <c r="E231" s="14" t="n">
        <v>0.68</v>
      </c>
      <c r="F231" s="14">
        <f>IF(D231="","",D231*'参数与说明'!$B$6/0.68)</f>
        <v/>
      </c>
      <c r="G231" s="15">
        <f>IFERROR(IF(D231="","",D231/INDEX($D:$D,MATCH(EDATE($A231,-1),$A:$A,0))-1),"")</f>
        <v/>
      </c>
      <c r="H231" s="15">
        <f>IFERROR(IF(D231="","",D231/INDEX($D:$D,MATCH(EDATE($A231,-12),$A:$A,0))-1),"")</f>
        <v/>
      </c>
    </row>
    <row r="232">
      <c r="A232" s="16" t="n">
        <v>43040</v>
      </c>
      <c r="B232" s="17" t="n">
        <v>2017</v>
      </c>
      <c r="C232" s="17" t="n">
        <v>11</v>
      </c>
      <c r="D232" s="18" t="n">
        <v>1.38</v>
      </c>
      <c r="E232" s="18" t="n">
        <v>1.23</v>
      </c>
      <c r="F232" s="18">
        <f>IF(D232="","",D232*'参数与说明'!$B$6/0.68)</f>
        <v/>
      </c>
      <c r="G232" s="19">
        <f>IFERROR(IF(D232="","",D232/INDEX($D:$D,MATCH(EDATE($A232,-1),$A:$A,0))-1),"")</f>
        <v/>
      </c>
      <c r="H232" s="19">
        <f>IFERROR(IF(D232="","",D232/INDEX($D:$D,MATCH(EDATE($A232,-12),$A:$A,0))-1),"")</f>
        <v/>
      </c>
    </row>
    <row r="233">
      <c r="A233" s="12" t="n">
        <v>43070</v>
      </c>
      <c r="B233" s="13" t="n">
        <v>2017</v>
      </c>
      <c r="C233" s="13" t="n">
        <v>12</v>
      </c>
      <c r="D233" s="14" t="n">
        <v>1.29</v>
      </c>
      <c r="E233" s="14" t="n">
        <v>1.13</v>
      </c>
      <c r="F233" s="14">
        <f>IF(D233="","",D233*'参数与说明'!$B$6/0.68)</f>
        <v/>
      </c>
      <c r="G233" s="15">
        <f>IFERROR(IF(D233="","",D233/INDEX($D:$D,MATCH(EDATE($A233,-1),$A:$A,0))-1),"")</f>
        <v/>
      </c>
      <c r="H233" s="15">
        <f>IFERROR(IF(D233="","",D233/INDEX($D:$D,MATCH(EDATE($A233,-12),$A:$A,0))-1),"")</f>
        <v/>
      </c>
    </row>
    <row r="234">
      <c r="A234" s="16" t="n">
        <v>43101</v>
      </c>
      <c r="B234" s="17" t="n">
        <v>2018</v>
      </c>
      <c r="C234" s="17" t="n">
        <v>1</v>
      </c>
      <c r="D234" s="18" t="n">
        <v>1.15</v>
      </c>
      <c r="E234" s="18" t="n">
        <v>0.964</v>
      </c>
      <c r="F234" s="18">
        <f>IF(D234="","",D234*'参数与说明'!$B$6/0.68)</f>
        <v/>
      </c>
      <c r="G234" s="19">
        <f>IFERROR(IF(D234="","",D234/INDEX($D:$D,MATCH(EDATE($A234,-1),$A:$A,0))-1),"")</f>
        <v/>
      </c>
      <c r="H234" s="19">
        <f>IFERROR(IF(D234="","",D234/INDEX($D:$D,MATCH(EDATE($A234,-12),$A:$A,0))-1),"")</f>
        <v/>
      </c>
    </row>
    <row r="235">
      <c r="A235" s="12" t="n">
        <v>43132</v>
      </c>
      <c r="B235" s="13" t="n">
        <v>2018</v>
      </c>
      <c r="C235" s="13" t="n">
        <v>2</v>
      </c>
      <c r="D235" s="14" t="n">
        <v>1.32</v>
      </c>
      <c r="E235" s="14" t="n">
        <v>1.16</v>
      </c>
      <c r="F235" s="14">
        <f>IF(D235="","",D235*'参数与说明'!$B$6/0.68)</f>
        <v/>
      </c>
      <c r="G235" s="15">
        <f>IFERROR(IF(D235="","",D235/INDEX($D:$D,MATCH(EDATE($A235,-1),$A:$A,0))-1),"")</f>
        <v/>
      </c>
      <c r="H235" s="15">
        <f>IFERROR(IF(D235="","",D235/INDEX($D:$D,MATCH(EDATE($A235,-12),$A:$A,0))-1),"")</f>
        <v/>
      </c>
    </row>
    <row r="236">
      <c r="A236" s="16" t="n">
        <v>43160</v>
      </c>
      <c r="B236" s="17" t="n">
        <v>2018</v>
      </c>
      <c r="C236" s="17" t="n">
        <v>3</v>
      </c>
      <c r="D236" s="18" t="n">
        <v>1.89</v>
      </c>
      <c r="E236" s="18" t="n">
        <v>1.81</v>
      </c>
      <c r="F236" s="18">
        <f>IF(D236="","",D236*'参数与说明'!$B$6/0.68)</f>
        <v/>
      </c>
      <c r="G236" s="19">
        <f>IFERROR(IF(D236="","",D236/INDEX($D:$D,MATCH(EDATE($A236,-1),$A:$A,0))-1),"")</f>
        <v/>
      </c>
      <c r="H236" s="19">
        <f>IFERROR(IF(D236="","",D236/INDEX($D:$D,MATCH(EDATE($A236,-12),$A:$A,0))-1),"")</f>
        <v/>
      </c>
    </row>
    <row r="237">
      <c r="A237" s="12" t="n">
        <v>43191</v>
      </c>
      <c r="B237" s="13" t="n">
        <v>2018</v>
      </c>
      <c r="C237" s="13" t="n">
        <v>4</v>
      </c>
      <c r="D237" s="14" t="n">
        <v>1.16</v>
      </c>
      <c r="E237" s="14" t="n">
        <v>0.971</v>
      </c>
      <c r="F237" s="14">
        <f>IF(D237="","",D237*'参数与说明'!$B$6/0.68)</f>
        <v/>
      </c>
      <c r="G237" s="15">
        <f>IFERROR(IF(D237="","",D237/INDEX($D:$D,MATCH(EDATE($A237,-1),$A:$A,0))-1),"")</f>
        <v/>
      </c>
      <c r="H237" s="15">
        <f>IFERROR(IF(D237="","",D237/INDEX($D:$D,MATCH(EDATE($A237,-12),$A:$A,0))-1),"")</f>
        <v/>
      </c>
    </row>
    <row r="238">
      <c r="A238" s="16" t="n">
        <v>43221</v>
      </c>
      <c r="B238" s="17" t="n">
        <v>2018</v>
      </c>
      <c r="C238" s="17" t="n">
        <v>5</v>
      </c>
      <c r="D238" s="18" t="n">
        <v>0.848</v>
      </c>
      <c r="E238" s="18" t="n">
        <v>0.615</v>
      </c>
      <c r="F238" s="18">
        <f>IF(D238="","",D238*'参数与说明'!$B$6/0.68)</f>
        <v/>
      </c>
      <c r="G238" s="19">
        <f>IFERROR(IF(D238="","",D238/INDEX($D:$D,MATCH(EDATE($A238,-1),$A:$A,0))-1),"")</f>
        <v/>
      </c>
      <c r="H238" s="19">
        <f>IFERROR(IF(D238="","",D238/INDEX($D:$D,MATCH(EDATE($A238,-12),$A:$A,0))-1),"")</f>
        <v/>
      </c>
    </row>
    <row r="239">
      <c r="A239" s="12" t="n">
        <v>43252</v>
      </c>
      <c r="B239" s="13" t="n">
        <v>2018</v>
      </c>
      <c r="C239" s="13" t="n">
        <v>6</v>
      </c>
      <c r="D239" s="14" t="n">
        <v>0.931</v>
      </c>
      <c r="E239" s="14" t="n">
        <v>0.707</v>
      </c>
      <c r="F239" s="14">
        <f>IF(D239="","",D239*'参数与说明'!$B$6/0.68)</f>
        <v/>
      </c>
      <c r="G239" s="15">
        <f>IFERROR(IF(D239="","",D239/INDEX($D:$D,MATCH(EDATE($A239,-1),$A:$A,0))-1),"")</f>
        <v/>
      </c>
      <c r="H239" s="15">
        <f>IFERROR(IF(D239="","",D239/INDEX($D:$D,MATCH(EDATE($A239,-12),$A:$A,0))-1),"")</f>
        <v/>
      </c>
    </row>
    <row r="240">
      <c r="A240" s="16" t="n">
        <v>43282</v>
      </c>
      <c r="B240" s="17" t="n">
        <v>2018</v>
      </c>
      <c r="C240" s="17" t="n">
        <v>7</v>
      </c>
      <c r="D240" s="18" t="n">
        <v>1.05</v>
      </c>
      <c r="E240" s="18" t="n">
        <v>0.841</v>
      </c>
      <c r="F240" s="18">
        <f>IF(D240="","",D240*'参数与说明'!$B$6/0.68)</f>
        <v/>
      </c>
      <c r="G240" s="19">
        <f>IFERROR(IF(D240="","",D240/INDEX($D:$D,MATCH(EDATE($A240,-1),$A:$A,0))-1),"")</f>
        <v/>
      </c>
      <c r="H240" s="19">
        <f>IFERROR(IF(D240="","",D240/INDEX($D:$D,MATCH(EDATE($A240,-12),$A:$A,0))-1),"")</f>
        <v/>
      </c>
    </row>
    <row r="241">
      <c r="A241" s="12" t="n">
        <v>43313</v>
      </c>
      <c r="B241" s="13" t="n">
        <v>2018</v>
      </c>
      <c r="C241" s="13" t="n">
        <v>8</v>
      </c>
      <c r="D241" s="14" t="n">
        <v>1.01</v>
      </c>
      <c r="E241" s="14" t="n">
        <v>0.797</v>
      </c>
      <c r="F241" s="14">
        <f>IF(D241="","",D241*'参数与说明'!$B$6/0.68)</f>
        <v/>
      </c>
      <c r="G241" s="15">
        <f>IFERROR(IF(D241="","",D241/INDEX($D:$D,MATCH(EDATE($A241,-1),$A:$A,0))-1),"")</f>
        <v/>
      </c>
      <c r="H241" s="15">
        <f>IFERROR(IF(D241="","",D241/INDEX($D:$D,MATCH(EDATE($A241,-12),$A:$A,0))-1),"")</f>
        <v/>
      </c>
    </row>
    <row r="242">
      <c r="A242" s="16" t="n">
        <v>43344</v>
      </c>
      <c r="B242" s="17" t="n">
        <v>2018</v>
      </c>
      <c r="C242" s="17" t="n">
        <v>9</v>
      </c>
      <c r="D242" s="18" t="n">
        <v>0.91</v>
      </c>
      <c r="E242" s="18" t="n">
        <v>0.6879999999999999</v>
      </c>
      <c r="F242" s="18">
        <f>IF(D242="","",D242*'参数与说明'!$B$6/0.68)</f>
        <v/>
      </c>
      <c r="G242" s="19">
        <f>IFERROR(IF(D242="","",D242/INDEX($D:$D,MATCH(EDATE($A242,-1),$A:$A,0))-1),"")</f>
        <v/>
      </c>
      <c r="H242" s="19">
        <f>IFERROR(IF(D242="","",D242/INDEX($D:$D,MATCH(EDATE($A242,-12),$A:$A,0))-1),"")</f>
        <v/>
      </c>
    </row>
    <row r="243">
      <c r="A243" s="12" t="n">
        <v>43374</v>
      </c>
      <c r="B243" s="13" t="n">
        <v>2018</v>
      </c>
      <c r="C243" s="13" t="n">
        <v>10</v>
      </c>
      <c r="D243" s="14" t="n">
        <v>0.953</v>
      </c>
      <c r="E243" s="14" t="n">
        <v>0.74</v>
      </c>
      <c r="F243" s="14">
        <f>IF(D243="","",D243*'参数与说明'!$B$6/0.68)</f>
        <v/>
      </c>
      <c r="G243" s="15">
        <f>IFERROR(IF(D243="","",D243/INDEX($D:$D,MATCH(EDATE($A243,-1),$A:$A,0))-1),"")</f>
        <v/>
      </c>
      <c r="H243" s="15">
        <f>IFERROR(IF(D243="","",D243/INDEX($D:$D,MATCH(EDATE($A243,-12),$A:$A,0))-1),"")</f>
        <v/>
      </c>
    </row>
    <row r="244">
      <c r="A244" s="16" t="n">
        <v>43405</v>
      </c>
      <c r="B244" s="17" t="n">
        <v>2018</v>
      </c>
      <c r="C244" s="17" t="n">
        <v>11</v>
      </c>
      <c r="D244" s="18" t="n">
        <v>1.08</v>
      </c>
      <c r="E244" s="18" t="n">
        <v>0.884</v>
      </c>
      <c r="F244" s="18">
        <f>IF(D244="","",D244*'参数与说明'!$B$6/0.68)</f>
        <v/>
      </c>
      <c r="G244" s="19">
        <f>IFERROR(IF(D244="","",D244/INDEX($D:$D,MATCH(EDATE($A244,-1),$A:$A,0))-1),"")</f>
        <v/>
      </c>
      <c r="H244" s="19">
        <f>IFERROR(IF(D244="","",D244/INDEX($D:$D,MATCH(EDATE($A244,-12),$A:$A,0))-1),"")</f>
        <v/>
      </c>
    </row>
    <row r="245">
      <c r="A245" s="12" t="n">
        <v>43435</v>
      </c>
      <c r="B245" s="13" t="n">
        <v>2018</v>
      </c>
      <c r="C245" s="13" t="n">
        <v>12</v>
      </c>
      <c r="D245" s="14" t="n">
        <v>1.08</v>
      </c>
      <c r="E245" s="14" t="n">
        <v>0.886</v>
      </c>
      <c r="F245" s="14">
        <f>IF(D245="","",D245*'参数与说明'!$B$6/0.68)</f>
        <v/>
      </c>
      <c r="G245" s="15">
        <f>IFERROR(IF(D245="","",D245/INDEX($D:$D,MATCH(EDATE($A245,-1),$A:$A,0))-1),"")</f>
        <v/>
      </c>
      <c r="H245" s="15">
        <f>IFERROR(IF(D245="","",D245/INDEX($D:$D,MATCH(EDATE($A245,-12),$A:$A,0))-1),"")</f>
        <v/>
      </c>
    </row>
    <row r="246">
      <c r="A246" s="16" t="n">
        <v>43466</v>
      </c>
      <c r="B246" s="17" t="n">
        <v>2019</v>
      </c>
      <c r="C246" s="17" t="n">
        <v>1</v>
      </c>
      <c r="D246" s="18" t="n">
        <v>0.983</v>
      </c>
      <c r="E246" s="18" t="n">
        <v>0.776</v>
      </c>
      <c r="F246" s="18">
        <f>IF(D246="","",D246*'参数与说明'!$B$6/0.68)</f>
        <v/>
      </c>
      <c r="G246" s="19">
        <f>IFERROR(IF(D246="","",D246/INDEX($D:$D,MATCH(EDATE($A246,-1),$A:$A,0))-1),"")</f>
        <v/>
      </c>
      <c r="H246" s="19">
        <f>IFERROR(IF(D246="","",D246/INDEX($D:$D,MATCH(EDATE($A246,-12),$A:$A,0))-1),"")</f>
        <v/>
      </c>
    </row>
    <row r="247">
      <c r="A247" s="12" t="n">
        <v>43497</v>
      </c>
      <c r="B247" s="13" t="n">
        <v>2019</v>
      </c>
      <c r="C247" s="13" t="n">
        <v>2</v>
      </c>
      <c r="D247" s="14" t="n">
        <v>0.888</v>
      </c>
      <c r="E247" s="14" t="n">
        <v>0.663</v>
      </c>
      <c r="F247" s="14">
        <f>IF(D247="","",D247*'参数与说明'!$B$6/0.68)</f>
        <v/>
      </c>
      <c r="G247" s="15">
        <f>IFERROR(IF(D247="","",D247/INDEX($D:$D,MATCH(EDATE($A247,-1),$A:$A,0))-1),"")</f>
        <v/>
      </c>
      <c r="H247" s="15">
        <f>IFERROR(IF(D247="","",D247/INDEX($D:$D,MATCH(EDATE($A247,-12),$A:$A,0))-1),"")</f>
        <v/>
      </c>
    </row>
    <row r="248">
      <c r="A248" s="16" t="n">
        <v>43525</v>
      </c>
      <c r="B248" s="17" t="n">
        <v>2019</v>
      </c>
      <c r="C248" s="17" t="n">
        <v>3</v>
      </c>
      <c r="D248" s="18" t="n">
        <v>0.8179999999999999</v>
      </c>
      <c r="E248" s="18" t="n">
        <v>0.584</v>
      </c>
      <c r="F248" s="18">
        <f>IF(D248="","",D248*'参数与说明'!$B$6/0.68)</f>
        <v/>
      </c>
      <c r="G248" s="19">
        <f>IFERROR(IF(D248="","",D248/INDEX($D:$D,MATCH(EDATE($A248,-1),$A:$A,0))-1),"")</f>
        <v/>
      </c>
      <c r="H248" s="19">
        <f>IFERROR(IF(D248="","",D248/INDEX($D:$D,MATCH(EDATE($A248,-12),$A:$A,0))-1),"")</f>
        <v/>
      </c>
    </row>
    <row r="249">
      <c r="A249" s="12" t="n">
        <v>43556</v>
      </c>
      <c r="B249" s="13" t="n">
        <v>2019</v>
      </c>
      <c r="C249" s="13" t="n">
        <v>4</v>
      </c>
      <c r="D249" s="14" t="n">
        <v>0.614</v>
      </c>
      <c r="E249" s="14" t="n">
        <v>0.351</v>
      </c>
      <c r="F249" s="14">
        <f>IF(D249="","",D249*'参数与说明'!$B$6/0.68)</f>
        <v/>
      </c>
      <c r="G249" s="15">
        <f>IFERROR(IF(D249="","",D249/INDEX($D:$D,MATCH(EDATE($A249,-1),$A:$A,0))-1),"")</f>
        <v/>
      </c>
      <c r="H249" s="15">
        <f>IFERROR(IF(D249="","",D249/INDEX($D:$D,MATCH(EDATE($A249,-12),$A:$A,0))-1),"")</f>
        <v/>
      </c>
    </row>
    <row r="250">
      <c r="A250" s="16" t="n">
        <v>43586</v>
      </c>
      <c r="B250" s="17" t="n">
        <v>2019</v>
      </c>
      <c r="C250" s="17" t="n">
        <v>5</v>
      </c>
      <c r="D250" s="18" t="n">
        <v>0.483</v>
      </c>
      <c r="E250" s="18" t="n">
        <v>0.197</v>
      </c>
      <c r="F250" s="18">
        <f>IF(D250="","",D250*'参数与说明'!$B$6/0.68)</f>
        <v/>
      </c>
      <c r="G250" s="19">
        <f>IFERROR(IF(D250="","",D250/INDEX($D:$D,MATCH(EDATE($A250,-1),$A:$A,0))-1),"")</f>
        <v/>
      </c>
      <c r="H250" s="19">
        <f>IFERROR(IF(D250="","",D250/INDEX($D:$D,MATCH(EDATE($A250,-12),$A:$A,0))-1),"")</f>
        <v/>
      </c>
    </row>
    <row r="251">
      <c r="A251" s="12" t="n">
        <v>43617</v>
      </c>
      <c r="B251" s="13" t="n">
        <v>2019</v>
      </c>
      <c r="C251" s="13" t="n">
        <v>6</v>
      </c>
      <c r="D251" s="14" t="n">
        <v>0.654</v>
      </c>
      <c r="E251" s="14" t="n">
        <v>0.389</v>
      </c>
      <c r="F251" s="14">
        <f>IF(D251="","",D251*'参数与说明'!$B$6/0.68)</f>
        <v/>
      </c>
      <c r="G251" s="15">
        <f>IFERROR(IF(D251="","",D251/INDEX($D:$D,MATCH(EDATE($A251,-1),$A:$A,0))-1),"")</f>
        <v/>
      </c>
      <c r="H251" s="15">
        <f>IFERROR(IF(D251="","",D251/INDEX($D:$D,MATCH(EDATE($A251,-12),$A:$A,0))-1),"")</f>
        <v/>
      </c>
    </row>
    <row r="252">
      <c r="A252" s="16" t="n">
        <v>43647</v>
      </c>
      <c r="B252" s="17" t="n">
        <v>2019</v>
      </c>
      <c r="C252" s="17" t="n">
        <v>7</v>
      </c>
      <c r="D252" s="18" t="n">
        <v>0.507</v>
      </c>
      <c r="E252" s="18" t="n">
        <v>0.219</v>
      </c>
      <c r="F252" s="18">
        <f>IF(D252="","",D252*'参数与说明'!$B$6/0.68)</f>
        <v/>
      </c>
      <c r="G252" s="19">
        <f>IFERROR(IF(D252="","",D252/INDEX($D:$D,MATCH(EDATE($A252,-1),$A:$A,0))-1),"")</f>
        <v/>
      </c>
      <c r="H252" s="19">
        <f>IFERROR(IF(D252="","",D252/INDEX($D:$D,MATCH(EDATE($A252,-12),$A:$A,0))-1),"")</f>
        <v/>
      </c>
    </row>
    <row r="253">
      <c r="A253" s="12" t="n">
        <v>43678</v>
      </c>
      <c r="B253" s="13" t="n">
        <v>2019</v>
      </c>
      <c r="C253" s="13" t="n">
        <v>8</v>
      </c>
      <c r="D253" s="14" t="n">
        <v>0.8080000000000001</v>
      </c>
      <c r="E253" s="14" t="n">
        <v>0.5679999999999999</v>
      </c>
      <c r="F253" s="14">
        <f>IF(D253="","",D253*'参数与说明'!$B$6/0.68)</f>
        <v/>
      </c>
      <c r="G253" s="15">
        <f>IFERROR(IF(D253="","",D253/INDEX($D:$D,MATCH(EDATE($A253,-1),$A:$A,0))-1),"")</f>
        <v/>
      </c>
      <c r="H253" s="15">
        <f>IFERROR(IF(D253="","",D253/INDEX($D:$D,MATCH(EDATE($A253,-12),$A:$A,0))-1),"")</f>
        <v/>
      </c>
    </row>
    <row r="254">
      <c r="A254" s="16" t="n">
        <v>43709</v>
      </c>
      <c r="B254" s="17" t="n">
        <v>2019</v>
      </c>
      <c r="C254" s="17" t="n">
        <v>9</v>
      </c>
      <c r="D254" s="18" t="n">
        <v>0.7</v>
      </c>
      <c r="E254" s="18" t="n">
        <v>0.446</v>
      </c>
      <c r="F254" s="18">
        <f>IF(D254="","",D254*'参数与说明'!$B$6/0.68)</f>
        <v/>
      </c>
      <c r="G254" s="19">
        <f>IFERROR(IF(D254="","",D254/INDEX($D:$D,MATCH(EDATE($A254,-1),$A:$A,0))-1),"")</f>
        <v/>
      </c>
      <c r="H254" s="19">
        <f>IFERROR(IF(D254="","",D254/INDEX($D:$D,MATCH(EDATE($A254,-12),$A:$A,0))-1),"")</f>
        <v/>
      </c>
    </row>
    <row r="255">
      <c r="A255" s="12" t="n">
        <v>43739</v>
      </c>
      <c r="B255" s="13" t="n">
        <v>2019</v>
      </c>
      <c r="C255" s="13" t="n">
        <v>10</v>
      </c>
      <c r="D255" s="14" t="n">
        <v>0.6840000000000001</v>
      </c>
      <c r="E255" s="14" t="n">
        <v>0.43</v>
      </c>
      <c r="F255" s="14">
        <f>IF(D255="","",D255*'参数与说明'!$B$6/0.68)</f>
        <v/>
      </c>
      <c r="G255" s="15">
        <f>IFERROR(IF(D255="","",D255/INDEX($D:$D,MATCH(EDATE($A255,-1),$A:$A,0))-1),"")</f>
        <v/>
      </c>
      <c r="H255" s="15">
        <f>IFERROR(IF(D255="","",D255/INDEX($D:$D,MATCH(EDATE($A255,-12),$A:$A,0))-1),"")</f>
        <v/>
      </c>
    </row>
    <row r="256">
      <c r="A256" s="16" t="n">
        <v>43770</v>
      </c>
      <c r="B256" s="17" t="n">
        <v>2019</v>
      </c>
      <c r="C256" s="17" t="n">
        <v>11</v>
      </c>
      <c r="D256" s="18" t="n">
        <v>1.11</v>
      </c>
      <c r="E256" s="18" t="n">
        <v>0.919</v>
      </c>
      <c r="F256" s="18">
        <f>IF(D256="","",D256*'参数与说明'!$B$6/0.68)</f>
        <v/>
      </c>
      <c r="G256" s="19">
        <f>IFERROR(IF(D256="","",D256/INDEX($D:$D,MATCH(EDATE($A256,-1),$A:$A,0))-1),"")</f>
        <v/>
      </c>
      <c r="H256" s="19">
        <f>IFERROR(IF(D256="","",D256/INDEX($D:$D,MATCH(EDATE($A256,-12),$A:$A,0))-1),"")</f>
        <v/>
      </c>
    </row>
    <row r="257">
      <c r="A257" s="12" t="n">
        <v>43800</v>
      </c>
      <c r="B257" s="13" t="n">
        <v>2019</v>
      </c>
      <c r="C257" s="13" t="n">
        <v>12</v>
      </c>
      <c r="D257" s="14" t="n">
        <v>0.93</v>
      </c>
      <c r="E257" s="14" t="n">
        <v>0.715</v>
      </c>
      <c r="F257" s="14">
        <f>IF(D257="","",D257*'参数与说明'!$B$6/0.68)</f>
        <v/>
      </c>
      <c r="G257" s="15">
        <f>IFERROR(IF(D257="","",D257/INDEX($D:$D,MATCH(EDATE($A257,-1),$A:$A,0))-1),"")</f>
        <v/>
      </c>
      <c r="H257" s="15">
        <f>IFERROR(IF(D257="","",D257/INDEX($D:$D,MATCH(EDATE($A257,-12),$A:$A,0))-1),"")</f>
        <v/>
      </c>
    </row>
    <row r="258">
      <c r="A258" s="16" t="n">
        <v>43831</v>
      </c>
      <c r="B258" s="17" t="n">
        <v>2020</v>
      </c>
      <c r="C258" s="17" t="n">
        <v>1</v>
      </c>
      <c r="D258" s="18" t="n">
        <v>0.752</v>
      </c>
      <c r="E258" s="18" t="n">
        <v>0.487</v>
      </c>
      <c r="F258" s="18">
        <f>IF(D258="","",D258*'参数与说明'!$B$6/0.68)</f>
        <v/>
      </c>
      <c r="G258" s="19">
        <f>IFERROR(IF(D258="","",D258/INDEX($D:$D,MATCH(EDATE($A258,-1),$A:$A,0))-1),"")</f>
        <v/>
      </c>
      <c r="H258" s="19">
        <f>IFERROR(IF(D258="","",D258/INDEX($D:$D,MATCH(EDATE($A258,-12),$A:$A,0))-1),"")</f>
        <v/>
      </c>
    </row>
    <row r="259">
      <c r="A259" s="12" t="n">
        <v>43862</v>
      </c>
      <c r="B259" s="13" t="n">
        <v>2020</v>
      </c>
      <c r="C259" s="13" t="n">
        <v>2</v>
      </c>
      <c r="D259" s="14" t="n">
        <v>0.891</v>
      </c>
      <c r="E259" s="14" t="n">
        <v>0.64</v>
      </c>
      <c r="F259" s="14">
        <f>IF(D259="","",D259*'参数与说明'!$B$6/0.68)</f>
        <v/>
      </c>
      <c r="G259" s="15">
        <f>IFERROR(IF(D259="","",D259/INDEX($D:$D,MATCH(EDATE($A259,-1),$A:$A,0))-1),"")</f>
        <v/>
      </c>
      <c r="H259" s="15">
        <f>IFERROR(IF(D259="","",D259/INDEX($D:$D,MATCH(EDATE($A259,-12),$A:$A,0))-1),"")</f>
        <v/>
      </c>
    </row>
    <row r="260">
      <c r="A260" s="16" t="n">
        <v>43891</v>
      </c>
      <c r="B260" s="17" t="n">
        <v>2020</v>
      </c>
      <c r="C260" s="17" t="n">
        <v>3</v>
      </c>
      <c r="D260" s="18" t="n">
        <v>1.72</v>
      </c>
      <c r="E260" s="18" t="n">
        <v>1.58</v>
      </c>
      <c r="F260" s="18">
        <f>IF(D260="","",D260*'参数与说明'!$B$6/0.68)</f>
        <v/>
      </c>
      <c r="G260" s="19">
        <f>IFERROR(IF(D260="","",D260/INDEX($D:$D,MATCH(EDATE($A260,-1),$A:$A,0))-1),"")</f>
        <v/>
      </c>
      <c r="H260" s="19">
        <f>IFERROR(IF(D260="","",D260/INDEX($D:$D,MATCH(EDATE($A260,-12),$A:$A,0))-1),"")</f>
        <v/>
      </c>
    </row>
    <row r="261">
      <c r="A261" s="12" t="n">
        <v>43922</v>
      </c>
      <c r="B261" s="13" t="n">
        <v>2020</v>
      </c>
      <c r="C261" s="13" t="n">
        <v>4</v>
      </c>
      <c r="D261" s="14" t="n">
        <v>1.03</v>
      </c>
      <c r="E261" s="14" t="n">
        <v>0.796</v>
      </c>
      <c r="F261" s="14">
        <f>IF(D261="","",D261*'参数与说明'!$B$6/0.68)</f>
        <v/>
      </c>
      <c r="G261" s="15">
        <f>IFERROR(IF(D261="","",D261/INDEX($D:$D,MATCH(EDATE($A261,-1),$A:$A,0))-1),"")</f>
        <v/>
      </c>
      <c r="H261" s="15">
        <f>IFERROR(IF(D261="","",D261/INDEX($D:$D,MATCH(EDATE($A261,-12),$A:$A,0))-1),"")</f>
        <v/>
      </c>
    </row>
    <row r="262">
      <c r="A262" s="16" t="n">
        <v>43952</v>
      </c>
      <c r="B262" s="17" t="n">
        <v>2020</v>
      </c>
      <c r="C262" s="17" t="n">
        <v>5</v>
      </c>
      <c r="D262" s="18" t="n">
        <v>0.771</v>
      </c>
      <c r="E262" s="18" t="n">
        <v>0.486</v>
      </c>
      <c r="F262" s="18">
        <f>IF(D262="","",D262*'参数与说明'!$B$6/0.68)</f>
        <v/>
      </c>
      <c r="G262" s="19">
        <f>IFERROR(IF(D262="","",D262/INDEX($D:$D,MATCH(EDATE($A262,-1),$A:$A,0))-1),"")</f>
        <v/>
      </c>
      <c r="H262" s="19">
        <f>IFERROR(IF(D262="","",D262/INDEX($D:$D,MATCH(EDATE($A262,-12),$A:$A,0))-1),"")</f>
        <v/>
      </c>
    </row>
    <row r="263">
      <c r="A263" s="12" t="n">
        <v>43983</v>
      </c>
      <c r="B263" s="13" t="n">
        <v>2020</v>
      </c>
      <c r="C263" s="13" t="n">
        <v>6</v>
      </c>
      <c r="D263" s="14" t="n">
        <v>0.715</v>
      </c>
      <c r="E263" s="14" t="n">
        <v>0.42</v>
      </c>
      <c r="F263" s="14">
        <f>IF(D263="","",D263*'参数与说明'!$B$6/0.68)</f>
        <v/>
      </c>
      <c r="G263" s="15">
        <f>IFERROR(IF(D263="","",D263/INDEX($D:$D,MATCH(EDATE($A263,-1),$A:$A,0))-1),"")</f>
        <v/>
      </c>
      <c r="H263" s="15">
        <f>IFERROR(IF(D263="","",D263/INDEX($D:$D,MATCH(EDATE($A263,-12),$A:$A,0))-1),"")</f>
        <v/>
      </c>
    </row>
    <row r="264">
      <c r="A264" s="16" t="n">
        <v>44013</v>
      </c>
      <c r="B264" s="17" t="n">
        <v>2020</v>
      </c>
      <c r="C264" s="17" t="n">
        <v>7</v>
      </c>
      <c r="D264" s="18" t="n">
        <v>0.756</v>
      </c>
      <c r="E264" s="18" t="n">
        <v>0.473</v>
      </c>
      <c r="F264" s="18">
        <f>IF(D264="","",D264*'参数与说明'!$B$6/0.68)</f>
        <v/>
      </c>
      <c r="G264" s="19">
        <f>IFERROR(IF(D264="","",D264/INDEX($D:$D,MATCH(EDATE($A264,-1),$A:$A,0))-1),"")</f>
        <v/>
      </c>
      <c r="H264" s="19">
        <f>IFERROR(IF(D264="","",D264/INDEX($D:$D,MATCH(EDATE($A264,-12),$A:$A,0))-1),"")</f>
        <v/>
      </c>
    </row>
    <row r="265">
      <c r="A265" s="12" t="n">
        <v>44044</v>
      </c>
      <c r="B265" s="13" t="n">
        <v>2020</v>
      </c>
      <c r="C265" s="13" t="n">
        <v>8</v>
      </c>
      <c r="D265" s="14" t="n">
        <v>0.77</v>
      </c>
      <c r="E265" s="14" t="n">
        <v>0.49</v>
      </c>
      <c r="F265" s="14">
        <f>IF(D265="","",D265*'参数与说明'!$B$6/0.68)</f>
        <v/>
      </c>
      <c r="G265" s="15">
        <f>IFERROR(IF(D265="","",D265/INDEX($D:$D,MATCH(EDATE($A265,-1),$A:$A,0))-1),"")</f>
        <v/>
      </c>
      <c r="H265" s="15">
        <f>IFERROR(IF(D265="","",D265/INDEX($D:$D,MATCH(EDATE($A265,-12),$A:$A,0))-1),"")</f>
        <v/>
      </c>
    </row>
    <row r="266">
      <c r="A266" s="16" t="n">
        <v>44075</v>
      </c>
      <c r="B266" s="17" t="n">
        <v>2020</v>
      </c>
      <c r="C266" s="17" t="n">
        <v>9</v>
      </c>
      <c r="D266" s="18" t="n">
        <v>0.829</v>
      </c>
      <c r="E266" s="18" t="n">
        <v>0.555</v>
      </c>
      <c r="F266" s="18">
        <f>IF(D266="","",D266*'参数与说明'!$B$6/0.68)</f>
        <v/>
      </c>
      <c r="G266" s="19">
        <f>IFERROR(IF(D266="","",D266/INDEX($D:$D,MATCH(EDATE($A266,-1),$A:$A,0))-1),"")</f>
        <v/>
      </c>
      <c r="H266" s="19">
        <f>IFERROR(IF(D266="","",D266/INDEX($D:$D,MATCH(EDATE($A266,-12),$A:$A,0))-1),"")</f>
        <v/>
      </c>
    </row>
    <row r="267">
      <c r="A267" s="12" t="n">
        <v>44105</v>
      </c>
      <c r="B267" s="13" t="n">
        <v>2020</v>
      </c>
      <c r="C267" s="13" t="n">
        <v>10</v>
      </c>
      <c r="D267" s="14" t="n">
        <v>0.994</v>
      </c>
      <c r="E267" s="14" t="n">
        <v>0.75</v>
      </c>
      <c r="F267" s="14">
        <f>IF(D267="","",D267*'参数与说明'!$B$6/0.68)</f>
        <v/>
      </c>
      <c r="G267" s="15">
        <f>IFERROR(IF(D267="","",D267/INDEX($D:$D,MATCH(EDATE($A267,-1),$A:$A,0))-1),"")</f>
        <v/>
      </c>
      <c r="H267" s="15">
        <f>IFERROR(IF(D267="","",D267/INDEX($D:$D,MATCH(EDATE($A267,-12),$A:$A,0))-1),"")</f>
        <v/>
      </c>
    </row>
    <row r="268">
      <c r="A268" s="16" t="n">
        <v>44136</v>
      </c>
      <c r="B268" s="17" t="n">
        <v>2020</v>
      </c>
      <c r="C268" s="17" t="n">
        <v>11</v>
      </c>
      <c r="D268" s="18" t="n">
        <v>0.966</v>
      </c>
      <c r="E268" s="18" t="n">
        <v>0.725</v>
      </c>
      <c r="F268" s="18">
        <f>IF(D268="","",D268*'参数与说明'!$B$6/0.68)</f>
        <v/>
      </c>
      <c r="G268" s="19">
        <f>IFERROR(IF(D268="","",D268/INDEX($D:$D,MATCH(EDATE($A268,-1),$A:$A,0))-1),"")</f>
        <v/>
      </c>
      <c r="H268" s="19">
        <f>IFERROR(IF(D268="","",D268/INDEX($D:$D,MATCH(EDATE($A268,-12),$A:$A,0))-1),"")</f>
        <v/>
      </c>
    </row>
    <row r="269">
      <c r="A269" s="12" t="n">
        <v>44166</v>
      </c>
      <c r="B269" s="13" t="n">
        <v>2020</v>
      </c>
      <c r="C269" s="13" t="n">
        <v>12</v>
      </c>
      <c r="D269" s="14" t="n">
        <v>0.73</v>
      </c>
      <c r="E269" s="14" t="n">
        <v>0.452</v>
      </c>
      <c r="F269" s="14">
        <f>IF(D269="","",D269*'参数与说明'!$B$6/0.68)</f>
        <v/>
      </c>
      <c r="G269" s="15">
        <f>IFERROR(IF(D269="","",D269/INDEX($D:$D,MATCH(EDATE($A269,-1),$A:$A,0))-1),"")</f>
        <v/>
      </c>
      <c r="H269" s="15">
        <f>IFERROR(IF(D269="","",D269/INDEX($D:$D,MATCH(EDATE($A269,-12),$A:$A,0))-1),"")</f>
        <v/>
      </c>
    </row>
    <row r="270">
      <c r="A270" s="16" t="n">
        <v>44197</v>
      </c>
      <c r="B270" s="17" t="n">
        <v>2021</v>
      </c>
      <c r="C270" s="17" t="n">
        <v>1</v>
      </c>
      <c r="D270" s="18" t="n">
        <v>0.931</v>
      </c>
      <c r="E270" s="18" t="n">
        <v>0.669</v>
      </c>
      <c r="F270" s="18">
        <f>IF(D270="","",D270*'参数与说明'!$B$6/0.68)</f>
        <v/>
      </c>
      <c r="G270" s="19">
        <f>IFERROR(IF(D270="","",D270/INDEX($D:$D,MATCH(EDATE($A270,-1),$A:$A,0))-1),"")</f>
        <v/>
      </c>
      <c r="H270" s="19">
        <f>IFERROR(IF(D270="","",D270/INDEX($D:$D,MATCH(EDATE($A270,-12),$A:$A,0))-1),"")</f>
        <v/>
      </c>
    </row>
    <row r="271">
      <c r="A271" s="12" t="n">
        <v>44228</v>
      </c>
      <c r="B271" s="13" t="n">
        <v>2021</v>
      </c>
      <c r="C271" s="13" t="n">
        <v>2</v>
      </c>
      <c r="D271" s="14" t="n">
        <v>0.989</v>
      </c>
      <c r="E271" s="14" t="n">
        <v>0.735</v>
      </c>
      <c r="F271" s="14">
        <f>IF(D271="","",D271*'参数与说明'!$B$6/0.68)</f>
        <v/>
      </c>
      <c r="G271" s="15">
        <f>IFERROR(IF(D271="","",D271/INDEX($D:$D,MATCH(EDATE($A271,-1),$A:$A,0))-1),"")</f>
        <v/>
      </c>
      <c r="H271" s="15">
        <f>IFERROR(IF(D271="","",D271/INDEX($D:$D,MATCH(EDATE($A271,-12),$A:$A,0))-1),"")</f>
        <v/>
      </c>
    </row>
    <row r="272">
      <c r="A272" s="16" t="n">
        <v>44256</v>
      </c>
      <c r="B272" s="17" t="n">
        <v>2021</v>
      </c>
      <c r="C272" s="17" t="n">
        <v>3</v>
      </c>
      <c r="D272" s="18" t="n">
        <v>1.14</v>
      </c>
      <c r="E272" s="18" t="n">
        <v>0.907</v>
      </c>
      <c r="F272" s="18">
        <f>IF(D272="","",D272*'参数与说明'!$B$6/0.68)</f>
        <v/>
      </c>
      <c r="G272" s="19">
        <f>IFERROR(IF(D272="","",D272/INDEX($D:$D,MATCH(EDATE($A272,-1),$A:$A,0))-1),"")</f>
        <v/>
      </c>
      <c r="H272" s="19">
        <f>IFERROR(IF(D272="","",D272/INDEX($D:$D,MATCH(EDATE($A272,-12),$A:$A,0))-1),"")</f>
        <v/>
      </c>
    </row>
    <row r="273">
      <c r="A273" s="12" t="n">
        <v>44287</v>
      </c>
      <c r="B273" s="13" t="n">
        <v>2021</v>
      </c>
      <c r="C273" s="13" t="n">
        <v>4</v>
      </c>
      <c r="D273" s="14" t="n">
        <v>0.853</v>
      </c>
      <c r="E273" s="14" t="n">
        <v>0.5679999999999999</v>
      </c>
      <c r="F273" s="14">
        <f>IF(D273="","",D273*'参数与说明'!$B$6/0.68)</f>
        <v/>
      </c>
      <c r="G273" s="15">
        <f>IFERROR(IF(D273="","",D273/INDEX($D:$D,MATCH(EDATE($A273,-1),$A:$A,0))-1),"")</f>
        <v/>
      </c>
      <c r="H273" s="15">
        <f>IFERROR(IF(D273="","",D273/INDEX($D:$D,MATCH(EDATE($A273,-12),$A:$A,0))-1),"")</f>
        <v/>
      </c>
    </row>
    <row r="274">
      <c r="A274" s="16" t="n">
        <v>44317</v>
      </c>
      <c r="B274" s="17" t="n">
        <v>2021</v>
      </c>
      <c r="C274" s="17" t="n">
        <v>5</v>
      </c>
      <c r="D274" s="18" t="n">
        <v>0.824</v>
      </c>
      <c r="E274" s="18" t="n">
        <v>0.527</v>
      </c>
      <c r="F274" s="18">
        <f>IF(D274="","",D274*'参数与说明'!$B$6/0.68)</f>
        <v/>
      </c>
      <c r="G274" s="19">
        <f>IFERROR(IF(D274="","",D274/INDEX($D:$D,MATCH(EDATE($A274,-1),$A:$A,0))-1),"")</f>
        <v/>
      </c>
      <c r="H274" s="19">
        <f>IFERROR(IF(D274="","",D274/INDEX($D:$D,MATCH(EDATE($A274,-12),$A:$A,0))-1),"")</f>
        <v/>
      </c>
    </row>
    <row r="275">
      <c r="A275" s="12" t="n">
        <v>44348</v>
      </c>
      <c r="B275" s="13" t="n">
        <v>2021</v>
      </c>
      <c r="C275" s="13" t="n">
        <v>6</v>
      </c>
      <c r="D275" s="14" t="n">
        <v>0.803</v>
      </c>
      <c r="E275" s="14" t="n">
        <v>0.503</v>
      </c>
      <c r="F275" s="14">
        <f>IF(D275="","",D275*'参数与说明'!$B$6/0.68)</f>
        <v/>
      </c>
      <c r="G275" s="15">
        <f>IFERROR(IF(D275="","",D275/INDEX($D:$D,MATCH(EDATE($A275,-1),$A:$A,0))-1),"")</f>
        <v/>
      </c>
      <c r="H275" s="15">
        <f>IFERROR(IF(D275="","",D275/INDEX($D:$D,MATCH(EDATE($A275,-12),$A:$A,0))-1),"")</f>
        <v/>
      </c>
    </row>
    <row r="276">
      <c r="A276" s="16" t="n">
        <v>44378</v>
      </c>
      <c r="B276" s="17" t="n">
        <v>2021</v>
      </c>
      <c r="C276" s="17" t="n">
        <v>7</v>
      </c>
      <c r="D276" s="18" t="n">
        <v>0.861</v>
      </c>
      <c r="E276" s="18" t="n">
        <v>0.578</v>
      </c>
      <c r="F276" s="18">
        <f>IF(D276="","",D276*'参数与说明'!$B$6/0.68)</f>
        <v/>
      </c>
      <c r="G276" s="19">
        <f>IFERROR(IF(D276="","",D276/INDEX($D:$D,MATCH(EDATE($A276,-1),$A:$A,0))-1),"")</f>
        <v/>
      </c>
      <c r="H276" s="19">
        <f>IFERROR(IF(D276="","",D276/INDEX($D:$D,MATCH(EDATE($A276,-12),$A:$A,0))-1),"")</f>
        <v/>
      </c>
    </row>
    <row r="277">
      <c r="A277" s="12" t="n">
        <v>44409</v>
      </c>
      <c r="B277" s="13" t="n">
        <v>2021</v>
      </c>
      <c r="C277" s="13" t="n">
        <v>8</v>
      </c>
      <c r="D277" s="14" t="n">
        <v>1.07</v>
      </c>
      <c r="E277" s="14" t="n">
        <v>0.824</v>
      </c>
      <c r="F277" s="14">
        <f>IF(D277="","",D277*'参数与说明'!$B$6/0.68)</f>
        <v/>
      </c>
      <c r="G277" s="15">
        <f>IFERROR(IF(D277="","",D277/INDEX($D:$D,MATCH(EDATE($A277,-1),$A:$A,0))-1),"")</f>
        <v/>
      </c>
      <c r="H277" s="15">
        <f>IFERROR(IF(D277="","",D277/INDEX($D:$D,MATCH(EDATE($A277,-12),$A:$A,0))-1),"")</f>
        <v/>
      </c>
    </row>
    <row r="278">
      <c r="A278" s="16" t="n">
        <v>44440</v>
      </c>
      <c r="B278" s="17" t="n">
        <v>2021</v>
      </c>
      <c r="C278" s="17" t="n">
        <v>9</v>
      </c>
      <c r="D278" s="18" t="n">
        <v>1.03</v>
      </c>
      <c r="E278" s="18" t="n">
        <v>0.77</v>
      </c>
      <c r="F278" s="18">
        <f>IF(D278="","",D278*'参数与说明'!$B$6/0.68)</f>
        <v/>
      </c>
      <c r="G278" s="19">
        <f>IFERROR(IF(D278="","",D278/INDEX($D:$D,MATCH(EDATE($A278,-1),$A:$A,0))-1),"")</f>
        <v/>
      </c>
      <c r="H278" s="19">
        <f>IFERROR(IF(D278="","",D278/INDEX($D:$D,MATCH(EDATE($A278,-12),$A:$A,0))-1),"")</f>
        <v/>
      </c>
    </row>
    <row r="279">
      <c r="A279" s="12" t="n">
        <v>44470</v>
      </c>
      <c r="B279" s="13" t="n">
        <v>2021</v>
      </c>
      <c r="C279" s="13" t="n">
        <v>10</v>
      </c>
      <c r="D279" s="14" t="n">
        <v>0.895</v>
      </c>
      <c r="E279" s="14" t="n">
        <v>0.623</v>
      </c>
      <c r="F279" s="14">
        <f>IF(D279="","",D279*'参数与说明'!$B$6/0.68)</f>
        <v/>
      </c>
      <c r="G279" s="15">
        <f>IFERROR(IF(D279="","",D279/INDEX($D:$D,MATCH(EDATE($A279,-1),$A:$A,0))-1),"")</f>
        <v/>
      </c>
      <c r="H279" s="15">
        <f>IFERROR(IF(D279="","",D279/INDEX($D:$D,MATCH(EDATE($A279,-12),$A:$A,0))-1),"")</f>
        <v/>
      </c>
    </row>
    <row r="280">
      <c r="A280" s="16" t="n">
        <v>44501</v>
      </c>
      <c r="B280" s="17" t="n">
        <v>2021</v>
      </c>
      <c r="C280" s="17" t="n">
        <v>11</v>
      </c>
      <c r="D280" s="18" t="n">
        <v>1.09</v>
      </c>
      <c r="E280" s="18" t="n">
        <v>0.845</v>
      </c>
      <c r="F280" s="18">
        <f>IF(D280="","",D280*'参数与说明'!$B$6/0.68)</f>
        <v/>
      </c>
      <c r="G280" s="19">
        <f>IFERROR(IF(D280="","",D280/INDEX($D:$D,MATCH(EDATE($A280,-1),$A:$A,0))-1),"")</f>
        <v/>
      </c>
      <c r="H280" s="19">
        <f>IFERROR(IF(D280="","",D280/INDEX($D:$D,MATCH(EDATE($A280,-12),$A:$A,0))-1),"")</f>
        <v/>
      </c>
    </row>
    <row r="281">
      <c r="A281" s="12" t="n">
        <v>44531</v>
      </c>
      <c r="B281" s="13" t="n">
        <v>2021</v>
      </c>
      <c r="C281" s="13" t="n">
        <v>12</v>
      </c>
      <c r="D281" s="14" t="n">
        <v>1.36</v>
      </c>
      <c r="E281" s="14" t="n">
        <v>1.16</v>
      </c>
      <c r="F281" s="14">
        <f>IF(D281="","",D281*'参数与说明'!$B$6/0.68)</f>
        <v/>
      </c>
      <c r="G281" s="15">
        <f>IFERROR(IF(D281="","",D281/INDEX($D:$D,MATCH(EDATE($A281,-1),$A:$A,0))-1),"")</f>
        <v/>
      </c>
      <c r="H281" s="15">
        <f>IFERROR(IF(D281="","",D281/INDEX($D:$D,MATCH(EDATE($A281,-12),$A:$A,0))-1),"")</f>
        <v/>
      </c>
    </row>
    <row r="282">
      <c r="A282" s="16" t="n">
        <v>44562</v>
      </c>
      <c r="B282" s="17" t="n">
        <v>2022</v>
      </c>
      <c r="C282" s="17" t="n">
        <v>1</v>
      </c>
      <c r="D282" s="18" t="n">
        <v>1.47</v>
      </c>
      <c r="E282" s="18" t="n">
        <v>1.26</v>
      </c>
      <c r="F282" s="18">
        <f>IF(D282="","",D282*'参数与说明'!$B$6/0.68)</f>
        <v/>
      </c>
      <c r="G282" s="19">
        <f>IFERROR(IF(D282="","",D282/INDEX($D:$D,MATCH(EDATE($A282,-1),$A:$A,0))-1),"")</f>
        <v/>
      </c>
      <c r="H282" s="19">
        <f>IFERROR(IF(D282="","",D282/INDEX($D:$D,MATCH(EDATE($A282,-12),$A:$A,0))-1),"")</f>
        <v/>
      </c>
    </row>
    <row r="283">
      <c r="A283" s="12" t="n">
        <v>44593</v>
      </c>
      <c r="B283" s="13" t="n">
        <v>2022</v>
      </c>
      <c r="C283" s="13" t="n">
        <v>2</v>
      </c>
      <c r="D283" s="14" t="n">
        <v>1.43</v>
      </c>
      <c r="E283" s="14" t="n">
        <v>1.21</v>
      </c>
      <c r="F283" s="14">
        <f>IF(D283="","",D283*'参数与说明'!$B$6/0.68)</f>
        <v/>
      </c>
      <c r="G283" s="15">
        <f>IFERROR(IF(D283="","",D283/INDEX($D:$D,MATCH(EDATE($A283,-1),$A:$A,0))-1),"")</f>
        <v/>
      </c>
      <c r="H283" s="15">
        <f>IFERROR(IF(D283="","",D283/INDEX($D:$D,MATCH(EDATE($A283,-12),$A:$A,0))-1),"")</f>
        <v/>
      </c>
    </row>
    <row r="284">
      <c r="A284" s="16" t="n">
        <v>44621</v>
      </c>
      <c r="B284" s="17" t="n">
        <v>2022</v>
      </c>
      <c r="C284" s="17" t="n">
        <v>3</v>
      </c>
      <c r="D284" s="18" t="n">
        <v>1.59</v>
      </c>
      <c r="E284" s="18" t="n">
        <v>1.4</v>
      </c>
      <c r="F284" s="18">
        <f>IF(D284="","",D284*'参数与说明'!$B$6/0.68)</f>
        <v/>
      </c>
      <c r="G284" s="19">
        <f>IFERROR(IF(D284="","",D284/INDEX($D:$D,MATCH(EDATE($A284,-1),$A:$A,0))-1),"")</f>
        <v/>
      </c>
      <c r="H284" s="19">
        <f>IFERROR(IF(D284="","",D284/INDEX($D:$D,MATCH(EDATE($A284,-12),$A:$A,0))-1),"")</f>
        <v/>
      </c>
    </row>
    <row r="285">
      <c r="A285" s="12" t="n">
        <v>44652</v>
      </c>
      <c r="B285" s="13" t="n">
        <v>2022</v>
      </c>
      <c r="C285" s="13" t="n">
        <v>4</v>
      </c>
      <c r="D285" s="14" t="n">
        <v>2.3</v>
      </c>
      <c r="E285" s="14" t="n">
        <v>2.21</v>
      </c>
      <c r="F285" s="14">
        <f>IF(D285="","",D285*'参数与说明'!$B$6/0.68)</f>
        <v/>
      </c>
      <c r="G285" s="15">
        <f>IFERROR(IF(D285="","",D285/INDEX($D:$D,MATCH(EDATE($A285,-1),$A:$A,0))-1),"")</f>
        <v/>
      </c>
      <c r="H285" s="15">
        <f>IFERROR(IF(D285="","",D285/INDEX($D:$D,MATCH(EDATE($A285,-12),$A:$A,0))-1),"")</f>
        <v/>
      </c>
    </row>
    <row r="286">
      <c r="A286" s="16" t="n">
        <v>44682</v>
      </c>
      <c r="B286" s="17" t="n">
        <v>2022</v>
      </c>
      <c r="C286" s="17" t="n">
        <v>5</v>
      </c>
      <c r="D286" s="18" t="n">
        <v>2.01</v>
      </c>
      <c r="E286" s="18" t="n">
        <v>1.88</v>
      </c>
      <c r="F286" s="18">
        <f>IF(D286="","",D286*'参数与说明'!$B$6/0.68)</f>
        <v/>
      </c>
      <c r="G286" s="19">
        <f>IFERROR(IF(D286="","",D286/INDEX($D:$D,MATCH(EDATE($A286,-1),$A:$A,0))-1),"")</f>
        <v/>
      </c>
      <c r="H286" s="19">
        <f>IFERROR(IF(D286="","",D286/INDEX($D:$D,MATCH(EDATE($A286,-12),$A:$A,0))-1),"")</f>
        <v/>
      </c>
    </row>
    <row r="287">
      <c r="A287" s="12" t="n">
        <v>44713</v>
      </c>
      <c r="B287" s="13" t="n">
        <v>2022</v>
      </c>
      <c r="C287" s="13" t="n">
        <v>6</v>
      </c>
      <c r="D287" s="14" t="n">
        <v>2.03</v>
      </c>
      <c r="E287" s="14" t="n">
        <v>1.9</v>
      </c>
      <c r="F287" s="14">
        <f>IF(D287="","",D287*'参数与说明'!$B$6/0.68)</f>
        <v/>
      </c>
      <c r="G287" s="15">
        <f>IFERROR(IF(D287="","",D287/INDEX($D:$D,MATCH(EDATE($A287,-1),$A:$A,0))-1),"")</f>
        <v/>
      </c>
      <c r="H287" s="15">
        <f>IFERROR(IF(D287="","",D287/INDEX($D:$D,MATCH(EDATE($A287,-12),$A:$A,0))-1),"")</f>
        <v/>
      </c>
    </row>
    <row r="288">
      <c r="A288" s="16" t="n">
        <v>44743</v>
      </c>
      <c r="B288" s="17" t="n">
        <v>2022</v>
      </c>
      <c r="C288" s="17" t="n">
        <v>7</v>
      </c>
      <c r="D288" s="18" t="n">
        <v>2.64</v>
      </c>
      <c r="E288" s="18" t="n">
        <v>2.61</v>
      </c>
      <c r="F288" s="18">
        <f>IF(D288="","",D288*'参数与说明'!$B$6/0.68)</f>
        <v/>
      </c>
      <c r="G288" s="19">
        <f>IFERROR(IF(D288="","",D288/INDEX($D:$D,MATCH(EDATE($A288,-1),$A:$A,0))-1),"")</f>
        <v/>
      </c>
      <c r="H288" s="19">
        <f>IFERROR(IF(D288="","",D288/INDEX($D:$D,MATCH(EDATE($A288,-12),$A:$A,0))-1),"")</f>
        <v/>
      </c>
    </row>
    <row r="289">
      <c r="A289" s="12" t="n">
        <v>44774</v>
      </c>
      <c r="B289" s="13" t="n">
        <v>2022</v>
      </c>
      <c r="C289" s="13" t="n">
        <v>8</v>
      </c>
      <c r="D289" s="14" t="n">
        <v>1.94</v>
      </c>
      <c r="E289" s="14" t="n">
        <v>1.8</v>
      </c>
      <c r="F289" s="14">
        <f>IF(D289="","",D289*'参数与说明'!$B$6/0.68)</f>
        <v/>
      </c>
      <c r="G289" s="15">
        <f>IFERROR(IF(D289="","",D289/INDEX($D:$D,MATCH(EDATE($A289,-1),$A:$A,0))-1),"")</f>
        <v/>
      </c>
      <c r="H289" s="15">
        <f>IFERROR(IF(D289="","",D289/INDEX($D:$D,MATCH(EDATE($A289,-12),$A:$A,0))-1),"")</f>
        <v/>
      </c>
    </row>
    <row r="290">
      <c r="A290" s="16" t="n">
        <v>44805</v>
      </c>
      <c r="B290" s="17" t="n">
        <v>2022</v>
      </c>
      <c r="C290" s="17" t="n">
        <v>9</v>
      </c>
      <c r="D290" s="18" t="n">
        <v>2.65</v>
      </c>
      <c r="E290" s="18" t="n">
        <v>2.62</v>
      </c>
      <c r="F290" s="18">
        <f>IF(D290="","",D290*'参数与说明'!$B$6/0.68)</f>
        <v/>
      </c>
      <c r="G290" s="19">
        <f>IFERROR(IF(D290="","",D290/INDEX($D:$D,MATCH(EDATE($A290,-1),$A:$A,0))-1),"")</f>
        <v/>
      </c>
      <c r="H290" s="19">
        <f>IFERROR(IF(D290="","",D290/INDEX($D:$D,MATCH(EDATE($A290,-12),$A:$A,0))-1),"")</f>
        <v/>
      </c>
    </row>
    <row r="291">
      <c r="A291" s="12" t="n">
        <v>44835</v>
      </c>
      <c r="B291" s="13" t="n">
        <v>2022</v>
      </c>
      <c r="C291" s="13" t="n">
        <v>10</v>
      </c>
      <c r="D291" s="14" t="n">
        <v>2.82</v>
      </c>
      <c r="E291" s="14" t="n">
        <v>2.82</v>
      </c>
      <c r="F291" s="14">
        <f>IF(D291="","",D291*'参数与说明'!$B$6/0.68)</f>
        <v/>
      </c>
      <c r="G291" s="15">
        <f>IFERROR(IF(D291="","",D291/INDEX($D:$D,MATCH(EDATE($A291,-1),$A:$A,0))-1),"")</f>
        <v/>
      </c>
      <c r="H291" s="15">
        <f>IFERROR(IF(D291="","",D291/INDEX($D:$D,MATCH(EDATE($A291,-12),$A:$A,0))-1),"")</f>
        <v/>
      </c>
    </row>
    <row r="292">
      <c r="A292" s="16" t="n">
        <v>44866</v>
      </c>
      <c r="B292" s="17" t="n">
        <v>2022</v>
      </c>
      <c r="C292" s="17" t="n">
        <v>11</v>
      </c>
      <c r="D292" s="18" t="n">
        <v>3.34</v>
      </c>
      <c r="E292" s="18" t="n">
        <v>3.43</v>
      </c>
      <c r="F292" s="18">
        <f>IF(D292="","",D292*'参数与说明'!$B$6/0.68)</f>
        <v/>
      </c>
      <c r="G292" s="19">
        <f>IFERROR(IF(D292="","",D292/INDEX($D:$D,MATCH(EDATE($A292,-1),$A:$A,0))-1),"")</f>
        <v/>
      </c>
      <c r="H292" s="19">
        <f>IFERROR(IF(D292="","",D292/INDEX($D:$D,MATCH(EDATE($A292,-12),$A:$A,0))-1),"")</f>
        <v/>
      </c>
    </row>
    <row r="293">
      <c r="A293" s="12" t="n">
        <v>44896</v>
      </c>
      <c r="B293" s="13" t="n">
        <v>2022</v>
      </c>
      <c r="C293" s="13" t="n">
        <v>12</v>
      </c>
      <c r="D293" s="14" t="n">
        <v>4.49</v>
      </c>
      <c r="E293" s="14" t="n">
        <v>4.77</v>
      </c>
      <c r="F293" s="14">
        <f>IF(D293="","",D293*'参数与说明'!$B$6/0.68)</f>
        <v/>
      </c>
      <c r="G293" s="15">
        <f>IFERROR(IF(D293="","",D293/INDEX($D:$D,MATCH(EDATE($A293,-1),$A:$A,0))-1),"")</f>
        <v/>
      </c>
      <c r="H293" s="15">
        <f>IFERROR(IF(D293="","",D293/INDEX($D:$D,MATCH(EDATE($A293,-12),$A:$A,0))-1),"")</f>
        <v/>
      </c>
    </row>
    <row r="294">
      <c r="A294" s="16" t="n">
        <v>44927</v>
      </c>
      <c r="B294" s="17" t="n">
        <v>2023</v>
      </c>
      <c r="C294" s="17" t="n">
        <v>1</v>
      </c>
      <c r="D294" s="18" t="n">
        <v>3</v>
      </c>
      <c r="E294" s="18" t="n">
        <v>2.92</v>
      </c>
      <c r="F294" s="18">
        <f>IF(D294="","",D294*'参数与说明'!$B$6/0.68)</f>
        <v/>
      </c>
      <c r="G294" s="19">
        <f>IFERROR(IF(D294="","",D294/INDEX($D:$D,MATCH(EDATE($A294,-1),$A:$A,0))-1),"")</f>
        <v/>
      </c>
      <c r="H294" s="19">
        <f>IFERROR(IF(D294="","",D294/INDEX($D:$D,MATCH(EDATE($A294,-12),$A:$A,0))-1),"")</f>
        <v/>
      </c>
    </row>
    <row r="295">
      <c r="A295" s="12" t="n">
        <v>44958</v>
      </c>
      <c r="B295" s="13" t="n">
        <v>2023</v>
      </c>
      <c r="C295" s="13" t="n">
        <v>2</v>
      </c>
      <c r="D295" s="14" t="n">
        <v>2.61</v>
      </c>
      <c r="E295" s="14" t="n">
        <v>2.46</v>
      </c>
      <c r="F295" s="14">
        <f>IF(D295="","",D295*'参数与说明'!$B$6/0.68)</f>
        <v/>
      </c>
      <c r="G295" s="15">
        <f>IFERROR(IF(D295="","",D295/INDEX($D:$D,MATCH(EDATE($A295,-1),$A:$A,0))-1),"")</f>
        <v/>
      </c>
      <c r="H295" s="15">
        <f>IFERROR(IF(D295="","",D295/INDEX($D:$D,MATCH(EDATE($A295,-12),$A:$A,0))-1),"")</f>
        <v/>
      </c>
    </row>
    <row r="296">
      <c r="A296" s="16" t="n">
        <v>44986</v>
      </c>
      <c r="B296" s="17" t="n">
        <v>2023</v>
      </c>
      <c r="C296" s="17" t="n">
        <v>3</v>
      </c>
      <c r="D296" s="18" t="n">
        <v>2.79</v>
      </c>
      <c r="E296" s="18" t="n">
        <v>2.68</v>
      </c>
      <c r="F296" s="18">
        <f>IF(D296="","",D296*'参数与说明'!$B$6/0.68)</f>
        <v/>
      </c>
      <c r="G296" s="19">
        <f>IFERROR(IF(D296="","",D296/INDEX($D:$D,MATCH(EDATE($A296,-1),$A:$A,0))-1),"")</f>
        <v/>
      </c>
      <c r="H296" s="19">
        <f>IFERROR(IF(D296="","",D296/INDEX($D:$D,MATCH(EDATE($A296,-12),$A:$A,0))-1),"")</f>
        <v/>
      </c>
    </row>
    <row r="297">
      <c r="A297" s="12" t="n">
        <v>45017</v>
      </c>
      <c r="B297" s="13" t="n">
        <v>2023</v>
      </c>
      <c r="C297" s="13" t="n">
        <v>4</v>
      </c>
      <c r="D297" s="14" t="n">
        <v>1.57</v>
      </c>
      <c r="E297" s="14" t="n">
        <v>1.25</v>
      </c>
      <c r="F297" s="14">
        <f>IF(D297="","",D297*'参数与说明'!$B$6/0.68)</f>
        <v/>
      </c>
      <c r="G297" s="15">
        <f>IFERROR(IF(D297="","",D297/INDEX($D:$D,MATCH(EDATE($A297,-1),$A:$A,0))-1),"")</f>
        <v/>
      </c>
      <c r="H297" s="15">
        <f>IFERROR(IF(D297="","",D297/INDEX($D:$D,MATCH(EDATE($A297,-12),$A:$A,0))-1),"")</f>
        <v/>
      </c>
    </row>
    <row r="298">
      <c r="A298" s="16" t="n">
        <v>45047</v>
      </c>
      <c r="B298" s="17" t="n">
        <v>2023</v>
      </c>
      <c r="C298" s="17" t="n">
        <v>5</v>
      </c>
      <c r="D298" s="18" t="n">
        <v>1.08</v>
      </c>
      <c r="E298" s="18" t="n">
        <v>0.743</v>
      </c>
      <c r="F298" s="18">
        <f>IF(D298="","",D298*'参数与说明'!$B$6/0.68)</f>
        <v/>
      </c>
      <c r="G298" s="19">
        <f>IFERROR(IF(D298="","",D298/INDEX($D:$D,MATCH(EDATE($A298,-1),$A:$A,0))-1),"")</f>
        <v/>
      </c>
      <c r="H298" s="19">
        <f>IFERROR(IF(D298="","",D298/INDEX($D:$D,MATCH(EDATE($A298,-12),$A:$A,0))-1),"")</f>
        <v/>
      </c>
    </row>
    <row r="299">
      <c r="A299" s="12" t="n">
        <v>45078</v>
      </c>
      <c r="B299" s="13" t="n">
        <v>2023</v>
      </c>
      <c r="C299" s="13" t="n">
        <v>6</v>
      </c>
      <c r="D299" s="14" t="n">
        <v>1.27</v>
      </c>
      <c r="E299" s="14" t="n">
        <v>0.973</v>
      </c>
      <c r="F299" s="14">
        <f>IF(D299="","",D299*'参数与说明'!$B$6/0.68)</f>
        <v/>
      </c>
      <c r="G299" s="15">
        <f>IFERROR(IF(D299="","",D299/INDEX($D:$D,MATCH(EDATE($A299,-1),$A:$A,0))-1),"")</f>
        <v/>
      </c>
      <c r="H299" s="15">
        <f>IFERROR(IF(D299="","",D299/INDEX($D:$D,MATCH(EDATE($A299,-12),$A:$A,0))-1),"")</f>
        <v/>
      </c>
    </row>
    <row r="300">
      <c r="A300" s="16" t="n">
        <v>45108</v>
      </c>
      <c r="B300" s="17" t="n">
        <v>2023</v>
      </c>
      <c r="C300" s="17" t="n">
        <v>7</v>
      </c>
      <c r="D300" s="18" t="n">
        <v>1.22</v>
      </c>
      <c r="E300" s="18" t="n">
        <v>0.95</v>
      </c>
      <c r="F300" s="18">
        <f>IF(D300="","",D300*'参数与说明'!$B$6/0.68)</f>
        <v/>
      </c>
      <c r="G300" s="19">
        <f>IFERROR(IF(D300="","",D300/INDEX($D:$D,MATCH(EDATE($A300,-1),$A:$A,0))-1),"")</f>
        <v/>
      </c>
      <c r="H300" s="19">
        <f>IFERROR(IF(D300="","",D300/INDEX($D:$D,MATCH(EDATE($A300,-12),$A:$A,0))-1),"")</f>
        <v/>
      </c>
    </row>
    <row r="301">
      <c r="A301" s="12" t="n">
        <v>45139</v>
      </c>
      <c r="B301" s="13" t="n">
        <v>2023</v>
      </c>
      <c r="C301" s="13" t="n">
        <v>8</v>
      </c>
      <c r="D301" s="14" t="n">
        <v>1.35</v>
      </c>
      <c r="E301" s="14" t="n">
        <v>1.1</v>
      </c>
      <c r="F301" s="14">
        <f>IF(D301="","",D301*'参数与说明'!$B$6/0.68)</f>
        <v/>
      </c>
      <c r="G301" s="15">
        <f>IFERROR(IF(D301="","",D301/INDEX($D:$D,MATCH(EDATE($A301,-1),$A:$A,0))-1),"")</f>
        <v/>
      </c>
      <c r="H301" s="15">
        <f>IFERROR(IF(D301="","",D301/INDEX($D:$D,MATCH(EDATE($A301,-12),$A:$A,0))-1),"")</f>
        <v/>
      </c>
    </row>
    <row r="302">
      <c r="A302" s="16" t="n">
        <v>45170</v>
      </c>
      <c r="B302" s="17" t="n">
        <v>2023</v>
      </c>
      <c r="C302" s="17" t="n">
        <v>9</v>
      </c>
      <c r="D302" s="18" t="n">
        <v>1.21</v>
      </c>
      <c r="E302" s="18" t="n">
        <v>0.945</v>
      </c>
      <c r="F302" s="18">
        <f>IF(D302="","",D302*'参数与说明'!$B$6/0.68)</f>
        <v/>
      </c>
      <c r="G302" s="19">
        <f>IFERROR(IF(D302="","",D302/INDEX($D:$D,MATCH(EDATE($A302,-1),$A:$A,0))-1),"")</f>
        <v/>
      </c>
      <c r="H302" s="19">
        <f>IFERROR(IF(D302="","",D302/INDEX($D:$D,MATCH(EDATE($A302,-12),$A:$A,0))-1),"")</f>
        <v/>
      </c>
    </row>
    <row r="303">
      <c r="A303" s="12" t="n">
        <v>45200</v>
      </c>
      <c r="B303" s="13" t="n">
        <v>2023</v>
      </c>
      <c r="C303" s="13" t="n">
        <v>10</v>
      </c>
      <c r="D303" s="14" t="n">
        <v>1.19</v>
      </c>
      <c r="E303" s="14" t="n">
        <v>0.927</v>
      </c>
      <c r="F303" s="14">
        <f>IF(D303="","",D303*'参数与说明'!$B$6/0.68)</f>
        <v/>
      </c>
      <c r="G303" s="15">
        <f>IFERROR(IF(D303="","",D303/INDEX($D:$D,MATCH(EDATE($A303,-1),$A:$A,0))-1),"")</f>
        <v/>
      </c>
      <c r="H303" s="15">
        <f>IFERROR(IF(D303="","",D303/INDEX($D:$D,MATCH(EDATE($A303,-12),$A:$A,0))-1),"")</f>
        <v/>
      </c>
    </row>
    <row r="304">
      <c r="A304" s="16" t="n">
        <v>45231</v>
      </c>
      <c r="B304" s="17" t="n">
        <v>2023</v>
      </c>
      <c r="C304" s="17" t="n">
        <v>11</v>
      </c>
      <c r="D304" s="18" t="n">
        <v>1.78</v>
      </c>
      <c r="E304" s="18" t="n">
        <v>1.61</v>
      </c>
      <c r="F304" s="18">
        <f>IF(D304="","",D304*'参数与说明'!$B$6/0.68)</f>
        <v/>
      </c>
      <c r="G304" s="19">
        <f>IFERROR(IF(D304="","",D304/INDEX($D:$D,MATCH(EDATE($A304,-1),$A:$A,0))-1),"")</f>
        <v/>
      </c>
      <c r="H304" s="19">
        <f>IFERROR(IF(D304="","",D304/INDEX($D:$D,MATCH(EDATE($A304,-12),$A:$A,0))-1),"")</f>
        <v/>
      </c>
    </row>
    <row r="305">
      <c r="A305" s="12" t="n">
        <v>45261</v>
      </c>
      <c r="B305" s="13" t="n">
        <v>2023</v>
      </c>
      <c r="C305" s="13" t="n">
        <v>12</v>
      </c>
      <c r="D305" s="14" t="n">
        <v>1.87</v>
      </c>
      <c r="E305" s="14" t="n">
        <v>1.71</v>
      </c>
      <c r="F305" s="14">
        <f>IF(D305="","",D305*'参数与说明'!$B$6/0.68)</f>
        <v/>
      </c>
      <c r="G305" s="15">
        <f>IFERROR(IF(D305="","",D305/INDEX($D:$D,MATCH(EDATE($A305,-1),$A:$A,0))-1),"")</f>
        <v/>
      </c>
      <c r="H305" s="15">
        <f>IFERROR(IF(D305="","",D305/INDEX($D:$D,MATCH(EDATE($A305,-12),$A:$A,0))-1),"")</f>
        <v/>
      </c>
    </row>
    <row r="306">
      <c r="A306" s="16" t="n">
        <v>45292</v>
      </c>
      <c r="B306" s="17" t="n">
        <v>2024</v>
      </c>
      <c r="C306" s="17" t="n">
        <v>1</v>
      </c>
      <c r="D306" s="18" t="n">
        <v>2.13</v>
      </c>
      <c r="E306" s="18" t="n">
        <v>2.01</v>
      </c>
      <c r="F306" s="18">
        <f>IF(D306="","",D306*'参数与说明'!$B$6/0.68)</f>
        <v/>
      </c>
      <c r="G306" s="19">
        <f>IFERROR(IF(D306="","",D306/INDEX($D:$D,MATCH(EDATE($A306,-1),$A:$A,0))-1),"")</f>
        <v/>
      </c>
      <c r="H306" s="19">
        <f>IFERROR(IF(D306="","",D306/INDEX($D:$D,MATCH(EDATE($A306,-12),$A:$A,0))-1),"")</f>
        <v/>
      </c>
    </row>
    <row r="307">
      <c r="A307" s="12" t="n">
        <v>45323</v>
      </c>
      <c r="B307" s="13" t="n">
        <v>2024</v>
      </c>
      <c r="C307" s="13" t="n">
        <v>2</v>
      </c>
      <c r="D307" s="14" t="n">
        <v>2.38</v>
      </c>
      <c r="E307" s="14" t="n">
        <v>2.3</v>
      </c>
      <c r="F307" s="14">
        <f>IF(D307="","",D307*'参数与说明'!$B$6/0.68)</f>
        <v/>
      </c>
      <c r="G307" s="15">
        <f>IFERROR(IF(D307="","",D307/INDEX($D:$D,MATCH(EDATE($A307,-1),$A:$A,0))-1),"")</f>
        <v/>
      </c>
      <c r="H307" s="15">
        <f>IFERROR(IF(D307="","",D307/INDEX($D:$D,MATCH(EDATE($A307,-12),$A:$A,0))-1),"")</f>
        <v/>
      </c>
    </row>
    <row r="308">
      <c r="A308" s="16" t="n">
        <v>45352</v>
      </c>
      <c r="B308" s="17" t="n">
        <v>2024</v>
      </c>
      <c r="C308" s="17" t="n">
        <v>3</v>
      </c>
      <c r="D308" s="18" t="n">
        <v>2.26</v>
      </c>
      <c r="E308" s="18" t="n">
        <v>2.15</v>
      </c>
      <c r="F308" s="18">
        <f>IF(D308="","",D308*'参数与说明'!$B$6/0.68)</f>
        <v/>
      </c>
      <c r="G308" s="19">
        <f>IFERROR(IF(D308="","",D308/INDEX($D:$D,MATCH(EDATE($A308,-1),$A:$A,0))-1),"")</f>
        <v/>
      </c>
      <c r="H308" s="19">
        <f>IFERROR(IF(D308="","",D308/INDEX($D:$D,MATCH(EDATE($A308,-12),$A:$A,0))-1),"")</f>
        <v/>
      </c>
    </row>
    <row r="309">
      <c r="A309" s="12" t="n">
        <v>45383</v>
      </c>
      <c r="B309" s="13" t="n">
        <v>2024</v>
      </c>
      <c r="C309" s="13" t="n">
        <v>4</v>
      </c>
      <c r="D309" s="14" t="n">
        <v>1.95</v>
      </c>
      <c r="E309" s="14" t="n">
        <v>1.79</v>
      </c>
      <c r="F309" s="14">
        <f>IF(D309="","",D309*'参数与说明'!$B$6/0.68)</f>
        <v/>
      </c>
      <c r="G309" s="15">
        <f>IFERROR(IF(D309="","",D309/INDEX($D:$D,MATCH(EDATE($A309,-1),$A:$A,0))-1),"")</f>
        <v/>
      </c>
      <c r="H309" s="15">
        <f>IFERROR(IF(D309="","",D309/INDEX($D:$D,MATCH(EDATE($A309,-12),$A:$A,0))-1),"")</f>
        <v/>
      </c>
    </row>
    <row r="310">
      <c r="A310" s="16" t="n">
        <v>45413</v>
      </c>
      <c r="B310" s="17" t="n">
        <v>2024</v>
      </c>
      <c r="C310" s="17" t="n">
        <v>5</v>
      </c>
      <c r="D310" s="18" t="n">
        <v>1.73</v>
      </c>
      <c r="E310" s="18" t="n">
        <v>1.53</v>
      </c>
      <c r="F310" s="18">
        <f>IF(D310="","",D310*'参数与说明'!$B$6/0.68)</f>
        <v/>
      </c>
      <c r="G310" s="19">
        <f>IFERROR(IF(D310="","",D310/INDEX($D:$D,MATCH(EDATE($A310,-1),$A:$A,0))-1),"")</f>
        <v/>
      </c>
      <c r="H310" s="19">
        <f>IFERROR(IF(D310="","",D310/INDEX($D:$D,MATCH(EDATE($A310,-12),$A:$A,0))-1),"")</f>
        <v/>
      </c>
    </row>
    <row r="311">
      <c r="A311" s="12" t="n">
        <v>45444</v>
      </c>
      <c r="B311" s="13" t="n">
        <v>2024</v>
      </c>
      <c r="C311" s="13" t="n">
        <v>6</v>
      </c>
      <c r="D311" s="14" t="n">
        <v>2.09</v>
      </c>
      <c r="E311" s="14" t="n">
        <v>1.99</v>
      </c>
      <c r="F311" s="14">
        <f>IF(D311="","",D311*'参数与说明'!$B$6/0.68)</f>
        <v/>
      </c>
      <c r="G311" s="15">
        <f>IFERROR(IF(D311="","",D311/INDEX($D:$D,MATCH(EDATE($A311,-1),$A:$A,0))-1),"")</f>
        <v/>
      </c>
      <c r="H311" s="15">
        <f>IFERROR(IF(D311="","",D311/INDEX($D:$D,MATCH(EDATE($A311,-12),$A:$A,0))-1),"")</f>
        <v/>
      </c>
    </row>
    <row r="312">
      <c r="A312" s="16" t="n">
        <v>45474</v>
      </c>
      <c r="B312" s="17" t="n">
        <v>2024</v>
      </c>
      <c r="C312" s="17" t="n">
        <v>7</v>
      </c>
      <c r="D312" s="18" t="n">
        <v>2.4</v>
      </c>
      <c r="E312" s="18" t="n">
        <v>2.36</v>
      </c>
      <c r="F312" s="18">
        <f>IF(D312="","",D312*'参数与说明'!$B$6/0.68)</f>
        <v/>
      </c>
      <c r="G312" s="19">
        <f>IFERROR(IF(D312="","",D312/INDEX($D:$D,MATCH(EDATE($A312,-1),$A:$A,0))-1),"")</f>
        <v/>
      </c>
      <c r="H312" s="19">
        <f>IFERROR(IF(D312="","",D312/INDEX($D:$D,MATCH(EDATE($A312,-12),$A:$A,0))-1),"")</f>
        <v/>
      </c>
    </row>
    <row r="313">
      <c r="A313" s="12" t="n">
        <v>45505</v>
      </c>
      <c r="B313" s="13" t="n">
        <v>2024</v>
      </c>
      <c r="C313" s="13" t="n">
        <v>8</v>
      </c>
      <c r="D313" s="14" t="n">
        <v>3.21</v>
      </c>
      <c r="E313" s="14" t="n">
        <v>3.3</v>
      </c>
      <c r="F313" s="14">
        <f>IF(D313="","",D313*'参数与说明'!$B$6/0.68)</f>
        <v/>
      </c>
      <c r="G313" s="15">
        <f>IFERROR(IF(D313="","",D313/INDEX($D:$D,MATCH(EDATE($A313,-1),$A:$A,0))-1),"")</f>
        <v/>
      </c>
      <c r="H313" s="15">
        <f>IFERROR(IF(D313="","",D313/INDEX($D:$D,MATCH(EDATE($A313,-12),$A:$A,0))-1),"")</f>
        <v/>
      </c>
    </row>
    <row r="314">
      <c r="A314" s="16" t="n">
        <v>45536</v>
      </c>
      <c r="B314" s="17" t="n">
        <v>2024</v>
      </c>
      <c r="C314" s="17" t="n">
        <v>9</v>
      </c>
      <c r="D314" s="18" t="n">
        <v>2.06</v>
      </c>
      <c r="E314" s="18" t="n">
        <v>1.96</v>
      </c>
      <c r="F314" s="18">
        <f>IF(D314="","",D314*'参数与说明'!$B$6/0.68)</f>
        <v/>
      </c>
      <c r="G314" s="19">
        <f>IFERROR(IF(D314="","",D314/INDEX($D:$D,MATCH(EDATE($A314,-1),$A:$A,0))-1),"")</f>
        <v/>
      </c>
      <c r="H314" s="19">
        <f>IFERROR(IF(D314="","",D314/INDEX($D:$D,MATCH(EDATE($A314,-12),$A:$A,0))-1),"")</f>
        <v/>
      </c>
    </row>
    <row r="315">
      <c r="A315" s="12" t="n">
        <v>45566</v>
      </c>
      <c r="B315" s="13" t="n">
        <v>2024</v>
      </c>
      <c r="C315" s="13" t="n">
        <v>10</v>
      </c>
      <c r="D315" s="14" t="n">
        <v>2.72</v>
      </c>
      <c r="E315" s="14" t="n">
        <v>2.72</v>
      </c>
      <c r="F315" s="14">
        <f>IF(D315="","",D315*'参数与说明'!$B$6/0.68)</f>
        <v/>
      </c>
      <c r="G315" s="15">
        <f>IFERROR(IF(D315="","",D315/INDEX($D:$D,MATCH(EDATE($A315,-1),$A:$A,0))-1),"")</f>
        <v/>
      </c>
      <c r="H315" s="15">
        <f>IFERROR(IF(D315="","",D315/INDEX($D:$D,MATCH(EDATE($A315,-12),$A:$A,0))-1),"")</f>
        <v/>
      </c>
    </row>
    <row r="316">
      <c r="A316" s="16" t="n">
        <v>45597</v>
      </c>
      <c r="B316" s="17" t="n">
        <v>2024</v>
      </c>
      <c r="C316" s="17" t="n">
        <v>11</v>
      </c>
      <c r="D316" s="18" t="n">
        <v>3.14</v>
      </c>
      <c r="E316" s="18" t="n">
        <v>3.21</v>
      </c>
      <c r="F316" s="18">
        <f>IF(D316="","",D316*'参数与说明'!$B$6/0.68)</f>
        <v/>
      </c>
      <c r="G316" s="19">
        <f>IFERROR(IF(D316="","",D316/INDEX($D:$D,MATCH(EDATE($A316,-1),$A:$A,0))-1),"")</f>
        <v/>
      </c>
      <c r="H316" s="19">
        <f>IFERROR(IF(D316="","",D316/INDEX($D:$D,MATCH(EDATE($A316,-12),$A:$A,0))-1),"")</f>
        <v/>
      </c>
    </row>
    <row r="317">
      <c r="A317" s="12" t="n">
        <v>45627</v>
      </c>
      <c r="B317" s="13" t="n">
        <v>2024</v>
      </c>
      <c r="C317" s="13" t="n">
        <v>12</v>
      </c>
      <c r="D317" s="14" t="n">
        <v>4.33</v>
      </c>
      <c r="E317" s="14" t="n">
        <v>4.59</v>
      </c>
      <c r="F317" s="14">
        <f>IF(D317="","",D317*'参数与说明'!$B$6/0.68)</f>
        <v/>
      </c>
      <c r="G317" s="15">
        <f>IFERROR(IF(D317="","",D317/INDEX($D:$D,MATCH(EDATE($A317,-1),$A:$A,0))-1),"")</f>
        <v/>
      </c>
      <c r="H317" s="15">
        <f>IFERROR(IF(D317="","",D317/INDEX($D:$D,MATCH(EDATE($A317,-12),$A:$A,0))-1),"")</f>
        <v/>
      </c>
    </row>
    <row r="318">
      <c r="A318" s="16" t="n">
        <v>45658</v>
      </c>
      <c r="B318" s="17" t="n">
        <v>2025</v>
      </c>
      <c r="C318" s="17" t="n">
        <v>1</v>
      </c>
      <c r="D318" s="18" t="n">
        <v>5.98</v>
      </c>
      <c r="E318" s="18" t="n">
        <v>6.54</v>
      </c>
      <c r="F318" s="18">
        <f>IF(D318="","",D318*'参数与说明'!$B$6/0.68)</f>
        <v/>
      </c>
      <c r="G318" s="19">
        <f>IFERROR(IF(D318="","",D318/INDEX($D:$D,MATCH(EDATE($A318,-1),$A:$A,0))-1),"")</f>
        <v/>
      </c>
      <c r="H318" s="19">
        <f>IFERROR(IF(D318="","",D318/INDEX($D:$D,MATCH(EDATE($A318,-12),$A:$A,0))-1),"")</f>
        <v/>
      </c>
    </row>
    <row r="319">
      <c r="A319" s="12" t="n">
        <v>45689</v>
      </c>
      <c r="B319" s="13" t="n">
        <v>2025</v>
      </c>
      <c r="C319" s="13" t="n">
        <v>2</v>
      </c>
      <c r="D319" s="14" t="n">
        <v>6.77</v>
      </c>
      <c r="E319" s="14" t="n">
        <v>7.47</v>
      </c>
      <c r="F319" s="14">
        <f>IF(D319="","",D319*'参数与说明'!$B$6/0.68)</f>
        <v/>
      </c>
      <c r="G319" s="15">
        <f>IFERROR(IF(D319="","",D319/INDEX($D:$D,MATCH(EDATE($A319,-1),$A:$A,0))-1),"")</f>
        <v/>
      </c>
      <c r="H319" s="15">
        <f>IFERROR(IF(D319="","",D319/INDEX($D:$D,MATCH(EDATE($A319,-12),$A:$A,0))-1),"")</f>
        <v/>
      </c>
    </row>
    <row r="320">
      <c r="A320" s="16" t="n">
        <v>45717</v>
      </c>
      <c r="B320" s="17" t="n">
        <v>2025</v>
      </c>
      <c r="C320" s="17" t="n">
        <v>3</v>
      </c>
      <c r="D320" s="18" t="n">
        <v>5.48</v>
      </c>
      <c r="E320" s="18" t="n">
        <v>5.96</v>
      </c>
      <c r="F320" s="18">
        <f>IF(D320="","",D320*'参数与说明'!$B$6/0.68)</f>
        <v/>
      </c>
      <c r="G320" s="19">
        <f>IFERROR(IF(D320="","",D320/INDEX($D:$D,MATCH(EDATE($A320,-1),$A:$A,0))-1),"")</f>
        <v/>
      </c>
      <c r="H320" s="19">
        <f>IFERROR(IF(D320="","",D320/INDEX($D:$D,MATCH(EDATE($A320,-12),$A:$A,0))-1),"")</f>
        <v/>
      </c>
    </row>
    <row r="321">
      <c r="A321" s="12" t="n">
        <v>45748</v>
      </c>
      <c r="B321" s="13" t="n">
        <v>2025</v>
      </c>
      <c r="C321" s="13" t="n">
        <v>4</v>
      </c>
      <c r="D321" s="14" t="n">
        <v>3.59</v>
      </c>
      <c r="E321" s="14" t="n">
        <v>3.74</v>
      </c>
      <c r="F321" s="14">
        <f>IF(D321="","",D321*'参数与说明'!$B$6/0.68)</f>
        <v/>
      </c>
      <c r="G321" s="15">
        <f>IFERROR(IF(D321="","",D321/INDEX($D:$D,MATCH(EDATE($A321,-1),$A:$A,0))-1),"")</f>
        <v/>
      </c>
      <c r="H321" s="15">
        <f>IFERROR(IF(D321="","",D321/INDEX($D:$D,MATCH(EDATE($A321,-12),$A:$A,0))-1),"")</f>
        <v/>
      </c>
    </row>
    <row r="322">
      <c r="A322" s="16" t="n">
        <v>45778</v>
      </c>
      <c r="B322" s="17" t="n">
        <v>2025</v>
      </c>
      <c r="C322" s="17" t="n">
        <v>5</v>
      </c>
      <c r="D322" s="18" t="n">
        <v>3.34</v>
      </c>
      <c r="E322" s="18" t="n">
        <v>3.45</v>
      </c>
      <c r="F322" s="18">
        <f>IF(D322="","",D322*'参数与说明'!$B$6/0.68)</f>
        <v/>
      </c>
      <c r="G322" s="19">
        <f>IFERROR(IF(D322="","",D322/INDEX($D:$D,MATCH(EDATE($A322,-1),$A:$A,0))-1),"")</f>
        <v/>
      </c>
      <c r="H322" s="19">
        <f>IFERROR(IF(D322="","",D322/INDEX($D:$D,MATCH(EDATE($A322,-12),$A:$A,0))-1),"")</f>
        <v/>
      </c>
    </row>
    <row r="323">
      <c r="A323" s="12" t="n">
        <v>45809</v>
      </c>
      <c r="B323" s="13" t="n">
        <v>2025</v>
      </c>
      <c r="C323" s="13" t="n">
        <v>6</v>
      </c>
      <c r="D323" s="14" t="n">
        <v>2.84</v>
      </c>
      <c r="E323" s="14" t="n">
        <v>2.87</v>
      </c>
      <c r="F323" s="14">
        <f>IF(D323="","",D323*'参数与说明'!$B$6/0.68)</f>
        <v/>
      </c>
      <c r="G323" s="15">
        <f>IFERROR(IF(D323="","",D323/INDEX($D:$D,MATCH(EDATE($A323,-1),$A:$A,0))-1),"")</f>
        <v/>
      </c>
      <c r="H323" s="15">
        <f>IFERROR(IF(D323="","",D323/INDEX($D:$D,MATCH(EDATE($A323,-12),$A:$A,0))-1),"")</f>
        <v/>
      </c>
    </row>
    <row r="324">
      <c r="A324" s="16" t="n">
        <v>45839</v>
      </c>
      <c r="B324" s="17" t="n">
        <v>2025</v>
      </c>
      <c r="C324" s="17" t="n">
        <v>7</v>
      </c>
      <c r="D324" s="18" t="n">
        <v>2.89</v>
      </c>
      <c r="E324" s="18" t="n">
        <v>2.93</v>
      </c>
      <c r="F324" s="18">
        <f>IF(D324="","",D324*'参数与说明'!$B$6/0.68)</f>
        <v/>
      </c>
      <c r="G324" s="19">
        <f>IFERROR(IF(D324="","",D324/INDEX($D:$D,MATCH(EDATE($A324,-1),$A:$A,0))-1),"")</f>
        <v/>
      </c>
      <c r="H324" s="19">
        <f>IFERROR(IF(D324="","",D324/INDEX($D:$D,MATCH(EDATE($A324,-12),$A:$A,0))-1),"")</f>
        <v/>
      </c>
    </row>
    <row r="325">
      <c r="A325" s="12" t="n">
        <v>45870</v>
      </c>
      <c r="B325" s="13" t="n">
        <v>2025</v>
      </c>
      <c r="C325" s="13" t="n">
        <v>8</v>
      </c>
      <c r="D325" s="14" t="n">
        <v>2.27</v>
      </c>
      <c r="E325" s="14" t="n">
        <v>2.2</v>
      </c>
      <c r="F325" s="14">
        <f>IF(D325="","",D325*'参数与说明'!$B$6/0.68)</f>
        <v/>
      </c>
      <c r="G325" s="15">
        <f>IFERROR(IF(D325="","",D325/INDEX($D:$D,MATCH(EDATE($A325,-1),$A:$A,0))-1),"")</f>
        <v/>
      </c>
      <c r="H325" s="15">
        <f>IFERROR(IF(D325="","",D325/INDEX($D:$D,MATCH(EDATE($A325,-12),$A:$A,0))-1),"")</f>
        <v/>
      </c>
    </row>
    <row r="326">
      <c r="A326" s="16" t="n">
        <v>45901</v>
      </c>
      <c r="B326" s="17" t="n">
        <v>2025</v>
      </c>
      <c r="C326" s="17" t="n">
        <v>9</v>
      </c>
      <c r="D326" s="18" t="n">
        <v>2.04</v>
      </c>
      <c r="E326" s="18" t="n">
        <v>1.93</v>
      </c>
      <c r="F326" s="18">
        <f>IF(D326="","",D326*'参数与说明'!$B$6/0.68)</f>
        <v/>
      </c>
      <c r="G326" s="19">
        <f>IFERROR(IF(D326="","",D326/INDEX($D:$D,MATCH(EDATE($A326,-1),$A:$A,0))-1),"")</f>
        <v/>
      </c>
      <c r="H326" s="19">
        <f>IFERROR(IF(D326="","",D326/INDEX($D:$D,MATCH(EDATE($A326,-12),$A:$A,0))-1),"")</f>
        <v/>
      </c>
    </row>
    <row r="327">
      <c r="A327" s="12" t="n">
        <v>45931</v>
      </c>
      <c r="B327" s="13" t="n">
        <v>2025</v>
      </c>
      <c r="C327" s="13" t="n">
        <v>10</v>
      </c>
      <c r="D327" s="14" t="n">
        <v>1.64</v>
      </c>
      <c r="E327" s="14" t="n">
        <v>1.47</v>
      </c>
      <c r="F327" s="14">
        <f>IF(D327="","",D327*'参数与说明'!$B$6/0.68)</f>
        <v/>
      </c>
      <c r="G327" s="15">
        <f>IFERROR(IF(D327="","",D327/INDEX($D:$D,MATCH(EDATE($A327,-1),$A:$A,0))-1),"")</f>
        <v/>
      </c>
      <c r="H327" s="15">
        <f>IFERROR(IF(D327="","",D327/INDEX($D:$D,MATCH(EDATE($A327,-12),$A:$A,0))-1),"")</f>
        <v/>
      </c>
    </row>
    <row r="328">
      <c r="A328" s="16" t="n">
        <v>45962</v>
      </c>
      <c r="B328" s="17" t="n">
        <v>2025</v>
      </c>
      <c r="C328" s="17" t="n">
        <v>11</v>
      </c>
      <c r="D328" s="18" t="n">
        <v>2.19</v>
      </c>
      <c r="E328" s="18" t="n">
        <v>2.11</v>
      </c>
      <c r="F328" s="18">
        <f>IF(D328="","",D328*'参数与说明'!$B$6/0.68)</f>
        <v/>
      </c>
      <c r="G328" s="19">
        <f>IFERROR(IF(D328="","",D328/INDEX($D:$D,MATCH(EDATE($A328,-1),$A:$A,0))-1),"")</f>
        <v/>
      </c>
      <c r="H328" s="19">
        <f>IFERROR(IF(D328="","",D328/INDEX($D:$D,MATCH(EDATE($A328,-12),$A:$A,0))-1),"")</f>
        <v/>
      </c>
    </row>
    <row r="329">
      <c r="A329" s="12" t="n">
        <v>45992</v>
      </c>
      <c r="B329" s="13" t="n">
        <v>2025</v>
      </c>
      <c r="C329" s="13" t="n">
        <v>12</v>
      </c>
      <c r="D329" s="14" t="n">
        <v>1.66</v>
      </c>
      <c r="E329" s="14" t="n">
        <v>1.49</v>
      </c>
      <c r="F329" s="14">
        <f>IF(D329="","",D329*'参数与说明'!$B$6/0.68)</f>
        <v/>
      </c>
      <c r="G329" s="15">
        <f>IFERROR(IF(D329="","",D329/INDEX($D:$D,MATCH(EDATE($A329,-1),$A:$A,0))-1),"")</f>
        <v/>
      </c>
      <c r="H329" s="15">
        <f>IFERROR(IF(D329="","",D329/INDEX($D:$D,MATCH(EDATE($A329,-12),$A:$A,0))-1),"")</f>
        <v/>
      </c>
    </row>
    <row r="330">
      <c r="A330" s="16" t="n">
        <v>46023</v>
      </c>
      <c r="B330" s="17" t="n">
        <v>2026</v>
      </c>
      <c r="C330" s="17" t="n">
        <v>1</v>
      </c>
      <c r="D330" s="18" t="n">
        <v>1.09</v>
      </c>
      <c r="E330" s="18" t="n">
        <v>0.826</v>
      </c>
      <c r="F330" s="18">
        <f>IF(D330="","",D330*'参数与说明'!$B$6/0.68)</f>
        <v/>
      </c>
      <c r="G330" s="19">
        <f>IFERROR(IF(D330="","",D330/INDEX($D:$D,MATCH(EDATE($A330,-1),$A:$A,0))-1),"")</f>
        <v/>
      </c>
      <c r="H330" s="19">
        <f>IFERROR(IF(D330="","",D330/INDEX($D:$D,MATCH(EDATE($A330,-12),$A:$A,0))-1),"")</f>
        <v/>
      </c>
    </row>
    <row r="331">
      <c r="A331" s="12" t="n">
        <v>46054</v>
      </c>
      <c r="B331" s="13" t="n">
        <v>2026</v>
      </c>
      <c r="C331" s="13" t="n">
        <v>2</v>
      </c>
      <c r="D331" s="14" t="n">
        <v>1.22</v>
      </c>
      <c r="E331" s="14" t="n">
        <v>0.978</v>
      </c>
      <c r="F331" s="14">
        <f>IF(D331="","",D331*'参数与说明'!$B$6/0.68)</f>
        <v/>
      </c>
      <c r="G331" s="15">
        <f>IFERROR(IF(D331="","",D331/INDEX($D:$D,MATCH(EDATE($A331,-1),$A:$A,0))-1),"")</f>
        <v/>
      </c>
      <c r="H331" s="15">
        <f>IFERROR(IF(D331="","",D331/INDEX($D:$D,MATCH(EDATE($A331,-12),$A:$A,0))-1),"")</f>
        <v/>
      </c>
    </row>
    <row r="332">
      <c r="A332" s="16" t="n">
        <v>46082</v>
      </c>
      <c r="B332" s="17" t="n">
        <v>2026</v>
      </c>
      <c r="C332" s="17" t="n">
        <v>3</v>
      </c>
      <c r="D332" s="18" t="n">
        <v>1.45</v>
      </c>
      <c r="E332" s="18" t="n">
        <v>1.26</v>
      </c>
      <c r="F332" s="18">
        <f>IF(D332="","",D332*'参数与说明'!$B$6/0.68)</f>
        <v/>
      </c>
      <c r="G332" s="19">
        <f>IFERROR(IF(D332="","",D332/INDEX($D:$D,MATCH(EDATE($A332,-1),$A:$A,0))-1),"")</f>
        <v/>
      </c>
      <c r="H332" s="19">
        <f>IFERROR(IF(D332="","",D332/INDEX($D:$D,MATCH(EDATE($A332,-12),$A:$A,0))-1),"")</f>
        <v/>
      </c>
    </row>
    <row r="333">
      <c r="A333" s="12" t="n">
        <v>46113</v>
      </c>
      <c r="B333" s="13" t="n">
        <v>2026</v>
      </c>
      <c r="C333" s="13" t="n">
        <v>4</v>
      </c>
      <c r="D333" s="14" t="n">
        <v>0.855</v>
      </c>
      <c r="E333" s="14" t="n">
        <v>0.556</v>
      </c>
      <c r="F333" s="14">
        <f>IF(D333="","",D333*'参数与说明'!$B$6/0.68)</f>
        <v/>
      </c>
      <c r="G333" s="15">
        <f>IFERROR(IF(D333="","",D333/INDEX($D:$D,MATCH(EDATE($A333,-1),$A:$A,0))-1),"")</f>
        <v/>
      </c>
      <c r="H333" s="15">
        <f>IFERROR(IF(D333="","",D333/INDEX($D:$D,MATCH(EDATE($A333,-12),$A:$A,0))-1),"")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鸡肉 — USDA NASS 价格收到价（月度）</t>
        </is>
      </c>
    </row>
    <row r="2" ht="15" customHeight="1">
      <c r="A2" s="10" t="inlineStr">
        <is>
          <t>美元/磅(lb)；元/公斤=主指标×汇率('参数与说明'!$B$6)÷0.453592。趋势图用美制原值。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肉鸡(Broilers)
($ / LB)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33239</v>
      </c>
      <c r="B5" s="13" t="n">
        <v>1991</v>
      </c>
      <c r="C5" s="13" t="n">
        <v>1</v>
      </c>
      <c r="D5" s="14" t="n">
        <v>0.305</v>
      </c>
      <c r="E5" s="14">
        <f>IF(D5="","",D5*'参数与说明'!$B$6/0.453592)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33270</v>
      </c>
      <c r="B6" s="17" t="n">
        <v>1991</v>
      </c>
      <c r="C6" s="17" t="n">
        <v>2</v>
      </c>
      <c r="D6" s="18" t="n">
        <v>0.302</v>
      </c>
      <c r="E6" s="18">
        <f>IF(D6="","",D6*'参数与说明'!$B$6/0.453592)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33298</v>
      </c>
      <c r="B7" s="13" t="n">
        <v>1991</v>
      </c>
      <c r="C7" s="13" t="n">
        <v>3</v>
      </c>
      <c r="D7" s="14" t="n">
        <v>0.301</v>
      </c>
      <c r="E7" s="14">
        <f>IF(D7="","",D7*'参数与说明'!$B$6/0.453592)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33329</v>
      </c>
      <c r="B8" s="17" t="n">
        <v>1991</v>
      </c>
      <c r="C8" s="17" t="n">
        <v>4</v>
      </c>
      <c r="D8" s="18" t="n">
        <v>0.307</v>
      </c>
      <c r="E8" s="18">
        <f>IF(D8="","",D8*'参数与说明'!$B$6/0.453592)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33359</v>
      </c>
      <c r="B9" s="13" t="n">
        <v>1991</v>
      </c>
      <c r="C9" s="13" t="n">
        <v>5</v>
      </c>
      <c r="D9" s="14" t="n">
        <v>0.311</v>
      </c>
      <c r="E9" s="14">
        <f>IF(D9="","",D9*'参数与说明'!$B$6/0.453592)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33390</v>
      </c>
      <c r="B10" s="17" t="n">
        <v>1991</v>
      </c>
      <c r="C10" s="17" t="n">
        <v>6</v>
      </c>
      <c r="D10" s="18" t="n">
        <v>0.315</v>
      </c>
      <c r="E10" s="18">
        <f>IF(D10="","",D10*'参数与说明'!$B$6/0.453592)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33420</v>
      </c>
      <c r="B11" s="13" t="n">
        <v>1991</v>
      </c>
      <c r="C11" s="13" t="n">
        <v>7</v>
      </c>
      <c r="D11" s="14" t="n">
        <v>0.323</v>
      </c>
      <c r="E11" s="14">
        <f>IF(D11="","",D11*'参数与说明'!$B$6/0.453592)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33451</v>
      </c>
      <c r="B12" s="17" t="n">
        <v>1991</v>
      </c>
      <c r="C12" s="17" t="n">
        <v>8</v>
      </c>
      <c r="D12" s="18" t="n">
        <v>0.324</v>
      </c>
      <c r="E12" s="18">
        <f>IF(D12="","",D12*'参数与说明'!$B$6/0.453592)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33482</v>
      </c>
      <c r="B13" s="13" t="n">
        <v>1991</v>
      </c>
      <c r="C13" s="13" t="n">
        <v>9</v>
      </c>
      <c r="D13" s="14" t="n">
        <v>0.321</v>
      </c>
      <c r="E13" s="14">
        <f>IF(D13="","",D13*'参数与说明'!$B$6/0.453592)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33512</v>
      </c>
      <c r="B14" s="17" t="n">
        <v>1991</v>
      </c>
      <c r="C14" s="17" t="n">
        <v>10</v>
      </c>
      <c r="D14" s="18" t="n">
        <v>0.31</v>
      </c>
      <c r="E14" s="18">
        <f>IF(D14="","",D14*'参数与说明'!$B$6/0.453592)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33543</v>
      </c>
      <c r="B15" s="13" t="n">
        <v>1991</v>
      </c>
      <c r="C15" s="13" t="n">
        <v>11</v>
      </c>
      <c r="D15" s="14" t="n">
        <v>0.295</v>
      </c>
      <c r="E15" s="14">
        <f>IF(D15="","",D15*'参数与说明'!$B$6/0.453592)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33573</v>
      </c>
      <c r="B16" s="17" t="n">
        <v>1991</v>
      </c>
      <c r="C16" s="17" t="n">
        <v>12</v>
      </c>
      <c r="D16" s="18" t="n">
        <v>0.295</v>
      </c>
      <c r="E16" s="18">
        <f>IF(D16="","",D16*'参数与说明'!$B$6/0.453592)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33604</v>
      </c>
      <c r="B17" s="13" t="n">
        <v>1992</v>
      </c>
      <c r="C17" s="13" t="n">
        <v>1</v>
      </c>
      <c r="D17" s="14" t="n">
        <v>0.298</v>
      </c>
      <c r="E17" s="14">
        <f>IF(D17="","",D17*'参数与说明'!$B$6/0.453592)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33635</v>
      </c>
      <c r="B18" s="17" t="n">
        <v>1992</v>
      </c>
      <c r="C18" s="17" t="n">
        <v>2</v>
      </c>
      <c r="D18" s="18" t="n">
        <v>0.299</v>
      </c>
      <c r="E18" s="18">
        <f>IF(D18="","",D18*'参数与说明'!$B$6/0.453592)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33664</v>
      </c>
      <c r="B19" s="13" t="n">
        <v>1992</v>
      </c>
      <c r="C19" s="13" t="n">
        <v>3</v>
      </c>
      <c r="D19" s="14" t="n">
        <v>0.3</v>
      </c>
      <c r="E19" s="14">
        <f>IF(D19="","",D19*'参数与说明'!$B$6/0.453592)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33695</v>
      </c>
      <c r="B20" s="17" t="n">
        <v>1992</v>
      </c>
      <c r="C20" s="17" t="n">
        <v>4</v>
      </c>
      <c r="D20" s="18" t="n">
        <v>0.297</v>
      </c>
      <c r="E20" s="18">
        <f>IF(D20="","",D20*'参数与说明'!$B$6/0.453592)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33725</v>
      </c>
      <c r="B21" s="13" t="n">
        <v>1992</v>
      </c>
      <c r="C21" s="13" t="n">
        <v>5</v>
      </c>
      <c r="D21" s="14" t="n">
        <v>0.326</v>
      </c>
      <c r="E21" s="14">
        <f>IF(D21="","",D21*'参数与说明'!$B$6/0.453592)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33756</v>
      </c>
      <c r="B22" s="17" t="n">
        <v>1992</v>
      </c>
      <c r="C22" s="17" t="n">
        <v>6</v>
      </c>
      <c r="D22" s="18" t="n">
        <v>0.319</v>
      </c>
      <c r="E22" s="18">
        <f>IF(D22="","",D22*'参数与说明'!$B$6/0.453592)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33786</v>
      </c>
      <c r="B23" s="13" t="n">
        <v>1992</v>
      </c>
      <c r="C23" s="13" t="n">
        <v>7</v>
      </c>
      <c r="D23" s="14" t="n">
        <v>0.341</v>
      </c>
      <c r="E23" s="14">
        <f>IF(D23="","",D23*'参数与说明'!$B$6/0.453592)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33817</v>
      </c>
      <c r="B24" s="17" t="n">
        <v>1992</v>
      </c>
      <c r="C24" s="17" t="n">
        <v>8</v>
      </c>
      <c r="D24" s="18" t="n">
        <v>0.343</v>
      </c>
      <c r="E24" s="18">
        <f>IF(D24="","",D24*'参数与说明'!$B$6/0.453592)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33848</v>
      </c>
      <c r="B25" s="13" t="n">
        <v>1992</v>
      </c>
      <c r="C25" s="13" t="n">
        <v>9</v>
      </c>
      <c r="D25" s="14" t="n">
        <v>0.32</v>
      </c>
      <c r="E25" s="14">
        <f>IF(D25="","",D25*'参数与说明'!$B$6/0.453592)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33878</v>
      </c>
      <c r="B26" s="17" t="n">
        <v>1992</v>
      </c>
      <c r="C26" s="17" t="n">
        <v>10</v>
      </c>
      <c r="D26" s="18" t="n">
        <v>0.331</v>
      </c>
      <c r="E26" s="18">
        <f>IF(D26="","",D26*'参数与说明'!$B$6/0.453592)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33909</v>
      </c>
      <c r="B27" s="13" t="n">
        <v>1992</v>
      </c>
      <c r="C27" s="13" t="n">
        <v>11</v>
      </c>
      <c r="D27" s="14" t="n">
        <v>0.333</v>
      </c>
      <c r="E27" s="14">
        <f>IF(D27="","",D27*'参数与说明'!$B$6/0.453592)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33939</v>
      </c>
      <c r="B28" s="17" t="n">
        <v>1992</v>
      </c>
      <c r="C28" s="17" t="n">
        <v>12</v>
      </c>
      <c r="D28" s="18" t="n">
        <v>0.315</v>
      </c>
      <c r="E28" s="18">
        <f>IF(D28="","",D28*'参数与说明'!$B$6/0.453592)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33970</v>
      </c>
      <c r="B29" s="13" t="n">
        <v>1993</v>
      </c>
      <c r="C29" s="13" t="n">
        <v>1</v>
      </c>
      <c r="D29" s="14" t="n">
        <v>0.318</v>
      </c>
      <c r="E29" s="14">
        <f>IF(D29="","",D29*'参数与说明'!$B$6/0.453592)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34001</v>
      </c>
      <c r="B30" s="17" t="n">
        <v>1993</v>
      </c>
      <c r="C30" s="17" t="n">
        <v>2</v>
      </c>
      <c r="D30" s="18" t="n">
        <v>0.322</v>
      </c>
      <c r="E30" s="18">
        <f>IF(D30="","",D30*'参数与说明'!$B$6/0.453592)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34029</v>
      </c>
      <c r="B31" s="13" t="n">
        <v>1993</v>
      </c>
      <c r="C31" s="13" t="n">
        <v>3</v>
      </c>
      <c r="D31" s="14" t="n">
        <v>0.33</v>
      </c>
      <c r="E31" s="14">
        <f>IF(D31="","",D31*'参数与说明'!$B$6/0.453592)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34060</v>
      </c>
      <c r="B32" s="17" t="n">
        <v>1993</v>
      </c>
      <c r="C32" s="17" t="n">
        <v>4</v>
      </c>
      <c r="D32" s="18" t="n">
        <v>0.338</v>
      </c>
      <c r="E32" s="18">
        <f>IF(D32="","",D32*'参数与说明'!$B$6/0.453592)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34090</v>
      </c>
      <c r="B33" s="13" t="n">
        <v>1993</v>
      </c>
      <c r="C33" s="13" t="n">
        <v>5</v>
      </c>
      <c r="D33" s="14" t="n">
        <v>0.352</v>
      </c>
      <c r="E33" s="14">
        <f>IF(D33="","",D33*'参数与说明'!$B$6/0.453592)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34121</v>
      </c>
      <c r="B34" s="17" t="n">
        <v>1993</v>
      </c>
      <c r="C34" s="17" t="n">
        <v>6</v>
      </c>
      <c r="D34" s="18" t="n">
        <v>0.35</v>
      </c>
      <c r="E34" s="18">
        <f>IF(D34="","",D34*'参数与说明'!$B$6/0.453592)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34151</v>
      </c>
      <c r="B35" s="13" t="n">
        <v>1993</v>
      </c>
      <c r="C35" s="13" t="n">
        <v>7</v>
      </c>
      <c r="D35" s="14" t="n">
        <v>0.355</v>
      </c>
      <c r="E35" s="14">
        <f>IF(D35="","",D35*'参数与说明'!$B$6/0.453592)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34182</v>
      </c>
      <c r="B36" s="17" t="n">
        <v>1993</v>
      </c>
      <c r="C36" s="17" t="n">
        <v>8</v>
      </c>
      <c r="D36" s="18" t="n">
        <v>0.364</v>
      </c>
      <c r="E36" s="18">
        <f>IF(D36="","",D36*'参数与说明'!$B$6/0.453592)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34213</v>
      </c>
      <c r="B37" s="13" t="n">
        <v>1993</v>
      </c>
      <c r="C37" s="13" t="n">
        <v>9</v>
      </c>
      <c r="D37" s="14" t="n">
        <v>0.365</v>
      </c>
      <c r="E37" s="14">
        <f>IF(D37="","",D37*'参数与说明'!$B$6/0.453592)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34243</v>
      </c>
      <c r="B38" s="17" t="n">
        <v>1993</v>
      </c>
      <c r="C38" s="17" t="n">
        <v>10</v>
      </c>
      <c r="D38" s="18" t="n">
        <v>0.35</v>
      </c>
      <c r="E38" s="18">
        <f>IF(D38="","",D38*'参数与说明'!$B$6/0.453592)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34274</v>
      </c>
      <c r="B39" s="13" t="n">
        <v>1993</v>
      </c>
      <c r="C39" s="13" t="n">
        <v>11</v>
      </c>
      <c r="D39" s="14" t="n">
        <v>0.348</v>
      </c>
      <c r="E39" s="14">
        <f>IF(D39="","",D39*'参数与说明'!$B$6/0.453592)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34304</v>
      </c>
      <c r="B40" s="17" t="n">
        <v>1993</v>
      </c>
      <c r="C40" s="17" t="n">
        <v>12</v>
      </c>
      <c r="D40" s="18" t="n">
        <v>0.339</v>
      </c>
      <c r="E40" s="18">
        <f>IF(D40="","",D40*'参数与说明'!$B$6/0.453592)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34335</v>
      </c>
      <c r="B41" s="13" t="n">
        <v>1994</v>
      </c>
      <c r="C41" s="13" t="n">
        <v>1</v>
      </c>
      <c r="D41" s="14" t="n">
        <v>0.337</v>
      </c>
      <c r="E41" s="14">
        <f>IF(D41="","",D41*'参数与说明'!$B$6/0.453592)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34366</v>
      </c>
      <c r="B42" s="17" t="n">
        <v>1994</v>
      </c>
      <c r="C42" s="17" t="n">
        <v>2</v>
      </c>
      <c r="D42" s="18" t="n">
        <v>0.344</v>
      </c>
      <c r="E42" s="18">
        <f>IF(D42="","",D42*'参数与说明'!$B$6/0.453592)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34394</v>
      </c>
      <c r="B43" s="13" t="n">
        <v>1994</v>
      </c>
      <c r="C43" s="13" t="n">
        <v>3</v>
      </c>
      <c r="D43" s="14" t="n">
        <v>0.353</v>
      </c>
      <c r="E43" s="14">
        <f>IF(D43="","",D43*'参数与说明'!$B$6/0.453592)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34425</v>
      </c>
      <c r="B44" s="17" t="n">
        <v>1994</v>
      </c>
      <c r="C44" s="17" t="n">
        <v>4</v>
      </c>
      <c r="D44" s="18" t="n">
        <v>0.356</v>
      </c>
      <c r="E44" s="18">
        <f>IF(D44="","",D44*'参数与说明'!$B$6/0.453592)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34455</v>
      </c>
      <c r="B45" s="13" t="n">
        <v>1994</v>
      </c>
      <c r="C45" s="13" t="n">
        <v>5</v>
      </c>
      <c r="D45" s="14" t="n">
        <v>0.376</v>
      </c>
      <c r="E45" s="14">
        <f>IF(D45="","",D45*'参数与说明'!$B$6/0.453592)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34486</v>
      </c>
      <c r="B46" s="17" t="n">
        <v>1994</v>
      </c>
      <c r="C46" s="17" t="n">
        <v>6</v>
      </c>
      <c r="D46" s="18" t="n">
        <v>0.375</v>
      </c>
      <c r="E46" s="18">
        <f>IF(D46="","",D46*'参数与说明'!$B$6/0.453592)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34516</v>
      </c>
      <c r="B47" s="13" t="n">
        <v>1994</v>
      </c>
      <c r="C47" s="13" t="n">
        <v>7</v>
      </c>
      <c r="D47" s="14" t="n">
        <v>0.364</v>
      </c>
      <c r="E47" s="14">
        <f>IF(D47="","",D47*'参数与说明'!$B$6/0.453592)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34547</v>
      </c>
      <c r="B48" s="17" t="n">
        <v>1994</v>
      </c>
      <c r="C48" s="17" t="n">
        <v>8</v>
      </c>
      <c r="D48" s="18" t="n">
        <v>0.351</v>
      </c>
      <c r="E48" s="18">
        <f>IF(D48="","",D48*'参数与说明'!$B$6/0.453592)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34578</v>
      </c>
      <c r="B49" s="13" t="n">
        <v>1994</v>
      </c>
      <c r="C49" s="13" t="n">
        <v>9</v>
      </c>
      <c r="D49" s="14" t="n">
        <v>0.351</v>
      </c>
      <c r="E49" s="14">
        <f>IF(D49="","",D49*'参数与说明'!$B$6/0.453592)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34608</v>
      </c>
      <c r="B50" s="17" t="n">
        <v>1994</v>
      </c>
      <c r="C50" s="17" t="n">
        <v>10</v>
      </c>
      <c r="D50" s="18" t="n">
        <v>0.339</v>
      </c>
      <c r="E50" s="18">
        <f>IF(D50="","",D50*'参数与说明'!$B$6/0.453592)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34639</v>
      </c>
      <c r="B51" s="13" t="n">
        <v>1994</v>
      </c>
      <c r="C51" s="13" t="n">
        <v>11</v>
      </c>
      <c r="D51" s="14" t="n">
        <v>0.323</v>
      </c>
      <c r="E51" s="14">
        <f>IF(D51="","",D51*'参数与说明'!$B$6/0.453592)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34669</v>
      </c>
      <c r="B52" s="17" t="n">
        <v>1994</v>
      </c>
      <c r="C52" s="17" t="n">
        <v>12</v>
      </c>
      <c r="D52" s="18" t="n">
        <v>0.325</v>
      </c>
      <c r="E52" s="18">
        <f>IF(D52="","",D52*'参数与说明'!$B$6/0.453592)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34700</v>
      </c>
      <c r="B53" s="13" t="n">
        <v>1995</v>
      </c>
      <c r="C53" s="13" t="n">
        <v>1</v>
      </c>
      <c r="D53" s="14" t="n">
        <v>0.324</v>
      </c>
      <c r="E53" s="14">
        <f>IF(D53="","",D53*'参数与说明'!$B$6/0.453592)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34731</v>
      </c>
      <c r="B54" s="17" t="n">
        <v>1995</v>
      </c>
      <c r="C54" s="17" t="n">
        <v>2</v>
      </c>
      <c r="D54" s="18" t="n">
        <v>0.325</v>
      </c>
      <c r="E54" s="18">
        <f>IF(D54="","",D54*'参数与说明'!$B$6/0.453592)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34759</v>
      </c>
      <c r="B55" s="13" t="n">
        <v>1995</v>
      </c>
      <c r="C55" s="13" t="n">
        <v>3</v>
      </c>
      <c r="D55" s="14" t="n">
        <v>0.327</v>
      </c>
      <c r="E55" s="14">
        <f>IF(D55="","",D55*'参数与说明'!$B$6/0.453592)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34790</v>
      </c>
      <c r="B56" s="17" t="n">
        <v>1995</v>
      </c>
      <c r="C56" s="17" t="n">
        <v>4</v>
      </c>
      <c r="D56" s="18" t="n">
        <v>0.323</v>
      </c>
      <c r="E56" s="18">
        <f>IF(D56="","",D56*'参数与说明'!$B$6/0.453592)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34820</v>
      </c>
      <c r="B57" s="13" t="n">
        <v>1995</v>
      </c>
      <c r="C57" s="13" t="n">
        <v>5</v>
      </c>
      <c r="D57" s="14" t="n">
        <v>0.319</v>
      </c>
      <c r="E57" s="14">
        <f>IF(D57="","",D57*'参数与说明'!$B$6/0.453592)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34851</v>
      </c>
      <c r="B58" s="17" t="n">
        <v>1995</v>
      </c>
      <c r="C58" s="17" t="n">
        <v>6</v>
      </c>
      <c r="D58" s="18" t="n">
        <v>0.332</v>
      </c>
      <c r="E58" s="18">
        <f>IF(D58="","",D58*'参数与说明'!$B$6/0.453592)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34881</v>
      </c>
      <c r="B59" s="13" t="n">
        <v>1995</v>
      </c>
      <c r="C59" s="13" t="n">
        <v>7</v>
      </c>
      <c r="D59" s="14" t="n">
        <v>0.347</v>
      </c>
      <c r="E59" s="14">
        <f>IF(D59="","",D59*'参数与说明'!$B$6/0.453592)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34912</v>
      </c>
      <c r="B60" s="17" t="n">
        <v>1995</v>
      </c>
      <c r="C60" s="17" t="n">
        <v>8</v>
      </c>
      <c r="D60" s="18" t="n">
        <v>0.374</v>
      </c>
      <c r="E60" s="18">
        <f>IF(D60="","",D60*'参数与说明'!$B$6/0.453592)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34943</v>
      </c>
      <c r="B61" s="13" t="n">
        <v>1995</v>
      </c>
      <c r="C61" s="13" t="n">
        <v>9</v>
      </c>
      <c r="D61" s="14" t="n">
        <v>0.381</v>
      </c>
      <c r="E61" s="14">
        <f>IF(D61="","",D61*'参数与说明'!$B$6/0.453592)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34973</v>
      </c>
      <c r="B62" s="17" t="n">
        <v>1995</v>
      </c>
      <c r="C62" s="17" t="n">
        <v>10</v>
      </c>
      <c r="D62" s="18" t="n">
        <v>0.368</v>
      </c>
      <c r="E62" s="18">
        <f>IF(D62="","",D62*'参数与说明'!$B$6/0.453592)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35004</v>
      </c>
      <c r="B63" s="13" t="n">
        <v>1995</v>
      </c>
      <c r="C63" s="13" t="n">
        <v>11</v>
      </c>
      <c r="D63" s="14" t="n">
        <v>0.376</v>
      </c>
      <c r="E63" s="14">
        <f>IF(D63="","",D63*'参数与说明'!$B$6/0.453592)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35034</v>
      </c>
      <c r="B64" s="17" t="n">
        <v>1995</v>
      </c>
      <c r="C64" s="17" t="n">
        <v>12</v>
      </c>
      <c r="D64" s="18" t="n">
        <v>0.362</v>
      </c>
      <c r="E64" s="18">
        <f>IF(D64="","",D64*'参数与说明'!$B$6/0.453592)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35065</v>
      </c>
      <c r="B65" s="13" t="n">
        <v>1996</v>
      </c>
      <c r="C65" s="13" t="n">
        <v>1</v>
      </c>
      <c r="D65" s="14" t="n">
        <v>0.372</v>
      </c>
      <c r="E65" s="14">
        <f>IF(D65="","",D65*'参数与说明'!$B$6/0.453592)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35096</v>
      </c>
      <c r="B66" s="17" t="n">
        <v>1996</v>
      </c>
      <c r="C66" s="17" t="n">
        <v>2</v>
      </c>
      <c r="D66" s="18" t="n">
        <v>0.353</v>
      </c>
      <c r="E66" s="18">
        <f>IF(D66="","",D66*'参数与说明'!$B$6/0.453592)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35125</v>
      </c>
      <c r="B67" s="13" t="n">
        <v>1996</v>
      </c>
      <c r="C67" s="13" t="n">
        <v>3</v>
      </c>
      <c r="D67" s="14" t="n">
        <v>0.341</v>
      </c>
      <c r="E67" s="14">
        <f>IF(D67="","",D67*'参数与说明'!$B$6/0.453592)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35156</v>
      </c>
      <c r="B68" s="17" t="n">
        <v>1996</v>
      </c>
      <c r="C68" s="17" t="n">
        <v>4</v>
      </c>
      <c r="D68" s="18" t="n">
        <v>0.349</v>
      </c>
      <c r="E68" s="18">
        <f>IF(D68="","",D68*'参数与说明'!$B$6/0.453592)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35186</v>
      </c>
      <c r="B69" s="13" t="n">
        <v>1996</v>
      </c>
      <c r="C69" s="13" t="n">
        <v>5</v>
      </c>
      <c r="D69" s="14" t="n">
        <v>0.378</v>
      </c>
      <c r="E69" s="14">
        <f>IF(D69="","",D69*'参数与说明'!$B$6/0.453592)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35217</v>
      </c>
      <c r="B70" s="17" t="n">
        <v>1996</v>
      </c>
      <c r="C70" s="17" t="n">
        <v>6</v>
      </c>
      <c r="D70" s="18" t="n">
        <v>0.406</v>
      </c>
      <c r="E70" s="18">
        <f>IF(D70="","",D70*'参数与说明'!$B$6/0.453592)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35247</v>
      </c>
      <c r="B71" s="13" t="n">
        <v>1996</v>
      </c>
      <c r="C71" s="13" t="n">
        <v>7</v>
      </c>
      <c r="D71" s="14" t="n">
        <v>0.405</v>
      </c>
      <c r="E71" s="14">
        <f>IF(D71="","",D71*'参数与说明'!$B$6/0.453592)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35278</v>
      </c>
      <c r="B72" s="17" t="n">
        <v>1996</v>
      </c>
      <c r="C72" s="17" t="n">
        <v>8</v>
      </c>
      <c r="D72" s="18" t="n">
        <v>0.403</v>
      </c>
      <c r="E72" s="18">
        <f>IF(D72="","",D72*'参数与说明'!$B$6/0.453592)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35309</v>
      </c>
      <c r="B73" s="13" t="n">
        <v>1996</v>
      </c>
      <c r="C73" s="13" t="n">
        <v>9</v>
      </c>
      <c r="D73" s="14" t="n">
        <v>0.402</v>
      </c>
      <c r="E73" s="14">
        <f>IF(D73="","",D73*'参数与说明'!$B$6/0.453592)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35339</v>
      </c>
      <c r="B74" s="17" t="n">
        <v>1996</v>
      </c>
      <c r="C74" s="17" t="n">
        <v>10</v>
      </c>
      <c r="D74" s="18" t="n">
        <v>0.395</v>
      </c>
      <c r="E74" s="18">
        <f>IF(D74="","",D74*'参数与说明'!$B$6/0.453592)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35370</v>
      </c>
      <c r="B75" s="13" t="n">
        <v>1996</v>
      </c>
      <c r="C75" s="13" t="n">
        <v>11</v>
      </c>
      <c r="D75" s="14" t="n">
        <v>0.404</v>
      </c>
      <c r="E75" s="14">
        <f>IF(D75="","",D75*'参数与说明'!$B$6/0.453592)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35400</v>
      </c>
      <c r="B76" s="17" t="n">
        <v>1996</v>
      </c>
      <c r="C76" s="17" t="n">
        <v>12</v>
      </c>
      <c r="D76" s="18" t="n">
        <v>0.407</v>
      </c>
      <c r="E76" s="18">
        <f>IF(D76="","",D76*'参数与说明'!$B$6/0.453592)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35431</v>
      </c>
      <c r="B77" s="13" t="n">
        <v>1997</v>
      </c>
      <c r="C77" s="13" t="n">
        <v>1</v>
      </c>
      <c r="D77" s="14" t="n">
        <v>0.39</v>
      </c>
      <c r="E77" s="14">
        <f>IF(D77="","",D77*'参数与说明'!$B$6/0.453592)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35462</v>
      </c>
      <c r="B78" s="17" t="n">
        <v>1997</v>
      </c>
      <c r="C78" s="17" t="n">
        <v>2</v>
      </c>
      <c r="D78" s="18" t="n">
        <v>0.377</v>
      </c>
      <c r="E78" s="18">
        <f>IF(D78="","",D78*'参数与说明'!$B$6/0.453592)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35490</v>
      </c>
      <c r="B79" s="13" t="n">
        <v>1997</v>
      </c>
      <c r="C79" s="13" t="n">
        <v>3</v>
      </c>
      <c r="D79" s="14" t="n">
        <v>0.369</v>
      </c>
      <c r="E79" s="14">
        <f>IF(D79="","",D79*'参数与说明'!$B$6/0.453592)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35521</v>
      </c>
      <c r="B80" s="17" t="n">
        <v>1997</v>
      </c>
      <c r="C80" s="17" t="n">
        <v>4</v>
      </c>
      <c r="D80" s="18" t="n">
        <v>0.367</v>
      </c>
      <c r="E80" s="18">
        <f>IF(D80="","",D80*'参数与说明'!$B$6/0.453592)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35551</v>
      </c>
      <c r="B81" s="13" t="n">
        <v>1997</v>
      </c>
      <c r="C81" s="13" t="n">
        <v>5</v>
      </c>
      <c r="D81" s="14" t="n">
        <v>0.368</v>
      </c>
      <c r="E81" s="14">
        <f>IF(D81="","",D81*'参数与说明'!$B$6/0.453592)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35582</v>
      </c>
      <c r="B82" s="17" t="n">
        <v>1997</v>
      </c>
      <c r="C82" s="17" t="n">
        <v>6</v>
      </c>
      <c r="D82" s="18" t="n">
        <v>0.374</v>
      </c>
      <c r="E82" s="18">
        <f>IF(D82="","",D82*'参数与说明'!$B$6/0.453592)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35612</v>
      </c>
      <c r="B83" s="13" t="n">
        <v>1997</v>
      </c>
      <c r="C83" s="13" t="n">
        <v>7</v>
      </c>
      <c r="D83" s="14" t="n">
        <v>0.4</v>
      </c>
      <c r="E83" s="14">
        <f>IF(D83="","",D83*'参数与说明'!$B$6/0.453592)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35643</v>
      </c>
      <c r="B84" s="17" t="n">
        <v>1997</v>
      </c>
      <c r="C84" s="17" t="n">
        <v>8</v>
      </c>
      <c r="D84" s="18" t="n">
        <v>0.399</v>
      </c>
      <c r="E84" s="18">
        <f>IF(D84="","",D84*'参数与说明'!$B$6/0.453592)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35674</v>
      </c>
      <c r="B85" s="13" t="n">
        <v>1997</v>
      </c>
      <c r="C85" s="13" t="n">
        <v>9</v>
      </c>
      <c r="D85" s="14" t="n">
        <v>0.382</v>
      </c>
      <c r="E85" s="14">
        <f>IF(D85="","",D85*'参数与说明'!$B$6/0.453592)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35704</v>
      </c>
      <c r="B86" s="17" t="n">
        <v>1997</v>
      </c>
      <c r="C86" s="17" t="n">
        <v>10</v>
      </c>
      <c r="D86" s="18" t="n">
        <v>0.347</v>
      </c>
      <c r="E86" s="18">
        <f>IF(D86="","",D86*'参数与说明'!$B$6/0.453592)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35735</v>
      </c>
      <c r="B87" s="13" t="n">
        <v>1997</v>
      </c>
      <c r="C87" s="13" t="n">
        <v>11</v>
      </c>
      <c r="D87" s="14" t="n">
        <v>0.337</v>
      </c>
      <c r="E87" s="14">
        <f>IF(D87="","",D87*'参数与说明'!$B$6/0.453592)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35765</v>
      </c>
      <c r="B88" s="17" t="n">
        <v>1997</v>
      </c>
      <c r="C88" s="17" t="n">
        <v>12</v>
      </c>
      <c r="D88" s="18" t="n">
        <v>0.324</v>
      </c>
      <c r="E88" s="18">
        <f>IF(D88="","",D88*'参数与说明'!$B$6/0.453592)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35796</v>
      </c>
      <c r="B89" s="13" t="n">
        <v>1998</v>
      </c>
      <c r="C89" s="13" t="n">
        <v>1</v>
      </c>
      <c r="D89" s="14" t="n">
        <v>0.336</v>
      </c>
      <c r="E89" s="14">
        <f>IF(D89="","",D89*'参数与说明'!$B$6/0.453592)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35827</v>
      </c>
      <c r="B90" s="17" t="n">
        <v>1998</v>
      </c>
      <c r="C90" s="17" t="n">
        <v>2</v>
      </c>
      <c r="D90" s="18" t="n">
        <v>0.343</v>
      </c>
      <c r="E90" s="18">
        <f>IF(D90="","",D90*'参数与说明'!$B$6/0.453592)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35855</v>
      </c>
      <c r="B91" s="13" t="n">
        <v>1998</v>
      </c>
      <c r="C91" s="13" t="n">
        <v>3</v>
      </c>
      <c r="D91" s="14" t="n">
        <v>0.354</v>
      </c>
      <c r="E91" s="14">
        <f>IF(D91="","",D91*'参数与说明'!$B$6/0.453592)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35886</v>
      </c>
      <c r="B92" s="17" t="n">
        <v>1998</v>
      </c>
      <c r="C92" s="17" t="n">
        <v>4</v>
      </c>
      <c r="D92" s="18" t="n">
        <v>0.364</v>
      </c>
      <c r="E92" s="18">
        <f>IF(D92="","",D92*'参数与说明'!$B$6/0.453592)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35916</v>
      </c>
      <c r="B93" s="13" t="n">
        <v>1998</v>
      </c>
      <c r="C93" s="13" t="n">
        <v>5</v>
      </c>
      <c r="D93" s="14" t="n">
        <v>0.375</v>
      </c>
      <c r="E93" s="14">
        <f>IF(D93="","",D93*'参数与说明'!$B$6/0.453592)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35947</v>
      </c>
      <c r="B94" s="17" t="n">
        <v>1998</v>
      </c>
      <c r="C94" s="17" t="n">
        <v>6</v>
      </c>
      <c r="D94" s="18" t="n">
        <v>0.406</v>
      </c>
      <c r="E94" s="18">
        <f>IF(D94="","",D94*'参数与说明'!$B$6/0.453592)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35977</v>
      </c>
      <c r="B95" s="13" t="n">
        <v>1998</v>
      </c>
      <c r="C95" s="13" t="n">
        <v>7</v>
      </c>
      <c r="D95" s="14" t="n">
        <v>0.44</v>
      </c>
      <c r="E95" s="14">
        <f>IF(D95="","",D95*'参数与说明'!$B$6/0.453592)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36008</v>
      </c>
      <c r="B96" s="17" t="n">
        <v>1998</v>
      </c>
      <c r="C96" s="17" t="n">
        <v>8</v>
      </c>
      <c r="D96" s="18" t="n">
        <v>0.468</v>
      </c>
      <c r="E96" s="18">
        <f>IF(D96="","",D96*'参数与说明'!$B$6/0.453592)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36039</v>
      </c>
      <c r="B97" s="13" t="n">
        <v>1998</v>
      </c>
      <c r="C97" s="13" t="n">
        <v>9</v>
      </c>
      <c r="D97" s="14" t="n">
        <v>0.459</v>
      </c>
      <c r="E97" s="14">
        <f>IF(D97="","",D97*'参数与说明'!$B$6/0.453592)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36069</v>
      </c>
      <c r="B98" s="17" t="n">
        <v>1998</v>
      </c>
      <c r="C98" s="17" t="n">
        <v>10</v>
      </c>
      <c r="D98" s="18" t="n">
        <v>0.434</v>
      </c>
      <c r="E98" s="18">
        <f>IF(D98="","",D98*'参数与说明'!$B$6/0.453592)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36100</v>
      </c>
      <c r="B99" s="13" t="n">
        <v>1998</v>
      </c>
      <c r="C99" s="13" t="n">
        <v>11</v>
      </c>
      <c r="D99" s="14" t="n">
        <v>0.413</v>
      </c>
      <c r="E99" s="14">
        <f>IF(D99="","",D99*'参数与说明'!$B$6/0.453592)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36130</v>
      </c>
      <c r="B100" s="17" t="n">
        <v>1998</v>
      </c>
      <c r="C100" s="17" t="n">
        <v>12</v>
      </c>
      <c r="D100" s="18" t="n">
        <v>0.385</v>
      </c>
      <c r="E100" s="18">
        <f>IF(D100="","",D100*'参数与说明'!$B$6/0.453592)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36161</v>
      </c>
      <c r="B101" s="13" t="n">
        <v>1999</v>
      </c>
      <c r="C101" s="13" t="n">
        <v>1</v>
      </c>
      <c r="D101" s="14" t="n">
        <v>0.38</v>
      </c>
      <c r="E101" s="14">
        <f>IF(D101="","",D101*'参数与说明'!$B$6/0.453592)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36192</v>
      </c>
      <c r="B102" s="17" t="n">
        <v>1999</v>
      </c>
      <c r="C102" s="17" t="n">
        <v>2</v>
      </c>
      <c r="D102" s="18" t="n">
        <v>0.364</v>
      </c>
      <c r="E102" s="18">
        <f>IF(D102="","",D102*'参数与说明'!$B$6/0.453592)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36220</v>
      </c>
      <c r="B103" s="13" t="n">
        <v>1999</v>
      </c>
      <c r="C103" s="13" t="n">
        <v>3</v>
      </c>
      <c r="D103" s="14" t="n">
        <v>0.35</v>
      </c>
      <c r="E103" s="14">
        <f>IF(D103="","",D103*'参数与说明'!$B$6/0.453592)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36251</v>
      </c>
      <c r="B104" s="17" t="n">
        <v>1999</v>
      </c>
      <c r="C104" s="17" t="n">
        <v>4</v>
      </c>
      <c r="D104" s="18" t="n">
        <v>0.354</v>
      </c>
      <c r="E104" s="18">
        <f>IF(D104="","",D104*'参数与说明'!$B$6/0.453592)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36281</v>
      </c>
      <c r="B105" s="13" t="n">
        <v>1999</v>
      </c>
      <c r="C105" s="13" t="n">
        <v>5</v>
      </c>
      <c r="D105" s="14" t="n">
        <v>0.38</v>
      </c>
      <c r="E105" s="14">
        <f>IF(D105="","",D105*'参数与说明'!$B$6/0.453592)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36312</v>
      </c>
      <c r="B106" s="17" t="n">
        <v>1999</v>
      </c>
      <c r="C106" s="17" t="n">
        <v>6</v>
      </c>
      <c r="D106" s="18" t="n">
        <v>0.387</v>
      </c>
      <c r="E106" s="18">
        <f>IF(D106="","",D106*'参数与说明'!$B$6/0.453592)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36342</v>
      </c>
      <c r="B107" s="13" t="n">
        <v>1999</v>
      </c>
      <c r="C107" s="13" t="n">
        <v>7</v>
      </c>
      <c r="D107" s="14" t="n">
        <v>0.38</v>
      </c>
      <c r="E107" s="14">
        <f>IF(D107="","",D107*'参数与说明'!$B$6/0.453592)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36373</v>
      </c>
      <c r="B108" s="17" t="n">
        <v>1999</v>
      </c>
      <c r="C108" s="17" t="n">
        <v>8</v>
      </c>
      <c r="D108" s="18" t="n">
        <v>0.372</v>
      </c>
      <c r="E108" s="18">
        <f>IF(D108="","",D108*'参数与说明'!$B$6/0.453592)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36404</v>
      </c>
      <c r="B109" s="13" t="n">
        <v>1999</v>
      </c>
      <c r="C109" s="13" t="n">
        <v>9</v>
      </c>
      <c r="D109" s="14" t="n">
        <v>0.359</v>
      </c>
      <c r="E109" s="14">
        <f>IF(D109="","",D109*'参数与说明'!$B$6/0.453592)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36434</v>
      </c>
      <c r="B110" s="17" t="n">
        <v>1999</v>
      </c>
      <c r="C110" s="17" t="n">
        <v>10</v>
      </c>
      <c r="D110" s="18" t="n">
        <v>0.343</v>
      </c>
      <c r="E110" s="18">
        <f>IF(D110="","",D110*'参数与说明'!$B$6/0.453592)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36465</v>
      </c>
      <c r="B111" s="13" t="n">
        <v>1999</v>
      </c>
      <c r="C111" s="13" t="n">
        <v>11</v>
      </c>
      <c r="D111" s="14" t="n">
        <v>0.38</v>
      </c>
      <c r="E111" s="14">
        <f>IF(D111="","",D111*'参数与说明'!$B$6/0.453592)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36495</v>
      </c>
      <c r="B112" s="17" t="n">
        <v>1999</v>
      </c>
      <c r="C112" s="17" t="n">
        <v>12</v>
      </c>
      <c r="D112" s="18" t="n">
        <v>0.36</v>
      </c>
      <c r="E112" s="18">
        <f>IF(D112="","",D112*'参数与说明'!$B$6/0.453592)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36526</v>
      </c>
      <c r="B113" s="13" t="n">
        <v>2000</v>
      </c>
      <c r="C113" s="13" t="n">
        <v>1</v>
      </c>
      <c r="D113" s="14" t="n">
        <v>0.33</v>
      </c>
      <c r="E113" s="14">
        <f>IF(D113="","",D113*'参数与说明'!$B$6/0.453592)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36557</v>
      </c>
      <c r="B114" s="17" t="n">
        <v>2000</v>
      </c>
      <c r="C114" s="17" t="n">
        <v>2</v>
      </c>
      <c r="D114" s="18" t="n">
        <v>0.3</v>
      </c>
      <c r="E114" s="18">
        <f>IF(D114="","",D114*'参数与说明'!$B$6/0.453592)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36586</v>
      </c>
      <c r="B115" s="13" t="n">
        <v>2000</v>
      </c>
      <c r="C115" s="13" t="n">
        <v>3</v>
      </c>
      <c r="D115" s="14" t="n">
        <v>0.32</v>
      </c>
      <c r="E115" s="14">
        <f>IF(D115="","",D115*'参数与说明'!$B$6/0.453592)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36617</v>
      </c>
      <c r="B116" s="17" t="n">
        <v>2000</v>
      </c>
      <c r="C116" s="17" t="n">
        <v>4</v>
      </c>
      <c r="D116" s="18" t="n">
        <v>0.34</v>
      </c>
      <c r="E116" s="18">
        <f>IF(D116="","",D116*'参数与说明'!$B$6/0.453592)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36647</v>
      </c>
      <c r="B117" s="13" t="n">
        <v>2000</v>
      </c>
      <c r="C117" s="13" t="n">
        <v>5</v>
      </c>
      <c r="D117" s="14" t="n">
        <v>0.34</v>
      </c>
      <c r="E117" s="14">
        <f>IF(D117="","",D117*'参数与说明'!$B$6/0.453592)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36678</v>
      </c>
      <c r="B118" s="17" t="n">
        <v>2000</v>
      </c>
      <c r="C118" s="17" t="n">
        <v>6</v>
      </c>
      <c r="D118" s="18" t="n">
        <v>0.34</v>
      </c>
      <c r="E118" s="18">
        <f>IF(D118="","",D118*'参数与说明'!$B$6/0.453592)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36708</v>
      </c>
      <c r="B119" s="13" t="n">
        <v>2000</v>
      </c>
      <c r="C119" s="13" t="n">
        <v>7</v>
      </c>
      <c r="D119" s="14" t="n">
        <v>0.35</v>
      </c>
      <c r="E119" s="14">
        <f>IF(D119="","",D119*'参数与说明'!$B$6/0.453592)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36739</v>
      </c>
      <c r="B120" s="17" t="n">
        <v>2000</v>
      </c>
      <c r="C120" s="17" t="n">
        <v>8</v>
      </c>
      <c r="D120" s="18" t="n">
        <v>0.33</v>
      </c>
      <c r="E120" s="18">
        <f>IF(D120="","",D120*'参数与说明'!$B$6/0.453592)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36770</v>
      </c>
      <c r="B121" s="13" t="n">
        <v>2000</v>
      </c>
      <c r="C121" s="13" t="n">
        <v>9</v>
      </c>
      <c r="D121" s="14" t="n">
        <v>0.38</v>
      </c>
      <c r="E121" s="14">
        <f>IF(D121="","",D121*'参数与说明'!$B$6/0.453592)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36800</v>
      </c>
      <c r="B122" s="17" t="n">
        <v>2000</v>
      </c>
      <c r="C122" s="17" t="n">
        <v>10</v>
      </c>
      <c r="D122" s="18" t="n">
        <v>0.35</v>
      </c>
      <c r="E122" s="18">
        <f>IF(D122="","",D122*'参数与说明'!$B$6/0.453592)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36831</v>
      </c>
      <c r="B123" s="13" t="n">
        <v>2000</v>
      </c>
      <c r="C123" s="13" t="n">
        <v>11</v>
      </c>
      <c r="D123" s="14" t="n">
        <v>0.38</v>
      </c>
      <c r="E123" s="14">
        <f>IF(D123="","",D123*'参数与说明'!$B$6/0.453592)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36861</v>
      </c>
      <c r="B124" s="17" t="n">
        <v>2000</v>
      </c>
      <c r="C124" s="17" t="n">
        <v>12</v>
      </c>
      <c r="D124" s="18" t="n">
        <v>0.35</v>
      </c>
      <c r="E124" s="18">
        <f>IF(D124="","",D124*'参数与说明'!$B$6/0.453592)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36892</v>
      </c>
      <c r="B125" s="13" t="n">
        <v>2001</v>
      </c>
      <c r="C125" s="13" t="n">
        <v>1</v>
      </c>
      <c r="D125" s="14" t="n">
        <v>0.34</v>
      </c>
      <c r="E125" s="14">
        <f>IF(D125="","",D125*'参数与说明'!$B$6/0.453592)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36923</v>
      </c>
      <c r="B126" s="17" t="n">
        <v>2001</v>
      </c>
      <c r="C126" s="17" t="n">
        <v>2</v>
      </c>
      <c r="D126" s="18" t="n">
        <v>0.37</v>
      </c>
      <c r="E126" s="18">
        <f>IF(D126="","",D126*'参数与说明'!$B$6/0.453592)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36951</v>
      </c>
      <c r="B127" s="13" t="n">
        <v>2001</v>
      </c>
      <c r="C127" s="13" t="n">
        <v>3</v>
      </c>
      <c r="D127" s="14" t="n">
        <v>0.39</v>
      </c>
      <c r="E127" s="14">
        <f>IF(D127="","",D127*'参数与说明'!$B$6/0.453592)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36982</v>
      </c>
      <c r="B128" s="17" t="n">
        <v>2001</v>
      </c>
      <c r="C128" s="17" t="n">
        <v>4</v>
      </c>
      <c r="D128" s="18" t="n">
        <v>0.39</v>
      </c>
      <c r="E128" s="18">
        <f>IF(D128="","",D128*'参数与说明'!$B$6/0.453592)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37012</v>
      </c>
      <c r="B129" s="13" t="n">
        <v>2001</v>
      </c>
      <c r="C129" s="13" t="n">
        <v>5</v>
      </c>
      <c r="D129" s="14" t="n">
        <v>0.4</v>
      </c>
      <c r="E129" s="14">
        <f>IF(D129="","",D129*'参数与说明'!$B$6/0.453592)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37043</v>
      </c>
      <c r="B130" s="17" t="n">
        <v>2001</v>
      </c>
      <c r="C130" s="17" t="n">
        <v>6</v>
      </c>
      <c r="D130" s="18" t="n">
        <v>0.41</v>
      </c>
      <c r="E130" s="18">
        <f>IF(D130="","",D130*'参数与说明'!$B$6/0.453592)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37073</v>
      </c>
      <c r="B131" s="13" t="n">
        <v>2001</v>
      </c>
      <c r="C131" s="13" t="n">
        <v>7</v>
      </c>
      <c r="D131" s="14" t="n">
        <v>0.42</v>
      </c>
      <c r="E131" s="14">
        <f>IF(D131="","",D131*'参数与说明'!$B$6/0.453592)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37104</v>
      </c>
      <c r="B132" s="17" t="n">
        <v>2001</v>
      </c>
      <c r="C132" s="17" t="n">
        <v>8</v>
      </c>
      <c r="D132" s="18" t="n">
        <v>0.42</v>
      </c>
      <c r="E132" s="18">
        <f>IF(D132="","",D132*'参数与说明'!$B$6/0.453592)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37135</v>
      </c>
      <c r="B133" s="13" t="n">
        <v>2001</v>
      </c>
      <c r="C133" s="13" t="n">
        <v>9</v>
      </c>
      <c r="D133" s="14" t="n">
        <v>0.43</v>
      </c>
      <c r="E133" s="14">
        <f>IF(D133="","",D133*'参数与说明'!$B$6/0.453592)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37165</v>
      </c>
      <c r="B134" s="17" t="n">
        <v>2001</v>
      </c>
      <c r="C134" s="17" t="n">
        <v>10</v>
      </c>
      <c r="D134" s="18" t="n">
        <v>0.41</v>
      </c>
      <c r="E134" s="18">
        <f>IF(D134="","",D134*'参数与说明'!$B$6/0.453592)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37196</v>
      </c>
      <c r="B135" s="13" t="n">
        <v>2001</v>
      </c>
      <c r="C135" s="13" t="n">
        <v>11</v>
      </c>
      <c r="D135" s="14" t="n">
        <v>0.39</v>
      </c>
      <c r="E135" s="14">
        <f>IF(D135="","",D135*'参数与说明'!$B$6/0.453592)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37226</v>
      </c>
      <c r="B136" s="17" t="n">
        <v>2001</v>
      </c>
      <c r="C136" s="17" t="n">
        <v>12</v>
      </c>
      <c r="D136" s="18" t="n">
        <v>0.32</v>
      </c>
      <c r="E136" s="18">
        <f>IF(D136="","",D136*'参数与说明'!$B$6/0.453592)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37257</v>
      </c>
      <c r="B137" s="13" t="n">
        <v>2002</v>
      </c>
      <c r="C137" s="13" t="n">
        <v>1</v>
      </c>
      <c r="D137" s="14" t="n">
        <v>0.33</v>
      </c>
      <c r="E137" s="14">
        <f>IF(D137="","",D137*'参数与说明'!$B$6/0.453592)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37288</v>
      </c>
      <c r="B138" s="17" t="n">
        <v>2002</v>
      </c>
      <c r="C138" s="17" t="n">
        <v>2</v>
      </c>
      <c r="D138" s="18" t="n">
        <v>0.32</v>
      </c>
      <c r="E138" s="18">
        <f>IF(D138="","",D138*'参数与说明'!$B$6/0.453592)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37316</v>
      </c>
      <c r="B139" s="13" t="n">
        <v>2002</v>
      </c>
      <c r="C139" s="13" t="n">
        <v>3</v>
      </c>
      <c r="D139" s="14" t="n">
        <v>0.3</v>
      </c>
      <c r="E139" s="14">
        <f>IF(D139="","",D139*'参数与说明'!$B$6/0.453592)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37347</v>
      </c>
      <c r="B140" s="17" t="n">
        <v>2002</v>
      </c>
      <c r="C140" s="17" t="n">
        <v>4</v>
      </c>
      <c r="D140" s="18" t="n">
        <v>0.28</v>
      </c>
      <c r="E140" s="18">
        <f>IF(D140="","",D140*'参数与说明'!$B$6/0.453592)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37377</v>
      </c>
      <c r="B141" s="13" t="n">
        <v>2002</v>
      </c>
      <c r="C141" s="13" t="n">
        <v>5</v>
      </c>
      <c r="D141" s="14" t="n">
        <v>0.3</v>
      </c>
      <c r="E141" s="14">
        <f>IF(D141="","",D141*'参数与说明'!$B$6/0.453592)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37408</v>
      </c>
      <c r="B142" s="17" t="n">
        <v>2002</v>
      </c>
      <c r="C142" s="17" t="n">
        <v>6</v>
      </c>
      <c r="D142" s="18" t="n">
        <v>0.32</v>
      </c>
      <c r="E142" s="18">
        <f>IF(D142="","",D142*'参数与说明'!$B$6/0.453592)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37438</v>
      </c>
      <c r="B143" s="13" t="n">
        <v>2002</v>
      </c>
      <c r="C143" s="13" t="n">
        <v>7</v>
      </c>
      <c r="D143" s="14" t="n">
        <v>0.3</v>
      </c>
      <c r="E143" s="14">
        <f>IF(D143="","",D143*'参数与说明'!$B$6/0.453592)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37469</v>
      </c>
      <c r="B144" s="17" t="n">
        <v>2002</v>
      </c>
      <c r="C144" s="17" t="n">
        <v>8</v>
      </c>
      <c r="D144" s="18" t="n">
        <v>0.29</v>
      </c>
      <c r="E144" s="18">
        <f>IF(D144="","",D144*'参数与说明'!$B$6/0.453592)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37500</v>
      </c>
      <c r="B145" s="13" t="n">
        <v>2002</v>
      </c>
      <c r="C145" s="13" t="n">
        <v>9</v>
      </c>
      <c r="D145" s="14" t="n">
        <v>0.29</v>
      </c>
      <c r="E145" s="14">
        <f>IF(D145="","",D145*'参数与说明'!$B$6/0.453592)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37530</v>
      </c>
      <c r="B146" s="17" t="n">
        <v>2002</v>
      </c>
      <c r="C146" s="17" t="n">
        <v>10</v>
      </c>
      <c r="D146" s="18" t="n">
        <v>0.27</v>
      </c>
      <c r="E146" s="18">
        <f>IF(D146="","",D146*'参数与说明'!$B$6/0.453592)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37561</v>
      </c>
      <c r="B147" s="13" t="n">
        <v>2002</v>
      </c>
      <c r="C147" s="13" t="n">
        <v>11</v>
      </c>
      <c r="D147" s="14" t="n">
        <v>0.28</v>
      </c>
      <c r="E147" s="14">
        <f>IF(D147="","",D147*'参数与说明'!$B$6/0.453592)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37591</v>
      </c>
      <c r="B148" s="17" t="n">
        <v>2002</v>
      </c>
      <c r="C148" s="17" t="n">
        <v>12</v>
      </c>
      <c r="D148" s="18" t="n">
        <v>0.29</v>
      </c>
      <c r="E148" s="18">
        <f>IF(D148="","",D148*'参数与说明'!$B$6/0.453592)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37622</v>
      </c>
      <c r="B149" s="13" t="n">
        <v>2003</v>
      </c>
      <c r="C149" s="13" t="n">
        <v>1</v>
      </c>
      <c r="D149" s="14" t="n">
        <v>0.35</v>
      </c>
      <c r="E149" s="14">
        <f>IF(D149="","",D149*'参数与说明'!$B$6/0.453592)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37653</v>
      </c>
      <c r="B150" s="17" t="n">
        <v>2003</v>
      </c>
      <c r="C150" s="17" t="n">
        <v>2</v>
      </c>
      <c r="D150" s="18" t="n">
        <v>0.34</v>
      </c>
      <c r="E150" s="18">
        <f>IF(D150="","",D150*'参数与说明'!$B$6/0.453592)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37681</v>
      </c>
      <c r="B151" s="13" t="n">
        <v>2003</v>
      </c>
      <c r="C151" s="13" t="n">
        <v>3</v>
      </c>
      <c r="D151" s="14" t="n">
        <v>0.33</v>
      </c>
      <c r="E151" s="14">
        <f>IF(D151="","",D151*'参数与说明'!$B$6/0.453592)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37712</v>
      </c>
      <c r="B152" s="17" t="n">
        <v>2003</v>
      </c>
      <c r="C152" s="17" t="n">
        <v>4</v>
      </c>
      <c r="D152" s="18" t="n">
        <v>0.31</v>
      </c>
      <c r="E152" s="18">
        <f>IF(D152="","",D152*'参数与说明'!$B$6/0.453592)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37742</v>
      </c>
      <c r="B153" s="13" t="n">
        <v>2003</v>
      </c>
      <c r="C153" s="13" t="n">
        <v>5</v>
      </c>
      <c r="D153" s="14" t="n">
        <v>0.34</v>
      </c>
      <c r="E153" s="14">
        <f>IF(D153="","",D153*'参数与说明'!$B$6/0.453592)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37773</v>
      </c>
      <c r="B154" s="17" t="n">
        <v>2003</v>
      </c>
      <c r="C154" s="17" t="n">
        <v>6</v>
      </c>
      <c r="D154" s="18" t="n">
        <v>0.36</v>
      </c>
      <c r="E154" s="18">
        <f>IF(D154="","",D154*'参数与说明'!$B$6/0.453592)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37803</v>
      </c>
      <c r="B155" s="13" t="n">
        <v>2003</v>
      </c>
      <c r="C155" s="13" t="n">
        <v>7</v>
      </c>
      <c r="D155" s="14" t="n">
        <v>0.36</v>
      </c>
      <c r="E155" s="14">
        <f>IF(D155="","",D155*'参数与说明'!$B$6/0.453592)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37834</v>
      </c>
      <c r="B156" s="17" t="n">
        <v>2003</v>
      </c>
      <c r="C156" s="17" t="n">
        <v>8</v>
      </c>
      <c r="D156" s="18" t="n">
        <v>0.36</v>
      </c>
      <c r="E156" s="18">
        <f>IF(D156="","",D156*'参数与说明'!$B$6/0.453592)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37865</v>
      </c>
      <c r="B157" s="13" t="n">
        <v>2003</v>
      </c>
      <c r="C157" s="13" t="n">
        <v>9</v>
      </c>
      <c r="D157" s="14" t="n">
        <v>0.37</v>
      </c>
      <c r="E157" s="14">
        <f>IF(D157="","",D157*'参数与说明'!$B$6/0.453592)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37895</v>
      </c>
      <c r="B158" s="17" t="n">
        <v>2003</v>
      </c>
      <c r="C158" s="17" t="n">
        <v>10</v>
      </c>
      <c r="D158" s="18" t="n">
        <v>0.37</v>
      </c>
      <c r="E158" s="18">
        <f>IF(D158="","",D158*'参数与说明'!$B$6/0.453592)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37926</v>
      </c>
      <c r="B159" s="13" t="n">
        <v>2003</v>
      </c>
      <c r="C159" s="13" t="n">
        <v>11</v>
      </c>
      <c r="D159" s="14" t="n">
        <v>0.37</v>
      </c>
      <c r="E159" s="14">
        <f>IF(D159="","",D159*'参数与说明'!$B$6/0.453592)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37956</v>
      </c>
      <c r="B160" s="17" t="n">
        <v>2003</v>
      </c>
      <c r="C160" s="17" t="n">
        <v>12</v>
      </c>
      <c r="D160" s="18" t="n">
        <v>0.38</v>
      </c>
      <c r="E160" s="18">
        <f>IF(D160="","",D160*'参数与说明'!$B$6/0.453592)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37987</v>
      </c>
      <c r="B161" s="13" t="n">
        <v>2004</v>
      </c>
      <c r="C161" s="13" t="n">
        <v>1</v>
      </c>
      <c r="D161" s="14" t="n">
        <v>0.43</v>
      </c>
      <c r="E161" s="14">
        <f>IF(D161="","",D161*'参数与说明'!$B$6/0.453592)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38018</v>
      </c>
      <c r="B162" s="17" t="n">
        <v>2004</v>
      </c>
      <c r="C162" s="17" t="n">
        <v>2</v>
      </c>
      <c r="D162" s="18" t="n">
        <v>0.47</v>
      </c>
      <c r="E162" s="18">
        <f>IF(D162="","",D162*'参数与说明'!$B$6/0.453592)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38047</v>
      </c>
      <c r="B163" s="13" t="n">
        <v>2004</v>
      </c>
      <c r="C163" s="13" t="n">
        <v>3</v>
      </c>
      <c r="D163" s="14" t="n">
        <v>0.47</v>
      </c>
      <c r="E163" s="14">
        <f>IF(D163="","",D163*'参数与说明'!$B$6/0.453592)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38078</v>
      </c>
      <c r="B164" s="17" t="n">
        <v>2004</v>
      </c>
      <c r="C164" s="17" t="n">
        <v>4</v>
      </c>
      <c r="D164" s="18" t="n">
        <v>0.48</v>
      </c>
      <c r="E164" s="18">
        <f>IF(D164="","",D164*'参数与说明'!$B$6/0.453592)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38108</v>
      </c>
      <c r="B165" s="13" t="n">
        <v>2004</v>
      </c>
      <c r="C165" s="13" t="n">
        <v>5</v>
      </c>
      <c r="D165" s="14" t="n">
        <v>0.5</v>
      </c>
      <c r="E165" s="14">
        <f>IF(D165="","",D165*'参数与说明'!$B$6/0.453592)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38139</v>
      </c>
      <c r="B166" s="17" t="n">
        <v>2004</v>
      </c>
      <c r="C166" s="17" t="n">
        <v>6</v>
      </c>
      <c r="D166" s="18" t="n">
        <v>0.52</v>
      </c>
      <c r="E166" s="18">
        <f>IF(D166="","",D166*'参数与说明'!$B$6/0.453592)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38169</v>
      </c>
      <c r="B167" s="13" t="n">
        <v>2004</v>
      </c>
      <c r="C167" s="13" t="n">
        <v>7</v>
      </c>
      <c r="D167" s="14" t="n">
        <v>0.52</v>
      </c>
      <c r="E167" s="14">
        <f>IF(D167="","",D167*'参数与说明'!$B$6/0.453592)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38200</v>
      </c>
      <c r="B168" s="17" t="n">
        <v>2004</v>
      </c>
      <c r="C168" s="17" t="n">
        <v>8</v>
      </c>
      <c r="D168" s="18" t="n">
        <v>0.46</v>
      </c>
      <c r="E168" s="18">
        <f>IF(D168="","",D168*'参数与说明'!$B$6/0.453592)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38231</v>
      </c>
      <c r="B169" s="13" t="n">
        <v>2004</v>
      </c>
      <c r="C169" s="13" t="n">
        <v>9</v>
      </c>
      <c r="D169" s="14" t="n">
        <v>0.4</v>
      </c>
      <c r="E169" s="14">
        <f>IF(D169="","",D169*'参数与说明'!$B$6/0.453592)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38261</v>
      </c>
      <c r="B170" s="17" t="n">
        <v>2004</v>
      </c>
      <c r="C170" s="17" t="n">
        <v>10</v>
      </c>
      <c r="D170" s="18" t="n">
        <v>0.39</v>
      </c>
      <c r="E170" s="18">
        <f>IF(D170="","",D170*'参数与说明'!$B$6/0.453592)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38292</v>
      </c>
      <c r="B171" s="13" t="n">
        <v>2004</v>
      </c>
      <c r="C171" s="13" t="n">
        <v>11</v>
      </c>
      <c r="D171" s="14" t="n">
        <v>0.39</v>
      </c>
      <c r="E171" s="14">
        <f>IF(D171="","",D171*'参数与说明'!$B$6/0.453592)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38322</v>
      </c>
      <c r="B172" s="17" t="n">
        <v>2004</v>
      </c>
      <c r="C172" s="17" t="n">
        <v>12</v>
      </c>
      <c r="D172" s="18" t="n">
        <v>0.39</v>
      </c>
      <c r="E172" s="18">
        <f>IF(D172="","",D172*'参数与说明'!$B$6/0.453592)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38353</v>
      </c>
      <c r="B173" s="13" t="n">
        <v>2005</v>
      </c>
      <c r="C173" s="13" t="n">
        <v>1</v>
      </c>
      <c r="D173" s="14" t="n">
        <v>0.43</v>
      </c>
      <c r="E173" s="14">
        <f>IF(D173="","",D173*'参数与说明'!$B$6/0.453592)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38384</v>
      </c>
      <c r="B174" s="17" t="n">
        <v>2005</v>
      </c>
      <c r="C174" s="17" t="n">
        <v>2</v>
      </c>
      <c r="D174" s="18" t="n">
        <v>0.43</v>
      </c>
      <c r="E174" s="18">
        <f>IF(D174="","",D174*'参数与说明'!$B$6/0.453592)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38412</v>
      </c>
      <c r="B175" s="13" t="n">
        <v>2005</v>
      </c>
      <c r="C175" s="13" t="n">
        <v>3</v>
      </c>
      <c r="D175" s="14" t="n">
        <v>0.44</v>
      </c>
      <c r="E175" s="14">
        <f>IF(D175="","",D175*'参数与说明'!$B$6/0.453592)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38443</v>
      </c>
      <c r="B176" s="17" t="n">
        <v>2005</v>
      </c>
      <c r="C176" s="17" t="n">
        <v>4</v>
      </c>
      <c r="D176" s="18" t="n">
        <v>0.44</v>
      </c>
      <c r="E176" s="18">
        <f>IF(D176="","",D176*'参数与说明'!$B$6/0.453592)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38473</v>
      </c>
      <c r="B177" s="13" t="n">
        <v>2005</v>
      </c>
      <c r="C177" s="13" t="n">
        <v>5</v>
      </c>
      <c r="D177" s="14" t="n">
        <v>0.44</v>
      </c>
      <c r="E177" s="14">
        <f>IF(D177="","",D177*'参数与说明'!$B$6/0.453592)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38504</v>
      </c>
      <c r="B178" s="17" t="n">
        <v>2005</v>
      </c>
      <c r="C178" s="17" t="n">
        <v>6</v>
      </c>
      <c r="D178" s="18" t="n">
        <v>0.44</v>
      </c>
      <c r="E178" s="18">
        <f>IF(D178="","",D178*'参数与说明'!$B$6/0.453592)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38534</v>
      </c>
      <c r="B179" s="13" t="n">
        <v>2005</v>
      </c>
      <c r="C179" s="13" t="n">
        <v>7</v>
      </c>
      <c r="D179" s="14" t="n">
        <v>0.44</v>
      </c>
      <c r="E179" s="14">
        <f>IF(D179="","",D179*'参数与说明'!$B$6/0.453592)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38565</v>
      </c>
      <c r="B180" s="17" t="n">
        <v>2005</v>
      </c>
      <c r="C180" s="17" t="n">
        <v>8</v>
      </c>
      <c r="D180" s="18" t="n">
        <v>0.44</v>
      </c>
      <c r="E180" s="18">
        <f>IF(D180="","",D180*'参数与说明'!$B$6/0.453592)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38596</v>
      </c>
      <c r="B181" s="13" t="n">
        <v>2005</v>
      </c>
      <c r="C181" s="13" t="n">
        <v>9</v>
      </c>
      <c r="D181" s="14" t="n">
        <v>0.46</v>
      </c>
      <c r="E181" s="14">
        <f>IF(D181="","",D181*'参数与说明'!$B$6/0.453592)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38626</v>
      </c>
      <c r="B182" s="17" t="n">
        <v>2005</v>
      </c>
      <c r="C182" s="17" t="n">
        <v>10</v>
      </c>
      <c r="D182" s="18" t="n">
        <v>0.43</v>
      </c>
      <c r="E182" s="18">
        <f>IF(D182="","",D182*'参数与说明'!$B$6/0.453592)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38657</v>
      </c>
      <c r="B183" s="13" t="n">
        <v>2005</v>
      </c>
      <c r="C183" s="13" t="n">
        <v>11</v>
      </c>
      <c r="D183" s="14" t="n">
        <v>0.42</v>
      </c>
      <c r="E183" s="14">
        <f>IF(D183="","",D183*'参数与说明'!$B$6/0.453592)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38687</v>
      </c>
      <c r="B184" s="17" t="n">
        <v>2005</v>
      </c>
      <c r="C184" s="17" t="n">
        <v>12</v>
      </c>
      <c r="D184" s="18" t="n">
        <v>0.36</v>
      </c>
      <c r="E184" s="18">
        <f>IF(D184="","",D184*'参数与说明'!$B$6/0.453592)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38718</v>
      </c>
      <c r="B185" s="13" t="n">
        <v>2006</v>
      </c>
      <c r="C185" s="13" t="n">
        <v>1</v>
      </c>
      <c r="D185" s="14" t="n">
        <v>0.36</v>
      </c>
      <c r="E185" s="14">
        <f>IF(D185="","",D185*'参数与说明'!$B$6/0.453592)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38749</v>
      </c>
      <c r="B186" s="17" t="n">
        <v>2006</v>
      </c>
      <c r="C186" s="17" t="n">
        <v>2</v>
      </c>
      <c r="D186" s="18" t="n">
        <v>0.35</v>
      </c>
      <c r="E186" s="18">
        <f>IF(D186="","",D186*'参数与说明'!$B$6/0.453592)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38777</v>
      </c>
      <c r="B187" s="13" t="n">
        <v>2006</v>
      </c>
      <c r="C187" s="13" t="n">
        <v>3</v>
      </c>
      <c r="D187" s="14" t="n">
        <v>0.34</v>
      </c>
      <c r="E187" s="14">
        <f>IF(D187="","",D187*'参数与说明'!$B$6/0.453592)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38808</v>
      </c>
      <c r="B188" s="17" t="n">
        <v>2006</v>
      </c>
      <c r="C188" s="17" t="n">
        <v>4</v>
      </c>
      <c r="D188" s="18" t="n">
        <v>0.32</v>
      </c>
      <c r="E188" s="18">
        <f>IF(D188="","",D188*'参数与说明'!$B$6/0.453592)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38838</v>
      </c>
      <c r="B189" s="13" t="n">
        <v>2006</v>
      </c>
      <c r="C189" s="13" t="n">
        <v>5</v>
      </c>
      <c r="D189" s="14" t="n">
        <v>0.33</v>
      </c>
      <c r="E189" s="14">
        <f>IF(D189="","",D189*'参数与说明'!$B$6/0.453592)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38869</v>
      </c>
      <c r="B190" s="17" t="n">
        <v>2006</v>
      </c>
      <c r="C190" s="17" t="n">
        <v>6</v>
      </c>
      <c r="D190" s="18" t="n">
        <v>0.36</v>
      </c>
      <c r="E190" s="18">
        <f>IF(D190="","",D190*'参数与说明'!$B$6/0.453592)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38899</v>
      </c>
      <c r="B191" s="13" t="n">
        <v>2006</v>
      </c>
      <c r="C191" s="13" t="n">
        <v>7</v>
      </c>
      <c r="D191" s="14" t="n">
        <v>0.38</v>
      </c>
      <c r="E191" s="14">
        <f>IF(D191="","",D191*'参数与说明'!$B$6/0.453592)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38930</v>
      </c>
      <c r="B192" s="17" t="n">
        <v>2006</v>
      </c>
      <c r="C192" s="17" t="n">
        <v>8</v>
      </c>
      <c r="D192" s="18" t="n">
        <v>0.39</v>
      </c>
      <c r="E192" s="18">
        <f>IF(D192="","",D192*'参数与说明'!$B$6/0.453592)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38961</v>
      </c>
      <c r="B193" s="13" t="n">
        <v>2006</v>
      </c>
      <c r="C193" s="13" t="n">
        <v>9</v>
      </c>
      <c r="D193" s="14" t="n">
        <v>0.39</v>
      </c>
      <c r="E193" s="14">
        <f>IF(D193="","",D193*'参数与说明'!$B$6/0.453592)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38991</v>
      </c>
      <c r="B194" s="17" t="n">
        <v>2006</v>
      </c>
      <c r="C194" s="17" t="n">
        <v>10</v>
      </c>
      <c r="D194" s="18" t="n">
        <v>0.37</v>
      </c>
      <c r="E194" s="18">
        <f>IF(D194="","",D194*'参数与说明'!$B$6/0.453592)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39022</v>
      </c>
      <c r="B195" s="13" t="n">
        <v>2006</v>
      </c>
      <c r="C195" s="13" t="n">
        <v>11</v>
      </c>
      <c r="D195" s="14" t="n">
        <v>0.37</v>
      </c>
      <c r="E195" s="14">
        <f>IF(D195="","",D195*'参数与说明'!$B$6/0.453592)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39052</v>
      </c>
      <c r="B196" s="17" t="n">
        <v>2006</v>
      </c>
      <c r="C196" s="17" t="n">
        <v>12</v>
      </c>
      <c r="D196" s="18" t="n">
        <v>0.37</v>
      </c>
      <c r="E196" s="18">
        <f>IF(D196="","",D196*'参数与说明'!$B$6/0.453592)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39083</v>
      </c>
      <c r="B197" s="13" t="n">
        <v>2007</v>
      </c>
      <c r="C197" s="13" t="n">
        <v>1</v>
      </c>
      <c r="D197" s="14" t="n">
        <v>0.39</v>
      </c>
      <c r="E197" s="14">
        <f>IF(D197="","",D197*'参数与说明'!$B$6/0.453592)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39114</v>
      </c>
      <c r="B198" s="17" t="n">
        <v>2007</v>
      </c>
      <c r="C198" s="17" t="n">
        <v>2</v>
      </c>
      <c r="D198" s="18" t="n">
        <v>0.44</v>
      </c>
      <c r="E198" s="18">
        <f>IF(D198="","",D198*'参数与说明'!$B$6/0.453592)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39142</v>
      </c>
      <c r="B199" s="13" t="n">
        <v>2007</v>
      </c>
      <c r="C199" s="13" t="n">
        <v>3</v>
      </c>
      <c r="D199" s="14" t="n">
        <v>0.45</v>
      </c>
      <c r="E199" s="14">
        <f>IF(D199="","",D199*'参数与说明'!$B$6/0.453592)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39173</v>
      </c>
      <c r="B200" s="17" t="n">
        <v>2007</v>
      </c>
      <c r="C200" s="17" t="n">
        <v>4</v>
      </c>
      <c r="D200" s="18" t="n">
        <v>0.46</v>
      </c>
      <c r="E200" s="18">
        <f>IF(D200="","",D200*'参数与说明'!$B$6/0.453592)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39203</v>
      </c>
      <c r="B201" s="13" t="n">
        <v>2007</v>
      </c>
      <c r="C201" s="13" t="n">
        <v>5</v>
      </c>
      <c r="D201" s="14" t="n">
        <v>0.47</v>
      </c>
      <c r="E201" s="14">
        <f>IF(D201="","",D201*'参数与说明'!$B$6/0.453592)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39234</v>
      </c>
      <c r="B202" s="17" t="n">
        <v>2007</v>
      </c>
      <c r="C202" s="17" t="n">
        <v>6</v>
      </c>
      <c r="D202" s="18" t="n">
        <v>0.47</v>
      </c>
      <c r="E202" s="18">
        <f>IF(D202="","",D202*'参数与说明'!$B$6/0.453592)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39264</v>
      </c>
      <c r="B203" s="13" t="n">
        <v>2007</v>
      </c>
      <c r="C203" s="13" t="n">
        <v>7</v>
      </c>
      <c r="D203" s="14" t="n">
        <v>0.47</v>
      </c>
      <c r="E203" s="14">
        <f>IF(D203="","",D203*'参数与说明'!$B$6/0.453592)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39295</v>
      </c>
      <c r="B204" s="17" t="n">
        <v>2007</v>
      </c>
      <c r="C204" s="17" t="n">
        <v>8</v>
      </c>
      <c r="D204" s="18" t="n">
        <v>0.46</v>
      </c>
      <c r="E204" s="18">
        <f>IF(D204="","",D204*'参数与说明'!$B$6/0.453592)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39326</v>
      </c>
      <c r="B205" s="13" t="n">
        <v>2007</v>
      </c>
      <c r="C205" s="13" t="n">
        <v>9</v>
      </c>
      <c r="D205" s="14" t="n">
        <v>0.45</v>
      </c>
      <c r="E205" s="14">
        <f>IF(D205="","",D205*'参数与说明'!$B$6/0.453592)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39356</v>
      </c>
      <c r="B206" s="17" t="n">
        <v>2007</v>
      </c>
      <c r="C206" s="17" t="n">
        <v>10</v>
      </c>
      <c r="D206" s="18" t="n">
        <v>0.4</v>
      </c>
      <c r="E206" s="18">
        <f>IF(D206="","",D206*'参数与说明'!$B$6/0.453592)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39387</v>
      </c>
      <c r="B207" s="13" t="n">
        <v>2007</v>
      </c>
      <c r="C207" s="13" t="n">
        <v>11</v>
      </c>
      <c r="D207" s="14" t="n">
        <v>0.41</v>
      </c>
      <c r="E207" s="14">
        <f>IF(D207="","",D207*'参数与说明'!$B$6/0.453592)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39417</v>
      </c>
      <c r="B208" s="17" t="n">
        <v>2007</v>
      </c>
      <c r="C208" s="17" t="n">
        <v>12</v>
      </c>
      <c r="D208" s="18" t="n">
        <v>0.4</v>
      </c>
      <c r="E208" s="18">
        <f>IF(D208="","",D208*'参数与说明'!$B$6/0.453592)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39448</v>
      </c>
      <c r="B209" s="13" t="n">
        <v>2008</v>
      </c>
      <c r="C209" s="13" t="n">
        <v>1</v>
      </c>
      <c r="D209" s="14" t="n">
        <v>0.44</v>
      </c>
      <c r="E209" s="14">
        <f>IF(D209="","",D209*'参数与说明'!$B$6/0.453592)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39479</v>
      </c>
      <c r="B210" s="17" t="n">
        <v>2008</v>
      </c>
      <c r="C210" s="17" t="n">
        <v>2</v>
      </c>
      <c r="D210" s="18" t="n">
        <v>0.46</v>
      </c>
      <c r="E210" s="18">
        <f>IF(D210="","",D210*'参数与说明'!$B$6/0.453592)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39508</v>
      </c>
      <c r="B211" s="13" t="n">
        <v>2008</v>
      </c>
      <c r="C211" s="13" t="n">
        <v>3</v>
      </c>
      <c r="D211" s="14" t="n">
        <v>0.46</v>
      </c>
      <c r="E211" s="14">
        <f>IF(D211="","",D211*'参数与说明'!$B$6/0.453592)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39539</v>
      </c>
      <c r="B212" s="17" t="n">
        <v>2008</v>
      </c>
      <c r="C212" s="17" t="n">
        <v>4</v>
      </c>
      <c r="D212" s="18" t="n">
        <v>0.46</v>
      </c>
      <c r="E212" s="18">
        <f>IF(D212="","",D212*'参数与说明'!$B$6/0.453592)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39569</v>
      </c>
      <c r="B213" s="13" t="n">
        <v>2008</v>
      </c>
      <c r="C213" s="13" t="n">
        <v>5</v>
      </c>
      <c r="D213" s="14" t="n">
        <v>0.48</v>
      </c>
      <c r="E213" s="14">
        <f>IF(D213="","",D213*'参数与说明'!$B$6/0.453592)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39600</v>
      </c>
      <c r="B214" s="17" t="n">
        <v>2008</v>
      </c>
      <c r="C214" s="17" t="n">
        <v>6</v>
      </c>
      <c r="D214" s="18" t="n">
        <v>0.48</v>
      </c>
      <c r="E214" s="18">
        <f>IF(D214="","",D214*'参数与说明'!$B$6/0.453592)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39630</v>
      </c>
      <c r="B215" s="13" t="n">
        <v>2008</v>
      </c>
      <c r="C215" s="13" t="n">
        <v>7</v>
      </c>
      <c r="D215" s="14" t="n">
        <v>0.5</v>
      </c>
      <c r="E215" s="14">
        <f>IF(D215="","",D215*'参数与说明'!$B$6/0.453592)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39661</v>
      </c>
      <c r="B216" s="17" t="n">
        <v>2008</v>
      </c>
      <c r="C216" s="17" t="n">
        <v>8</v>
      </c>
      <c r="D216" s="18" t="n">
        <v>0.47</v>
      </c>
      <c r="E216" s="18">
        <f>IF(D216="","",D216*'参数与说明'!$B$6/0.453592)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39692</v>
      </c>
      <c r="B217" s="13" t="n">
        <v>2008</v>
      </c>
      <c r="C217" s="13" t="n">
        <v>9</v>
      </c>
      <c r="D217" s="14" t="n">
        <v>0.45</v>
      </c>
      <c r="E217" s="14">
        <f>IF(D217="","",D217*'参数与说明'!$B$6/0.453592)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39722</v>
      </c>
      <c r="B218" s="17" t="n">
        <v>2008</v>
      </c>
      <c r="C218" s="17" t="n">
        <v>10</v>
      </c>
      <c r="D218" s="18" t="n">
        <v>0.45</v>
      </c>
      <c r="E218" s="18">
        <f>IF(D218="","",D218*'参数与说明'!$B$6/0.453592)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39753</v>
      </c>
      <c r="B219" s="13" t="n">
        <v>2008</v>
      </c>
      <c r="C219" s="13" t="n">
        <v>11</v>
      </c>
      <c r="D219" s="14" t="n">
        <v>0.46</v>
      </c>
      <c r="E219" s="14">
        <f>IF(D219="","",D219*'参数与说明'!$B$6/0.453592)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39783</v>
      </c>
      <c r="B220" s="17" t="n">
        <v>2008</v>
      </c>
      <c r="C220" s="17" t="n">
        <v>12</v>
      </c>
      <c r="D220" s="18" t="n">
        <v>0.48</v>
      </c>
      <c r="E220" s="18">
        <f>IF(D220="","",D220*'参数与说明'!$B$6/0.453592)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39814</v>
      </c>
      <c r="B221" s="13" t="n">
        <v>2009</v>
      </c>
      <c r="C221" s="13" t="n">
        <v>1</v>
      </c>
      <c r="D221" s="14" t="n">
        <v>0.48</v>
      </c>
      <c r="E221" s="14">
        <f>IF(D221="","",D221*'参数与说明'!$B$6/0.453592)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39845</v>
      </c>
      <c r="B222" s="17" t="n">
        <v>2009</v>
      </c>
      <c r="C222" s="17" t="n">
        <v>2</v>
      </c>
      <c r="D222" s="18" t="n">
        <v>0.47</v>
      </c>
      <c r="E222" s="18">
        <f>IF(D222="","",D222*'参数与说明'!$B$6/0.453592)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39873</v>
      </c>
      <c r="B223" s="13" t="n">
        <v>2009</v>
      </c>
      <c r="C223" s="13" t="n">
        <v>3</v>
      </c>
      <c r="D223" s="14" t="n">
        <v>0.45</v>
      </c>
      <c r="E223" s="14">
        <f>IF(D223="","",D223*'参数与说明'!$B$6/0.453592)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39904</v>
      </c>
      <c r="B224" s="17" t="n">
        <v>2009</v>
      </c>
      <c r="C224" s="17" t="n">
        <v>4</v>
      </c>
      <c r="D224" s="18" t="n">
        <v>0.45</v>
      </c>
      <c r="E224" s="18">
        <f>IF(D224="","",D224*'参数与说明'!$B$6/0.453592)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39934</v>
      </c>
      <c r="B225" s="13" t="n">
        <v>2009</v>
      </c>
      <c r="C225" s="13" t="n">
        <v>5</v>
      </c>
      <c r="D225" s="14" t="n">
        <v>0.49</v>
      </c>
      <c r="E225" s="14">
        <f>IF(D225="","",D225*'参数与说明'!$B$6/0.453592)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39965</v>
      </c>
      <c r="B226" s="17" t="n">
        <v>2009</v>
      </c>
      <c r="C226" s="17" t="n">
        <v>6</v>
      </c>
      <c r="D226" s="18" t="n">
        <v>0.51</v>
      </c>
      <c r="E226" s="18">
        <f>IF(D226="","",D226*'参数与说明'!$B$6/0.453592)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39995</v>
      </c>
      <c r="B227" s="13" t="n">
        <v>2009</v>
      </c>
      <c r="C227" s="13" t="n">
        <v>7</v>
      </c>
      <c r="D227" s="14" t="n">
        <v>0.49</v>
      </c>
      <c r="E227" s="14">
        <f>IF(D227="","",D227*'参数与说明'!$B$6/0.453592)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40026</v>
      </c>
      <c r="B228" s="17" t="n">
        <v>2009</v>
      </c>
      <c r="C228" s="17" t="n">
        <v>8</v>
      </c>
      <c r="D228" s="18" t="n">
        <v>0.43</v>
      </c>
      <c r="E228" s="18">
        <f>IF(D228="","",D228*'参数与说明'!$B$6/0.453592)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40057</v>
      </c>
      <c r="B229" s="13" t="n">
        <v>2009</v>
      </c>
      <c r="C229" s="13" t="n">
        <v>9</v>
      </c>
      <c r="D229" s="14" t="n">
        <v>0.42</v>
      </c>
      <c r="E229" s="14">
        <f>IF(D229="","",D229*'参数与说明'!$B$6/0.453592)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40087</v>
      </c>
      <c r="B230" s="17" t="n">
        <v>2009</v>
      </c>
      <c r="C230" s="17" t="n">
        <v>10</v>
      </c>
      <c r="D230" s="18" t="n">
        <v>0.4</v>
      </c>
      <c r="E230" s="18">
        <f>IF(D230="","",D230*'参数与说明'!$B$6/0.453592)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40118</v>
      </c>
      <c r="B231" s="13" t="n">
        <v>2009</v>
      </c>
      <c r="C231" s="13" t="n">
        <v>11</v>
      </c>
      <c r="D231" s="14" t="n">
        <v>0.41</v>
      </c>
      <c r="E231" s="14">
        <f>IF(D231="","",D231*'参数与说明'!$B$6/0.453592)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40148</v>
      </c>
      <c r="B232" s="17" t="n">
        <v>2009</v>
      </c>
      <c r="C232" s="17" t="n">
        <v>12</v>
      </c>
      <c r="D232" s="18" t="n">
        <v>0.43</v>
      </c>
      <c r="E232" s="18">
        <f>IF(D232="","",D232*'参数与说明'!$B$6/0.453592)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40179</v>
      </c>
      <c r="B233" s="13" t="n">
        <v>2010</v>
      </c>
      <c r="C233" s="13" t="n">
        <v>1</v>
      </c>
      <c r="D233" s="14" t="n">
        <v>0.48</v>
      </c>
      <c r="E233" s="14">
        <f>IF(D233="","",D233*'参数与说明'!$B$6/0.453592)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40210</v>
      </c>
      <c r="B234" s="17" t="n">
        <v>2010</v>
      </c>
      <c r="C234" s="17" t="n">
        <v>2</v>
      </c>
      <c r="D234" s="18" t="n">
        <v>0.48</v>
      </c>
      <c r="E234" s="18">
        <f>IF(D234="","",D234*'参数与说明'!$B$6/0.453592)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40238</v>
      </c>
      <c r="B235" s="13" t="n">
        <v>2010</v>
      </c>
      <c r="C235" s="13" t="n">
        <v>3</v>
      </c>
      <c r="D235" s="14" t="n">
        <v>0.5</v>
      </c>
      <c r="E235" s="14">
        <f>IF(D235="","",D235*'参数与说明'!$B$6/0.453592)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40269</v>
      </c>
      <c r="B236" s="17" t="n">
        <v>2010</v>
      </c>
      <c r="C236" s="17" t="n">
        <v>4</v>
      </c>
      <c r="D236" s="18" t="n">
        <v>0.49</v>
      </c>
      <c r="E236" s="18">
        <f>IF(D236="","",D236*'参数与说明'!$B$6/0.453592)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40299</v>
      </c>
      <c r="B237" s="13" t="n">
        <v>2010</v>
      </c>
      <c r="C237" s="13" t="n">
        <v>5</v>
      </c>
      <c r="D237" s="14" t="n">
        <v>0.52</v>
      </c>
      <c r="E237" s="14">
        <f>IF(D237="","",D237*'参数与说明'!$B$6/0.453592)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40330</v>
      </c>
      <c r="B238" s="17" t="n">
        <v>2010</v>
      </c>
      <c r="C238" s="17" t="n">
        <v>6</v>
      </c>
      <c r="D238" s="18" t="n">
        <v>0.52</v>
      </c>
      <c r="E238" s="18">
        <f>IF(D238="","",D238*'参数与说明'!$B$6/0.453592)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40360</v>
      </c>
      <c r="B239" s="13" t="n">
        <v>2010</v>
      </c>
      <c r="C239" s="13" t="n">
        <v>7</v>
      </c>
      <c r="D239" s="14" t="n">
        <v>0.52</v>
      </c>
      <c r="E239" s="14">
        <f>IF(D239="","",D239*'参数与说明'!$B$6/0.453592)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40391</v>
      </c>
      <c r="B240" s="17" t="n">
        <v>2010</v>
      </c>
      <c r="C240" s="17" t="n">
        <v>8</v>
      </c>
      <c r="D240" s="18" t="n">
        <v>0.49</v>
      </c>
      <c r="E240" s="18">
        <f>IF(D240="","",D240*'参数与说明'!$B$6/0.453592)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40422</v>
      </c>
      <c r="B241" s="13" t="n">
        <v>2010</v>
      </c>
      <c r="C241" s="13" t="n">
        <v>9</v>
      </c>
      <c r="D241" s="14" t="n">
        <v>0.49</v>
      </c>
      <c r="E241" s="14">
        <f>IF(D241="","",D241*'参数与说明'!$B$6/0.453592)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40452</v>
      </c>
      <c r="B242" s="17" t="n">
        <v>2010</v>
      </c>
      <c r="C242" s="17" t="n">
        <v>10</v>
      </c>
      <c r="D242" s="18" t="n">
        <v>0.48</v>
      </c>
      <c r="E242" s="18">
        <f>IF(D242="","",D242*'参数与说明'!$B$6/0.453592)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40483</v>
      </c>
      <c r="B243" s="13" t="n">
        <v>2010</v>
      </c>
      <c r="C243" s="13" t="n">
        <v>11</v>
      </c>
      <c r="D243" s="14" t="n">
        <v>0.48</v>
      </c>
      <c r="E243" s="14">
        <f>IF(D243="","",D243*'参数与说明'!$B$6/0.453592)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40513</v>
      </c>
      <c r="B244" s="17" t="n">
        <v>2010</v>
      </c>
      <c r="C244" s="17" t="n">
        <v>12</v>
      </c>
      <c r="D244" s="18" t="n">
        <v>0.45</v>
      </c>
      <c r="E244" s="18">
        <f>IF(D244="","",D244*'参数与说明'!$B$6/0.453592)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40544</v>
      </c>
      <c r="B245" s="13" t="n">
        <v>2011</v>
      </c>
      <c r="C245" s="13" t="n">
        <v>1</v>
      </c>
      <c r="D245" s="14" t="n">
        <v>0.44</v>
      </c>
      <c r="E245" s="14">
        <f>IF(D245="","",D245*'参数与说明'!$B$6/0.453592)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40575</v>
      </c>
      <c r="B246" s="17" t="n">
        <v>2011</v>
      </c>
      <c r="C246" s="17" t="n">
        <v>2</v>
      </c>
      <c r="D246" s="18" t="n">
        <v>0.43</v>
      </c>
      <c r="E246" s="18">
        <f>IF(D246="","",D246*'参数与说明'!$B$6/0.453592)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40603</v>
      </c>
      <c r="B247" s="13" t="n">
        <v>2011</v>
      </c>
      <c r="C247" s="13" t="n">
        <v>3</v>
      </c>
      <c r="D247" s="14" t="n">
        <v>0.48</v>
      </c>
      <c r="E247" s="14">
        <f>IF(D247="","",D247*'参数与说明'!$B$6/0.453592)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40634</v>
      </c>
      <c r="B248" s="17" t="n">
        <v>2011</v>
      </c>
      <c r="C248" s="17" t="n">
        <v>4</v>
      </c>
      <c r="D248" s="18" t="n">
        <v>0.48</v>
      </c>
      <c r="E248" s="18">
        <f>IF(D248="","",D248*'参数与说明'!$B$6/0.453592)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40664</v>
      </c>
      <c r="B249" s="13" t="n">
        <v>2011</v>
      </c>
      <c r="C249" s="13" t="n">
        <v>5</v>
      </c>
      <c r="D249" s="14" t="n">
        <v>0.49</v>
      </c>
      <c r="E249" s="14">
        <f>IF(D249="","",D249*'参数与说明'!$B$6/0.453592)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40695</v>
      </c>
      <c r="B250" s="17" t="n">
        <v>2011</v>
      </c>
      <c r="C250" s="17" t="n">
        <v>6</v>
      </c>
      <c r="D250" s="18" t="n">
        <v>0.49</v>
      </c>
      <c r="E250" s="18">
        <f>IF(D250="","",D250*'参数与说明'!$B$6/0.453592)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40725</v>
      </c>
      <c r="B251" s="13" t="n">
        <v>2011</v>
      </c>
      <c r="C251" s="13" t="n">
        <v>7</v>
      </c>
      <c r="D251" s="14" t="n">
        <v>0.47</v>
      </c>
      <c r="E251" s="14">
        <f>IF(D251="","",D251*'参数与说明'!$B$6/0.453592)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40756</v>
      </c>
      <c r="B252" s="17" t="n">
        <v>2011</v>
      </c>
      <c r="C252" s="17" t="n">
        <v>8</v>
      </c>
      <c r="D252" s="18" t="n">
        <v>0.47</v>
      </c>
      <c r="E252" s="18">
        <f>IF(D252="","",D252*'参数与说明'!$B$6/0.453592)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40787</v>
      </c>
      <c r="B253" s="13" t="n">
        <v>2011</v>
      </c>
      <c r="C253" s="13" t="n">
        <v>9</v>
      </c>
      <c r="D253" s="14" t="n">
        <v>0.43</v>
      </c>
      <c r="E253" s="14">
        <f>IF(D253="","",D253*'参数与说明'!$B$6/0.453592)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40817</v>
      </c>
      <c r="B254" s="17" t="n">
        <v>2011</v>
      </c>
      <c r="C254" s="17" t="n">
        <v>10</v>
      </c>
      <c r="D254" s="18" t="n">
        <v>0.42</v>
      </c>
      <c r="E254" s="18">
        <f>IF(D254="","",D254*'参数与说明'!$B$6/0.453592)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40848</v>
      </c>
      <c r="B255" s="13" t="n">
        <v>2011</v>
      </c>
      <c r="C255" s="13" t="n">
        <v>11</v>
      </c>
      <c r="D255" s="14" t="n">
        <v>0.45</v>
      </c>
      <c r="E255" s="14">
        <f>IF(D255="","",D255*'参数与说明'!$B$6/0.453592)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40878</v>
      </c>
      <c r="B256" s="17" t="n">
        <v>2011</v>
      </c>
      <c r="C256" s="17" t="n">
        <v>12</v>
      </c>
      <c r="D256" s="18" t="n">
        <v>0.46</v>
      </c>
      <c r="E256" s="18">
        <f>IF(D256="","",D256*'参数与说明'!$B$6/0.453592)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40909</v>
      </c>
      <c r="B257" s="13" t="n">
        <v>2012</v>
      </c>
      <c r="C257" s="13" t="n">
        <v>1</v>
      </c>
      <c r="D257" s="14" t="n">
        <v>0.47</v>
      </c>
      <c r="E257" s="14">
        <f>IF(D257="","",D257*'参数与说明'!$B$6/0.453592)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40940</v>
      </c>
      <c r="B258" s="17" t="n">
        <v>2012</v>
      </c>
      <c r="C258" s="17" t="n">
        <v>2</v>
      </c>
      <c r="D258" s="18" t="n">
        <v>0.51</v>
      </c>
      <c r="E258" s="18">
        <f>IF(D258="","",D258*'参数与说明'!$B$6/0.453592)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40969</v>
      </c>
      <c r="B259" s="13" t="n">
        <v>2012</v>
      </c>
      <c r="C259" s="13" t="n">
        <v>3</v>
      </c>
      <c r="D259" s="14" t="n">
        <v>0.5600000000000001</v>
      </c>
      <c r="E259" s="14">
        <f>IF(D259="","",D259*'参数与说明'!$B$6/0.453592)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41000</v>
      </c>
      <c r="B260" s="17" t="n">
        <v>2012</v>
      </c>
      <c r="C260" s="17" t="n">
        <v>4</v>
      </c>
      <c r="D260" s="18" t="n">
        <v>0.5</v>
      </c>
      <c r="E260" s="18">
        <f>IF(D260="","",D260*'参数与说明'!$B$6/0.453592)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41030</v>
      </c>
      <c r="B261" s="13" t="n">
        <v>2012</v>
      </c>
      <c r="C261" s="13" t="n">
        <v>5</v>
      </c>
      <c r="D261" s="14" t="n">
        <v>0.52</v>
      </c>
      <c r="E261" s="14">
        <f>IF(D261="","",D261*'参数与说明'!$B$6/0.453592)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41061</v>
      </c>
      <c r="B262" s="17" t="n">
        <v>2012</v>
      </c>
      <c r="C262" s="17" t="n">
        <v>6</v>
      </c>
      <c r="D262" s="18" t="n">
        <v>0.5</v>
      </c>
      <c r="E262" s="18">
        <f>IF(D262="","",D262*'参数与说明'!$B$6/0.453592)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41091</v>
      </c>
      <c r="B263" s="13" t="n">
        <v>2012</v>
      </c>
      <c r="C263" s="13" t="n">
        <v>7</v>
      </c>
      <c r="D263" s="14" t="n">
        <v>0.47</v>
      </c>
      <c r="E263" s="14">
        <f>IF(D263="","",D263*'参数与说明'!$B$6/0.453592)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41122</v>
      </c>
      <c r="B264" s="17" t="n">
        <v>2012</v>
      </c>
      <c r="C264" s="17" t="n">
        <v>8</v>
      </c>
      <c r="D264" s="18" t="n">
        <v>0.48</v>
      </c>
      <c r="E264" s="18">
        <f>IF(D264="","",D264*'参数与说明'!$B$6/0.453592)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41153</v>
      </c>
      <c r="B265" s="13" t="n">
        <v>2012</v>
      </c>
      <c r="C265" s="13" t="n">
        <v>9</v>
      </c>
      <c r="D265" s="14" t="n">
        <v>0.48</v>
      </c>
      <c r="E265" s="14">
        <f>IF(D265="","",D265*'参数与说明'!$B$6/0.453592)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41183</v>
      </c>
      <c r="B266" s="17" t="n">
        <v>2012</v>
      </c>
      <c r="C266" s="17" t="n">
        <v>10</v>
      </c>
      <c r="D266" s="18" t="n">
        <v>0.49</v>
      </c>
      <c r="E266" s="18">
        <f>IF(D266="","",D266*'参数与说明'!$B$6/0.453592)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41214</v>
      </c>
      <c r="B267" s="13" t="n">
        <v>2012</v>
      </c>
      <c r="C267" s="13" t="n">
        <v>11</v>
      </c>
      <c r="D267" s="14" t="n">
        <v>0.5600000000000001</v>
      </c>
      <c r="E267" s="14">
        <f>IF(D267="","",D267*'参数与说明'!$B$6/0.453592)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41244</v>
      </c>
      <c r="B268" s="17" t="n">
        <v>2012</v>
      </c>
      <c r="C268" s="17" t="n">
        <v>12</v>
      </c>
      <c r="D268" s="18" t="n">
        <v>0.59</v>
      </c>
      <c r="E268" s="18">
        <f>IF(D268="","",D268*'参数与说明'!$B$6/0.453592)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41275</v>
      </c>
      <c r="B269" s="13" t="n">
        <v>2013</v>
      </c>
      <c r="C269" s="13" t="n">
        <v>1</v>
      </c>
      <c r="D269" s="14" t="n">
        <v>0.62</v>
      </c>
      <c r="E269" s="14">
        <f>IF(D269="","",D269*'参数与说明'!$B$6/0.453592)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41306</v>
      </c>
      <c r="B270" s="17" t="n">
        <v>2013</v>
      </c>
      <c r="C270" s="17" t="n">
        <v>2</v>
      </c>
      <c r="D270" s="18" t="n">
        <v>0.62</v>
      </c>
      <c r="E270" s="18">
        <f>IF(D270="","",D270*'参数与说明'!$B$6/0.453592)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41334</v>
      </c>
      <c r="B271" s="13" t="n">
        <v>2013</v>
      </c>
      <c r="C271" s="13" t="n">
        <v>3</v>
      </c>
      <c r="D271" s="14" t="n">
        <v>0.66</v>
      </c>
      <c r="E271" s="14">
        <f>IF(D271="","",D271*'参数与说明'!$B$6/0.453592)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41365</v>
      </c>
      <c r="B272" s="17" t="n">
        <v>2013</v>
      </c>
      <c r="C272" s="17" t="n">
        <v>4</v>
      </c>
      <c r="D272" s="18" t="n">
        <v>0.66</v>
      </c>
      <c r="E272" s="18">
        <f>IF(D272="","",D272*'参数与说明'!$B$6/0.453592)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41395</v>
      </c>
      <c r="B273" s="13" t="n">
        <v>2013</v>
      </c>
      <c r="C273" s="13" t="n">
        <v>5</v>
      </c>
      <c r="D273" s="14" t="n">
        <v>0.68</v>
      </c>
      <c r="E273" s="14">
        <f>IF(D273="","",D273*'参数与说明'!$B$6/0.453592)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41426</v>
      </c>
      <c r="B274" s="17" t="n">
        <v>2013</v>
      </c>
      <c r="C274" s="17" t="n">
        <v>6</v>
      </c>
      <c r="D274" s="18" t="n">
        <v>0.67</v>
      </c>
      <c r="E274" s="18">
        <f>IF(D274="","",D274*'参数与说明'!$B$6/0.453592)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41456</v>
      </c>
      <c r="B275" s="13" t="n">
        <v>2013</v>
      </c>
      <c r="C275" s="13" t="n">
        <v>7</v>
      </c>
      <c r="D275" s="14" t="n">
        <v>0.6</v>
      </c>
      <c r="E275" s="14">
        <f>IF(D275="","",D275*'参数与说明'!$B$6/0.453592)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41487</v>
      </c>
      <c r="B276" s="17" t="n">
        <v>2013</v>
      </c>
      <c r="C276" s="17" t="n">
        <v>8</v>
      </c>
      <c r="D276" s="18" t="n">
        <v>0.54</v>
      </c>
      <c r="E276" s="18">
        <f>IF(D276="","",D276*'参数与说明'!$B$6/0.453592)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41518</v>
      </c>
      <c r="B277" s="13" t="n">
        <v>2013</v>
      </c>
      <c r="C277" s="13" t="n">
        <v>9</v>
      </c>
      <c r="D277" s="14" t="n">
        <v>0.55</v>
      </c>
      <c r="E277" s="14">
        <f>IF(D277="","",D277*'参数与说明'!$B$6/0.453592)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41548</v>
      </c>
      <c r="B278" s="17" t="n">
        <v>2013</v>
      </c>
      <c r="C278" s="17" t="n">
        <v>10</v>
      </c>
      <c r="D278" s="18" t="n">
        <v>0.53</v>
      </c>
      <c r="E278" s="18">
        <f>IF(D278="","",D278*'参数与说明'!$B$6/0.453592)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41579</v>
      </c>
      <c r="B279" s="13" t="n">
        <v>2013</v>
      </c>
      <c r="C279" s="13" t="n">
        <v>11</v>
      </c>
      <c r="D279" s="14" t="n">
        <v>0.5600000000000001</v>
      </c>
      <c r="E279" s="14">
        <f>IF(D279="","",D279*'参数与说明'!$B$6/0.453592)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41609</v>
      </c>
      <c r="B280" s="17" t="n">
        <v>2013</v>
      </c>
      <c r="C280" s="17" t="n">
        <v>12</v>
      </c>
      <c r="D280" s="18" t="n">
        <v>0.5600000000000001</v>
      </c>
      <c r="E280" s="18">
        <f>IF(D280="","",D280*'参数与说明'!$B$6/0.453592)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41640</v>
      </c>
      <c r="B281" s="13" t="n">
        <v>2014</v>
      </c>
      <c r="C281" s="13" t="n">
        <v>1</v>
      </c>
      <c r="D281" s="14" t="n">
        <v>0.57</v>
      </c>
      <c r="E281" s="14">
        <f>IF(D281="","",D281*'参数与说明'!$B$6/0.453592)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41671</v>
      </c>
      <c r="B282" s="17" t="n">
        <v>2014</v>
      </c>
      <c r="C282" s="17" t="n">
        <v>2</v>
      </c>
      <c r="D282" s="18" t="n">
        <v>0.55</v>
      </c>
      <c r="E282" s="18">
        <f>IF(D282="","",D282*'参数与说明'!$B$6/0.453592)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41699</v>
      </c>
      <c r="B283" s="13" t="n">
        <v>2014</v>
      </c>
      <c r="C283" s="13" t="n">
        <v>3</v>
      </c>
      <c r="D283" s="14" t="n">
        <v>0.65</v>
      </c>
      <c r="E283" s="14">
        <f>IF(D283="","",D283*'参数与说明'!$B$6/0.453592)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41730</v>
      </c>
      <c r="B284" s="17" t="n">
        <v>2014</v>
      </c>
      <c r="C284" s="17" t="n">
        <v>4</v>
      </c>
      <c r="D284" s="18" t="n">
        <v>0.68</v>
      </c>
      <c r="E284" s="18">
        <f>IF(D284="","",D284*'参数与说明'!$B$6/0.453592)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41760</v>
      </c>
      <c r="B285" s="13" t="n">
        <v>2014</v>
      </c>
      <c r="C285" s="13" t="n">
        <v>5</v>
      </c>
      <c r="D285" s="14" t="n">
        <v>0.73</v>
      </c>
      <c r="E285" s="14">
        <f>IF(D285="","",D285*'参数与说明'!$B$6/0.453592)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41791</v>
      </c>
      <c r="B286" s="17" t="n">
        <v>2014</v>
      </c>
      <c r="C286" s="17" t="n">
        <v>6</v>
      </c>
      <c r="D286" s="18" t="n">
        <v>0.7</v>
      </c>
      <c r="E286" s="18">
        <f>IF(D286="","",D286*'参数与说明'!$B$6/0.453592)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41821</v>
      </c>
      <c r="B287" s="13" t="n">
        <v>2014</v>
      </c>
      <c r="C287" s="13" t="n">
        <v>7</v>
      </c>
      <c r="D287" s="14" t="n">
        <v>0.66</v>
      </c>
      <c r="E287" s="14">
        <f>IF(D287="","",D287*'参数与说明'!$B$6/0.453592)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41852</v>
      </c>
      <c r="B288" s="17" t="n">
        <v>2014</v>
      </c>
      <c r="C288" s="17" t="n">
        <v>8</v>
      </c>
      <c r="D288" s="18" t="n">
        <v>0.6</v>
      </c>
      <c r="E288" s="18">
        <f>IF(D288="","",D288*'参数与说明'!$B$6/0.453592)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41883</v>
      </c>
      <c r="B289" s="13" t="n">
        <v>2014</v>
      </c>
      <c r="C289" s="13" t="n">
        <v>9</v>
      </c>
      <c r="D289" s="14" t="n">
        <v>0.66</v>
      </c>
      <c r="E289" s="14">
        <f>IF(D289="","",D289*'参数与说明'!$B$6/0.453592)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41913</v>
      </c>
      <c r="B290" s="17" t="n">
        <v>2014</v>
      </c>
      <c r="C290" s="17" t="n">
        <v>10</v>
      </c>
      <c r="D290" s="18" t="n">
        <v>0.65</v>
      </c>
      <c r="E290" s="18">
        <f>IF(D290="","",D290*'参数与说明'!$B$6/0.453592)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41944</v>
      </c>
      <c r="B291" s="13" t="n">
        <v>2014</v>
      </c>
      <c r="C291" s="13" t="n">
        <v>11</v>
      </c>
      <c r="D291" s="14" t="n">
        <v>0.63</v>
      </c>
      <c r="E291" s="14">
        <f>IF(D291="","",D291*'参数与说明'!$B$6/0.453592)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41974</v>
      </c>
      <c r="B292" s="17" t="n">
        <v>2014</v>
      </c>
      <c r="C292" s="17" t="n">
        <v>12</v>
      </c>
      <c r="D292" s="18" t="n">
        <v>0.58</v>
      </c>
      <c r="E292" s="18">
        <f>IF(D292="","",D292*'参数与说明'!$B$6/0.453592)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42005</v>
      </c>
      <c r="B293" s="13" t="n">
        <v>2015</v>
      </c>
      <c r="C293" s="13" t="n">
        <v>1</v>
      </c>
      <c r="D293" s="14" t="n">
        <v>0.6</v>
      </c>
      <c r="E293" s="14">
        <f>IF(D293="","",D293*'参数与说明'!$B$6/0.453592)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42036</v>
      </c>
      <c r="B294" s="17" t="n">
        <v>2015</v>
      </c>
      <c r="C294" s="17" t="n">
        <v>2</v>
      </c>
      <c r="D294" s="18" t="n">
        <v>0.54</v>
      </c>
      <c r="E294" s="18">
        <f>IF(D294="","",D294*'参数与说明'!$B$6/0.453592)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42064</v>
      </c>
      <c r="B295" s="13" t="n">
        <v>2015</v>
      </c>
      <c r="C295" s="13" t="n">
        <v>3</v>
      </c>
      <c r="D295" s="14" t="n">
        <v>0.59</v>
      </c>
      <c r="E295" s="14">
        <f>IF(D295="","",D295*'参数与说明'!$B$6/0.453592)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42095</v>
      </c>
      <c r="B296" s="17" t="n">
        <v>2015</v>
      </c>
      <c r="C296" s="17" t="n">
        <v>4</v>
      </c>
      <c r="D296" s="18" t="n">
        <v>0.64</v>
      </c>
      <c r="E296" s="18">
        <f>IF(D296="","",D296*'参数与说明'!$B$6/0.453592)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42125</v>
      </c>
      <c r="B297" s="13" t="n">
        <v>2015</v>
      </c>
      <c r="C297" s="13" t="n">
        <v>5</v>
      </c>
      <c r="D297" s="14" t="n">
        <v>0.65</v>
      </c>
      <c r="E297" s="14">
        <f>IF(D297="","",D297*'参数与说明'!$B$6/0.453592)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42156</v>
      </c>
      <c r="B298" s="17" t="n">
        <v>2015</v>
      </c>
      <c r="C298" s="17" t="n">
        <v>6</v>
      </c>
      <c r="D298" s="18" t="n">
        <v>0.62</v>
      </c>
      <c r="E298" s="18">
        <f>IF(D298="","",D298*'参数与说明'!$B$6/0.453592)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42186</v>
      </c>
      <c r="B299" s="13" t="n">
        <v>2015</v>
      </c>
      <c r="C299" s="13" t="n">
        <v>7</v>
      </c>
      <c r="D299" s="14" t="n">
        <v>0.51</v>
      </c>
      <c r="E299" s="14">
        <f>IF(D299="","",D299*'参数与说明'!$B$6/0.453592)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42217</v>
      </c>
      <c r="B300" s="17" t="n">
        <v>2015</v>
      </c>
      <c r="C300" s="17" t="n">
        <v>8</v>
      </c>
      <c r="D300" s="18" t="n">
        <v>0.47</v>
      </c>
      <c r="E300" s="18">
        <f>IF(D300="","",D300*'参数与说明'!$B$6/0.453592)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42248</v>
      </c>
      <c r="B301" s="13" t="n">
        <v>2015</v>
      </c>
      <c r="C301" s="13" t="n">
        <v>9</v>
      </c>
      <c r="D301" s="14" t="n">
        <v>0.43</v>
      </c>
      <c r="E301" s="14">
        <f>IF(D301="","",D301*'参数与说明'!$B$6/0.453592)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42278</v>
      </c>
      <c r="B302" s="17" t="n">
        <v>2015</v>
      </c>
      <c r="C302" s="17" t="n">
        <v>10</v>
      </c>
      <c r="D302" s="18" t="n">
        <v>0.41</v>
      </c>
      <c r="E302" s="18">
        <f>IF(D302="","",D302*'参数与说明'!$B$6/0.453592)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42309</v>
      </c>
      <c r="B303" s="13" t="n">
        <v>2015</v>
      </c>
      <c r="C303" s="13" t="n">
        <v>11</v>
      </c>
      <c r="D303" s="14" t="n">
        <v>0.42</v>
      </c>
      <c r="E303" s="14">
        <f>IF(D303="","",D303*'参数与说明'!$B$6/0.453592)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42339</v>
      </c>
      <c r="B304" s="17" t="n">
        <v>2015</v>
      </c>
      <c r="C304" s="17" t="n">
        <v>12</v>
      </c>
      <c r="D304" s="18" t="n">
        <v>0.47</v>
      </c>
      <c r="E304" s="18">
        <f>IF(D304="","",D304*'参数与说明'!$B$6/0.453592)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42370</v>
      </c>
      <c r="B305" s="13" t="n">
        <v>2016</v>
      </c>
      <c r="C305" s="13" t="n">
        <v>1</v>
      </c>
      <c r="D305" s="14" t="n">
        <v>0.5</v>
      </c>
      <c r="E305" s="14">
        <f>IF(D305="","",D305*'参数与说明'!$B$6/0.453592)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42401</v>
      </c>
      <c r="B306" s="17" t="n">
        <v>2016</v>
      </c>
      <c r="C306" s="17" t="n">
        <v>2</v>
      </c>
      <c r="D306" s="18" t="n">
        <v>0.46</v>
      </c>
      <c r="E306" s="18">
        <f>IF(D306="","",D306*'参数与说明'!$B$6/0.453592)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42430</v>
      </c>
      <c r="B307" s="13" t="n">
        <v>2016</v>
      </c>
      <c r="C307" s="13" t="n">
        <v>3</v>
      </c>
      <c r="D307" s="14" t="n">
        <v>0.48</v>
      </c>
      <c r="E307" s="14">
        <f>IF(D307="","",D307*'参数与说明'!$B$6/0.453592)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42461</v>
      </c>
      <c r="B308" s="17" t="n">
        <v>2016</v>
      </c>
      <c r="C308" s="17" t="n">
        <v>4</v>
      </c>
      <c r="D308" s="18" t="n">
        <v>0.51</v>
      </c>
      <c r="E308" s="18">
        <f>IF(D308="","",D308*'参数与说明'!$B$6/0.453592)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42491</v>
      </c>
      <c r="B309" s="13" t="n">
        <v>2016</v>
      </c>
      <c r="C309" s="13" t="n">
        <v>5</v>
      </c>
      <c r="D309" s="14" t="n">
        <v>0.5600000000000001</v>
      </c>
      <c r="E309" s="14">
        <f>IF(D309="","",D309*'参数与说明'!$B$6/0.453592)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42522</v>
      </c>
      <c r="B310" s="17" t="n">
        <v>2016</v>
      </c>
      <c r="C310" s="17" t="n">
        <v>6</v>
      </c>
      <c r="D310" s="18" t="n">
        <v>0.57</v>
      </c>
      <c r="E310" s="18">
        <f>IF(D310="","",D310*'参数与说明'!$B$6/0.453592)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42552</v>
      </c>
      <c r="B311" s="13" t="n">
        <v>2016</v>
      </c>
      <c r="C311" s="13" t="n">
        <v>7</v>
      </c>
      <c r="D311" s="14" t="n">
        <v>0.51</v>
      </c>
      <c r="E311" s="14">
        <f>IF(D311="","",D311*'参数与说明'!$B$6/0.453592)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42583</v>
      </c>
      <c r="B312" s="17" t="n">
        <v>2016</v>
      </c>
      <c r="C312" s="17" t="n">
        <v>8</v>
      </c>
      <c r="D312" s="18" t="n">
        <v>0.44</v>
      </c>
      <c r="E312" s="18">
        <f>IF(D312="","",D312*'参数与说明'!$B$6/0.453592)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42614</v>
      </c>
      <c r="B313" s="13" t="n">
        <v>2016</v>
      </c>
      <c r="C313" s="13" t="n">
        <v>9</v>
      </c>
      <c r="D313" s="14" t="n">
        <v>0.42</v>
      </c>
      <c r="E313" s="14">
        <f>IF(D313="","",D313*'参数与说明'!$B$6/0.453592)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42644</v>
      </c>
      <c r="B314" s="17" t="n">
        <v>2016</v>
      </c>
      <c r="C314" s="17" t="n">
        <v>10</v>
      </c>
      <c r="D314" s="18" t="n">
        <v>0.37</v>
      </c>
      <c r="E314" s="18">
        <f>IF(D314="","",D314*'参数与说明'!$B$6/0.453592)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42675</v>
      </c>
      <c r="B315" s="13" t="n">
        <v>2016</v>
      </c>
      <c r="C315" s="13" t="n">
        <v>11</v>
      </c>
      <c r="D315" s="14" t="n">
        <v>0.44</v>
      </c>
      <c r="E315" s="14">
        <f>IF(D315="","",D315*'参数与说明'!$B$6/0.453592)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42705</v>
      </c>
      <c r="B316" s="17" t="n">
        <v>2016</v>
      </c>
      <c r="C316" s="17" t="n">
        <v>12</v>
      </c>
      <c r="D316" s="18" t="n">
        <v>0.48</v>
      </c>
      <c r="E316" s="18">
        <f>IF(D316="","",D316*'参数与说明'!$B$6/0.453592)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42736</v>
      </c>
      <c r="B317" s="13" t="n">
        <v>2017</v>
      </c>
      <c r="C317" s="13" t="n">
        <v>1</v>
      </c>
      <c r="D317" s="14" t="n">
        <v>0.49</v>
      </c>
      <c r="E317" s="14">
        <f>IF(D317="","",D317*'参数与说明'!$B$6/0.453592)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42767</v>
      </c>
      <c r="B318" s="17" t="n">
        <v>2017</v>
      </c>
      <c r="C318" s="17" t="n">
        <v>2</v>
      </c>
      <c r="D318" s="18" t="n">
        <v>0.48</v>
      </c>
      <c r="E318" s="18">
        <f>IF(D318="","",D318*'参数与说明'!$B$6/0.453592)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42795</v>
      </c>
      <c r="B319" s="13" t="n">
        <v>2017</v>
      </c>
      <c r="C319" s="13" t="n">
        <v>3</v>
      </c>
      <c r="D319" s="14" t="n">
        <v>0.55</v>
      </c>
      <c r="E319" s="14">
        <f>IF(D319="","",D319*'参数与说明'!$B$6/0.453592)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42826</v>
      </c>
      <c r="B320" s="17" t="n">
        <v>2017</v>
      </c>
      <c r="C320" s="17" t="n">
        <v>4</v>
      </c>
      <c r="D320" s="18" t="n">
        <v>0.57</v>
      </c>
      <c r="E320" s="18">
        <f>IF(D320="","",D320*'参数与说明'!$B$6/0.453592)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42856</v>
      </c>
      <c r="B321" s="13" t="n">
        <v>2017</v>
      </c>
      <c r="C321" s="13" t="n">
        <v>5</v>
      </c>
      <c r="D321" s="14" t="n">
        <v>0.66</v>
      </c>
      <c r="E321" s="14">
        <f>IF(D321="","",D321*'参数与说明'!$B$6/0.453592)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42887</v>
      </c>
      <c r="B322" s="17" t="n">
        <v>2017</v>
      </c>
      <c r="C322" s="17" t="n">
        <v>6</v>
      </c>
      <c r="D322" s="18" t="n">
        <v>0.66</v>
      </c>
      <c r="E322" s="18">
        <f>IF(D322="","",D322*'参数与说明'!$B$6/0.453592)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42917</v>
      </c>
      <c r="B323" s="13" t="n">
        <v>2017</v>
      </c>
      <c r="C323" s="13" t="n">
        <v>7</v>
      </c>
      <c r="D323" s="14" t="n">
        <v>0.62</v>
      </c>
      <c r="E323" s="14">
        <f>IF(D323="","",D323*'参数与说明'!$B$6/0.453592)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42948</v>
      </c>
      <c r="B324" s="17" t="n">
        <v>2017</v>
      </c>
      <c r="C324" s="17" t="n">
        <v>8</v>
      </c>
      <c r="D324" s="18" t="n">
        <v>0.54</v>
      </c>
      <c r="E324" s="18">
        <f>IF(D324="","",D324*'参数与说明'!$B$6/0.453592)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42979</v>
      </c>
      <c r="B325" s="13" t="n">
        <v>2017</v>
      </c>
      <c r="C325" s="13" t="n">
        <v>9</v>
      </c>
      <c r="D325" s="14" t="n">
        <v>0.51</v>
      </c>
      <c r="E325" s="14">
        <f>IF(D325="","",D325*'参数与说明'!$B$6/0.453592)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43009</v>
      </c>
      <c r="B326" s="17" t="n">
        <v>2017</v>
      </c>
      <c r="C326" s="17" t="n">
        <v>10</v>
      </c>
      <c r="D326" s="18" t="n">
        <v>0.48</v>
      </c>
      <c r="E326" s="18">
        <f>IF(D326="","",D326*'参数与说明'!$B$6/0.453592)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43040</v>
      </c>
      <c r="B327" s="13" t="n">
        <v>2017</v>
      </c>
      <c r="C327" s="13" t="n">
        <v>11</v>
      </c>
      <c r="D327" s="14" t="n">
        <v>0.49</v>
      </c>
      <c r="E327" s="14">
        <f>IF(D327="","",D327*'参数与说明'!$B$6/0.453592)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43070</v>
      </c>
      <c r="B328" s="17" t="n">
        <v>2017</v>
      </c>
      <c r="C328" s="17" t="n">
        <v>12</v>
      </c>
      <c r="D328" s="18" t="n">
        <v>0.5</v>
      </c>
      <c r="E328" s="18">
        <f>IF(D328="","",D328*'参数与说明'!$B$6/0.453592)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43101</v>
      </c>
      <c r="B329" s="13" t="n">
        <v>2018</v>
      </c>
      <c r="C329" s="13" t="n">
        <v>1</v>
      </c>
      <c r="D329" s="14" t="n">
        <v>0.53</v>
      </c>
      <c r="E329" s="14">
        <f>IF(D329="","",D329*'参数与说明'!$B$6/0.453592)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43132</v>
      </c>
      <c r="B330" s="17" t="n">
        <v>2018</v>
      </c>
      <c r="C330" s="17" t="n">
        <v>2</v>
      </c>
      <c r="D330" s="18" t="n">
        <v>0.52</v>
      </c>
      <c r="E330" s="18">
        <f>IF(D330="","",D330*'参数与说明'!$B$6/0.453592)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43160</v>
      </c>
      <c r="B331" s="13" t="n">
        <v>2018</v>
      </c>
      <c r="C331" s="13" t="n">
        <v>3</v>
      </c>
      <c r="D331" s="14" t="n">
        <v>0.6</v>
      </c>
      <c r="E331" s="14">
        <f>IF(D331="","",D331*'参数与说明'!$B$6/0.453592)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43191</v>
      </c>
      <c r="B332" s="17" t="n">
        <v>2018</v>
      </c>
      <c r="C332" s="17" t="n">
        <v>4</v>
      </c>
      <c r="D332" s="18" t="n">
        <v>0.65</v>
      </c>
      <c r="E332" s="18">
        <f>IF(D332="","",D332*'参数与说明'!$B$6/0.453592)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43221</v>
      </c>
      <c r="B333" s="13" t="n">
        <v>2018</v>
      </c>
      <c r="C333" s="13" t="n">
        <v>5</v>
      </c>
      <c r="D333" s="14" t="n">
        <v>0.72</v>
      </c>
      <c r="E333" s="14">
        <f>IF(D333="","",D333*'参数与说明'!$B$6/0.453592)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43252</v>
      </c>
      <c r="B334" s="17" t="n">
        <v>2018</v>
      </c>
      <c r="C334" s="17" t="n">
        <v>6</v>
      </c>
      <c r="D334" s="18" t="n">
        <v>0.73</v>
      </c>
      <c r="E334" s="18">
        <f>IF(D334="","",D334*'参数与说明'!$B$6/0.453592)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43282</v>
      </c>
      <c r="B335" s="13" t="n">
        <v>2018</v>
      </c>
      <c r="C335" s="13" t="n">
        <v>7</v>
      </c>
      <c r="D335" s="14" t="n">
        <v>0.67</v>
      </c>
      <c r="E335" s="14">
        <f>IF(D335="","",D335*'参数与说明'!$B$6/0.453592)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43313</v>
      </c>
      <c r="B336" s="17" t="n">
        <v>2018</v>
      </c>
      <c r="C336" s="17" t="n">
        <v>8</v>
      </c>
      <c r="D336" s="18" t="n">
        <v>0.49</v>
      </c>
      <c r="E336" s="18">
        <f>IF(D336="","",D336*'参数与说明'!$B$6/0.453592)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43344</v>
      </c>
      <c r="B337" s="13" t="n">
        <v>2018</v>
      </c>
      <c r="C337" s="13" t="n">
        <v>9</v>
      </c>
      <c r="D337" s="14" t="n">
        <v>0.46</v>
      </c>
      <c r="E337" s="14">
        <f>IF(D337="","",D337*'参数与说明'!$B$6/0.453592)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43374</v>
      </c>
      <c r="B338" s="17" t="n">
        <v>2018</v>
      </c>
      <c r="C338" s="17" t="n">
        <v>10</v>
      </c>
      <c r="D338" s="18" t="n">
        <v>0.46</v>
      </c>
      <c r="E338" s="18">
        <f>IF(D338="","",D338*'参数与说明'!$B$6/0.453592)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43405</v>
      </c>
      <c r="B339" s="13" t="n">
        <v>2018</v>
      </c>
      <c r="C339" s="13" t="n">
        <v>11</v>
      </c>
      <c r="D339" s="14" t="n">
        <v>0.49</v>
      </c>
      <c r="E339" s="14">
        <f>IF(D339="","",D339*'参数与说明'!$B$6/0.453592)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43435</v>
      </c>
      <c r="B340" s="17" t="n">
        <v>2018</v>
      </c>
      <c r="C340" s="17" t="n">
        <v>12</v>
      </c>
      <c r="D340" s="18" t="n">
        <v>0.51</v>
      </c>
      <c r="E340" s="18">
        <f>IF(D340="","",D340*'参数与说明'!$B$6/0.453592)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43466</v>
      </c>
      <c r="B341" s="13" t="n">
        <v>2019</v>
      </c>
      <c r="C341" s="13" t="n">
        <v>1</v>
      </c>
      <c r="D341" s="14" t="n">
        <v>0.5600000000000001</v>
      </c>
      <c r="E341" s="14">
        <f>IF(D341="","",D341*'参数与说明'!$B$6/0.453592)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43497</v>
      </c>
      <c r="B342" s="17" t="n">
        <v>2019</v>
      </c>
      <c r="C342" s="17" t="n">
        <v>2</v>
      </c>
      <c r="D342" s="18" t="n">
        <v>0.49</v>
      </c>
      <c r="E342" s="18">
        <f>IF(D342="","",D342*'参数与说明'!$B$6/0.453592)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43525</v>
      </c>
      <c r="B343" s="13" t="n">
        <v>2019</v>
      </c>
      <c r="C343" s="13" t="n">
        <v>3</v>
      </c>
      <c r="D343" s="14" t="n">
        <v>0.51</v>
      </c>
      <c r="E343" s="14">
        <f>IF(D343="","",D343*'参数与说明'!$B$6/0.453592)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43556</v>
      </c>
      <c r="B344" s="17" t="n">
        <v>2019</v>
      </c>
      <c r="C344" s="17" t="n">
        <v>4</v>
      </c>
      <c r="D344" s="18" t="n">
        <v>0.55</v>
      </c>
      <c r="E344" s="18">
        <f>IF(D344="","",D344*'参数与说明'!$B$6/0.453592)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43586</v>
      </c>
      <c r="B345" s="13" t="n">
        <v>2019</v>
      </c>
      <c r="C345" s="13" t="n">
        <v>5</v>
      </c>
      <c r="D345" s="14" t="n">
        <v>0.57</v>
      </c>
      <c r="E345" s="14">
        <f>IF(D345="","",D345*'参数与说明'!$B$6/0.453592)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43617</v>
      </c>
      <c r="B346" s="17" t="n">
        <v>2019</v>
      </c>
      <c r="C346" s="17" t="n">
        <v>6</v>
      </c>
      <c r="D346" s="18" t="n">
        <v>0.54</v>
      </c>
      <c r="E346" s="18">
        <f>IF(D346="","",D346*'参数与说明'!$B$6/0.453592)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43647</v>
      </c>
      <c r="B347" s="13" t="n">
        <v>2019</v>
      </c>
      <c r="C347" s="13" t="n">
        <v>7</v>
      </c>
      <c r="D347" s="14" t="n">
        <v>0.487</v>
      </c>
      <c r="E347" s="14">
        <f>IF(D347="","",D347*'参数与说明'!$B$6/0.453592)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43678</v>
      </c>
      <c r="B348" s="17" t="n">
        <v>2019</v>
      </c>
      <c r="C348" s="17" t="n">
        <v>8</v>
      </c>
      <c r="D348" s="18" t="n">
        <v>0.421</v>
      </c>
      <c r="E348" s="18">
        <f>IF(D348="","",D348*'参数与说明'!$B$6/0.453592)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43709</v>
      </c>
      <c r="B349" s="13" t="n">
        <v>2019</v>
      </c>
      <c r="C349" s="13" t="n">
        <v>9</v>
      </c>
      <c r="D349" s="14" t="n">
        <v>0.391</v>
      </c>
      <c r="E349" s="14">
        <f>IF(D349="","",D349*'参数与说明'!$B$6/0.453592)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43739</v>
      </c>
      <c r="B350" s="17" t="n">
        <v>2019</v>
      </c>
      <c r="C350" s="17" t="n">
        <v>10</v>
      </c>
      <c r="D350" s="18" t="n">
        <v>0.41</v>
      </c>
      <c r="E350" s="18">
        <f>IF(D350="","",D350*'参数与说明'!$B$6/0.453592)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43770</v>
      </c>
      <c r="B351" s="13" t="n">
        <v>2019</v>
      </c>
      <c r="C351" s="13" t="n">
        <v>11</v>
      </c>
      <c r="D351" s="14" t="n">
        <v>0.403</v>
      </c>
      <c r="E351" s="14">
        <f>IF(D351="","",D351*'参数与说明'!$B$6/0.453592)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43800</v>
      </c>
      <c r="B352" s="17" t="n">
        <v>2019</v>
      </c>
      <c r="C352" s="17" t="n">
        <v>12</v>
      </c>
      <c r="D352" s="18" t="n">
        <v>0.449</v>
      </c>
      <c r="E352" s="18">
        <f>IF(D352="","",D352*'参数与说明'!$B$6/0.453592)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43831</v>
      </c>
      <c r="B353" s="13" t="n">
        <v>2020</v>
      </c>
      <c r="C353" s="13" t="n">
        <v>1</v>
      </c>
      <c r="D353" s="14" t="n">
        <v>0.494</v>
      </c>
      <c r="E353" s="14">
        <f>IF(D353="","",D353*'参数与说明'!$B$6/0.453592)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43862</v>
      </c>
      <c r="B354" s="17" t="n">
        <v>2020</v>
      </c>
      <c r="C354" s="17" t="n">
        <v>2</v>
      </c>
      <c r="D354" s="18" t="n">
        <v>0.419</v>
      </c>
      <c r="E354" s="18">
        <f>IF(D354="","",D354*'参数与说明'!$B$6/0.453592)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43891</v>
      </c>
      <c r="B355" s="13" t="n">
        <v>2020</v>
      </c>
      <c r="C355" s="13" t="n">
        <v>3</v>
      </c>
      <c r="D355" s="14" t="n">
        <v>0.43</v>
      </c>
      <c r="E355" s="14">
        <f>IF(D355="","",D355*'参数与说明'!$B$6/0.453592)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43922</v>
      </c>
      <c r="B356" s="17" t="n">
        <v>2020</v>
      </c>
      <c r="C356" s="17" t="n">
        <v>4</v>
      </c>
      <c r="D356" s="18" t="n">
        <v>0.226</v>
      </c>
      <c r="E356" s="18">
        <f>IF(D356="","",D356*'参数与说明'!$B$6/0.453592)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43952</v>
      </c>
      <c r="B357" s="13" t="n">
        <v>2020</v>
      </c>
      <c r="C357" s="13" t="n">
        <v>5</v>
      </c>
      <c r="D357" s="14" t="n">
        <v>0.345</v>
      </c>
      <c r="E357" s="14">
        <f>IF(D357="","",D357*'参数与说明'!$B$6/0.453592)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43983</v>
      </c>
      <c r="B358" s="17" t="n">
        <v>2020</v>
      </c>
      <c r="C358" s="17" t="n">
        <v>6</v>
      </c>
      <c r="D358" s="18" t="n">
        <v>0.366</v>
      </c>
      <c r="E358" s="18">
        <f>IF(D358="","",D358*'参数与说明'!$B$6/0.453592)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44013</v>
      </c>
      <c r="B359" s="13" t="n">
        <v>2020</v>
      </c>
      <c r="C359" s="13" t="n">
        <v>7</v>
      </c>
      <c r="D359" s="14" t="n">
        <v>0.345</v>
      </c>
      <c r="E359" s="14">
        <f>IF(D359="","",D359*'参数与说明'!$B$6/0.453592)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44044</v>
      </c>
      <c r="B360" s="17" t="n">
        <v>2020</v>
      </c>
      <c r="C360" s="17" t="n">
        <v>8</v>
      </c>
      <c r="D360" s="18" t="n">
        <v>0.309</v>
      </c>
      <c r="E360" s="18">
        <f>IF(D360="","",D360*'参数与说明'!$B$6/0.453592)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44075</v>
      </c>
      <c r="B361" s="13" t="n">
        <v>2020</v>
      </c>
      <c r="C361" s="13" t="n">
        <v>9</v>
      </c>
      <c r="D361" s="14" t="n">
        <v>0.292</v>
      </c>
      <c r="E361" s="14">
        <f>IF(D361="","",D361*'参数与说明'!$B$6/0.453592)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44105</v>
      </c>
      <c r="B362" s="17" t="n">
        <v>2020</v>
      </c>
      <c r="C362" s="17" t="n">
        <v>10</v>
      </c>
      <c r="D362" s="18" t="n">
        <v>0.315</v>
      </c>
      <c r="E362" s="18">
        <f>IF(D362="","",D362*'参数与说明'!$B$6/0.453592)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44136</v>
      </c>
      <c r="B363" s="13" t="n">
        <v>2020</v>
      </c>
      <c r="C363" s="13" t="n">
        <v>11</v>
      </c>
      <c r="D363" s="14" t="n">
        <v>0.391</v>
      </c>
      <c r="E363" s="14">
        <f>IF(D363="","",D363*'参数与说明'!$B$6/0.453592)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44166</v>
      </c>
      <c r="B364" s="17" t="n">
        <v>2020</v>
      </c>
      <c r="C364" s="17" t="n">
        <v>12</v>
      </c>
      <c r="D364" s="18" t="n">
        <v>0.43</v>
      </c>
      <c r="E364" s="18">
        <f>IF(D364="","",D364*'参数与说明'!$B$6/0.453592)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44197</v>
      </c>
      <c r="B365" s="13" t="n">
        <v>2021</v>
      </c>
      <c r="C365" s="13" t="n">
        <v>1</v>
      </c>
      <c r="D365" s="14" t="n">
        <v>0.417</v>
      </c>
      <c r="E365" s="14">
        <f>IF(D365="","",D365*'参数与说明'!$B$6/0.453592)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44228</v>
      </c>
      <c r="B366" s="17" t="n">
        <v>2021</v>
      </c>
      <c r="C366" s="17" t="n">
        <v>2</v>
      </c>
      <c r="D366" s="18" t="n">
        <v>0.423</v>
      </c>
      <c r="E366" s="18">
        <f>IF(D366="","",D366*'参数与说明'!$B$6/0.453592)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44256</v>
      </c>
      <c r="B367" s="13" t="n">
        <v>2021</v>
      </c>
      <c r="C367" s="13" t="n">
        <v>3</v>
      </c>
      <c r="D367" s="14" t="n">
        <v>0.431</v>
      </c>
      <c r="E367" s="14">
        <f>IF(D367="","",D367*'参数与说明'!$B$6/0.453592)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44287</v>
      </c>
      <c r="B368" s="17" t="n">
        <v>2021</v>
      </c>
      <c r="C368" s="17" t="n">
        <v>4</v>
      </c>
      <c r="D368" s="18" t="n">
        <v>0.548</v>
      </c>
      <c r="E368" s="18">
        <f>IF(D368="","",D368*'参数与说明'!$B$6/0.453592)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44317</v>
      </c>
      <c r="B369" s="13" t="n">
        <v>2021</v>
      </c>
      <c r="C369" s="13" t="n">
        <v>5</v>
      </c>
      <c r="D369" s="14" t="n">
        <v>0.593</v>
      </c>
      <c r="E369" s="14">
        <f>IF(D369="","",D369*'参数与说明'!$B$6/0.453592)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44348</v>
      </c>
      <c r="B370" s="17" t="n">
        <v>2021</v>
      </c>
      <c r="C370" s="17" t="n">
        <v>6</v>
      </c>
      <c r="D370" s="18" t="n">
        <v>0.6</v>
      </c>
      <c r="E370" s="18">
        <f>IF(D370="","",D370*'参数与说明'!$B$6/0.453592)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44378</v>
      </c>
      <c r="B371" s="13" t="n">
        <v>2021</v>
      </c>
      <c r="C371" s="13" t="n">
        <v>7</v>
      </c>
      <c r="D371" s="14" t="n">
        <v>0.593</v>
      </c>
      <c r="E371" s="14">
        <f>IF(D371="","",D371*'参数与说明'!$B$6/0.453592)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44409</v>
      </c>
      <c r="B372" s="17" t="n">
        <v>2021</v>
      </c>
      <c r="C372" s="17" t="n">
        <v>8</v>
      </c>
      <c r="D372" s="18" t="n">
        <v>0.587</v>
      </c>
      <c r="E372" s="18">
        <f>IF(D372="","",D372*'参数与说明'!$B$6/0.453592)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44440</v>
      </c>
      <c r="B373" s="13" t="n">
        <v>2021</v>
      </c>
      <c r="C373" s="13" t="n">
        <v>9</v>
      </c>
      <c r="D373" s="14" t="n">
        <v>0.595</v>
      </c>
      <c r="E373" s="14">
        <f>IF(D373="","",D373*'参数与说明'!$B$6/0.453592)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44470</v>
      </c>
      <c r="B374" s="17" t="n">
        <v>2021</v>
      </c>
      <c r="C374" s="17" t="n">
        <v>10</v>
      </c>
      <c r="D374" s="18" t="n">
        <v>0.578</v>
      </c>
      <c r="E374" s="18">
        <f>IF(D374="","",D374*'参数与说明'!$B$6/0.453592)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44501</v>
      </c>
      <c r="B375" s="13" t="n">
        <v>2021</v>
      </c>
      <c r="C375" s="13" t="n">
        <v>11</v>
      </c>
      <c r="D375" s="14" t="n">
        <v>0.592</v>
      </c>
      <c r="E375" s="14">
        <f>IF(D375="","",D375*'参数与说明'!$B$6/0.453592)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44531</v>
      </c>
      <c r="B376" s="17" t="n">
        <v>2021</v>
      </c>
      <c r="C376" s="17" t="n">
        <v>12</v>
      </c>
      <c r="D376" s="18" t="n">
        <v>0.735</v>
      </c>
      <c r="E376" s="18">
        <f>IF(D376="","",D376*'参数与说明'!$B$6/0.453592)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44562</v>
      </c>
      <c r="B377" s="13" t="n">
        <v>2022</v>
      </c>
      <c r="C377" s="13" t="n">
        <v>1</v>
      </c>
      <c r="D377" s="14" t="n">
        <v>0.78</v>
      </c>
      <c r="E377" s="14">
        <f>IF(D377="","",D377*'参数与说明'!$B$6/0.453592)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44593</v>
      </c>
      <c r="B378" s="17" t="n">
        <v>2022</v>
      </c>
      <c r="C378" s="17" t="n">
        <v>2</v>
      </c>
      <c r="D378" s="18" t="n">
        <v>0.739</v>
      </c>
      <c r="E378" s="18">
        <f>IF(D378="","",D378*'参数与说明'!$B$6/0.453592)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44621</v>
      </c>
      <c r="B379" s="13" t="n">
        <v>2022</v>
      </c>
      <c r="C379" s="13" t="n">
        <v>3</v>
      </c>
      <c r="D379" s="14" t="n">
        <v>0.885</v>
      </c>
      <c r="E379" s="14">
        <f>IF(D379="","",D379*'参数与说明'!$B$6/0.453592)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44652</v>
      </c>
      <c r="B380" s="17" t="n">
        <v>2022</v>
      </c>
      <c r="C380" s="17" t="n">
        <v>4</v>
      </c>
      <c r="D380" s="18" t="n">
        <v>1.037</v>
      </c>
      <c r="E380" s="18">
        <f>IF(D380="","",D380*'参数与说明'!$B$6/0.453592)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44682</v>
      </c>
      <c r="B381" s="13" t="n">
        <v>2022</v>
      </c>
      <c r="C381" s="13" t="n">
        <v>5</v>
      </c>
      <c r="D381" s="14" t="n">
        <v>1.069</v>
      </c>
      <c r="E381" s="14">
        <f>IF(D381="","",D381*'参数与说明'!$B$6/0.453592)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44713</v>
      </c>
      <c r="B382" s="17" t="n">
        <v>2022</v>
      </c>
      <c r="C382" s="17" t="n">
        <v>6</v>
      </c>
      <c r="D382" s="18" t="n">
        <v>1.045</v>
      </c>
      <c r="E382" s="18">
        <f>IF(D382="","",D382*'参数与说明'!$B$6/0.453592)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44743</v>
      </c>
      <c r="B383" s="13" t="n">
        <v>2022</v>
      </c>
      <c r="C383" s="13" t="n">
        <v>7</v>
      </c>
      <c r="D383" s="14" t="n">
        <v>0.963</v>
      </c>
      <c r="E383" s="14">
        <f>IF(D383="","",D383*'参数与说明'!$B$6/0.453592)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44774</v>
      </c>
      <c r="B384" s="17" t="n">
        <v>2022</v>
      </c>
      <c r="C384" s="17" t="n">
        <v>8</v>
      </c>
      <c r="D384" s="18" t="n">
        <v>0.78</v>
      </c>
      <c r="E384" s="18">
        <f>IF(D384="","",D384*'参数与说明'!$B$6/0.453592)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44805</v>
      </c>
      <c r="B385" s="13" t="n">
        <v>2022</v>
      </c>
      <c r="C385" s="13" t="n">
        <v>9</v>
      </c>
      <c r="D385" s="14" t="n">
        <v>0.733</v>
      </c>
      <c r="E385" s="14">
        <f>IF(D385="","",D385*'参数与说明'!$B$6/0.453592)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44835</v>
      </c>
      <c r="B386" s="17" t="n">
        <v>2022</v>
      </c>
      <c r="C386" s="17" t="n">
        <v>10</v>
      </c>
      <c r="D386" s="18" t="n">
        <v>0.711</v>
      </c>
      <c r="E386" s="18">
        <f>IF(D386="","",D386*'参数与说明'!$B$6/0.453592)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44866</v>
      </c>
      <c r="B387" s="13" t="n">
        <v>2022</v>
      </c>
      <c r="C387" s="13" t="n">
        <v>11</v>
      </c>
      <c r="D387" s="14" t="n">
        <v>0.729</v>
      </c>
      <c r="E387" s="14">
        <f>IF(D387="","",D387*'参数与说明'!$B$6/0.453592)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44896</v>
      </c>
      <c r="B388" s="17" t="n">
        <v>2022</v>
      </c>
      <c r="C388" s="17" t="n">
        <v>12</v>
      </c>
      <c r="D388" s="18" t="n">
        <v>0.726</v>
      </c>
      <c r="E388" s="18">
        <f>IF(D388="","",D388*'参数与说明'!$B$6/0.453592)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44927</v>
      </c>
      <c r="B389" s="13" t="n">
        <v>2023</v>
      </c>
      <c r="C389" s="13" t="n">
        <v>1</v>
      </c>
      <c r="D389" s="14" t="n">
        <v>0.6899999999999999</v>
      </c>
      <c r="E389" s="14">
        <f>IF(D389="","",D389*'参数与说明'!$B$6/0.453592)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44958</v>
      </c>
      <c r="B390" s="17" t="n">
        <v>2023</v>
      </c>
      <c r="C390" s="17" t="n">
        <v>2</v>
      </c>
      <c r="D390" s="18" t="n">
        <v>0.6929999999999999</v>
      </c>
      <c r="E390" s="18">
        <f>IF(D390="","",D390*'参数与说明'!$B$6/0.453592)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44986</v>
      </c>
      <c r="B391" s="13" t="n">
        <v>2023</v>
      </c>
      <c r="C391" s="13" t="n">
        <v>3</v>
      </c>
      <c r="D391" s="14" t="n">
        <v>0.755</v>
      </c>
      <c r="E391" s="14">
        <f>IF(D391="","",D391*'参数与说明'!$B$6/0.453592)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45017</v>
      </c>
      <c r="B392" s="17" t="n">
        <v>2023</v>
      </c>
      <c r="C392" s="17" t="n">
        <v>4</v>
      </c>
      <c r="D392" s="18" t="n">
        <v>0.831</v>
      </c>
      <c r="E392" s="18">
        <f>IF(D392="","",D392*'参数与说明'!$B$6/0.453592)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45047</v>
      </c>
      <c r="B393" s="13" t="n">
        <v>2023</v>
      </c>
      <c r="C393" s="13" t="n">
        <v>5</v>
      </c>
      <c r="D393" s="14" t="n">
        <v>0.849</v>
      </c>
      <c r="E393" s="14">
        <f>IF(D393="","",D393*'参数与说明'!$B$6/0.453592)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45078</v>
      </c>
      <c r="B394" s="17" t="n">
        <v>2023</v>
      </c>
      <c r="C394" s="17" t="n">
        <v>6</v>
      </c>
      <c r="D394" s="18" t="n">
        <v>0.806</v>
      </c>
      <c r="E394" s="18">
        <f>IF(D394="","",D394*'参数与说明'!$B$6/0.453592)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45108</v>
      </c>
      <c r="B395" s="13" t="n">
        <v>2023</v>
      </c>
      <c r="C395" s="13" t="n">
        <v>7</v>
      </c>
      <c r="D395" s="14" t="n">
        <v>0.67</v>
      </c>
      <c r="E395" s="14">
        <f>IF(D395="","",D395*'参数与说明'!$B$6/0.453592)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45139</v>
      </c>
      <c r="B396" s="17" t="n">
        <v>2023</v>
      </c>
      <c r="C396" s="17" t="n">
        <v>8</v>
      </c>
      <c r="D396" s="18" t="n">
        <v>0.607</v>
      </c>
      <c r="E396" s="18">
        <f>IF(D396="","",D396*'参数与说明'!$B$6/0.453592)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45170</v>
      </c>
      <c r="B397" s="13" t="n">
        <v>2023</v>
      </c>
      <c r="C397" s="13" t="n">
        <v>9</v>
      </c>
      <c r="D397" s="14" t="n">
        <v>0.649</v>
      </c>
      <c r="E397" s="14">
        <f>IF(D397="","",D397*'参数与说明'!$B$6/0.453592)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45200</v>
      </c>
      <c r="B398" s="17" t="n">
        <v>2023</v>
      </c>
      <c r="C398" s="17" t="n">
        <v>10</v>
      </c>
      <c r="D398" s="18" t="n">
        <v>0.634</v>
      </c>
      <c r="E398" s="18">
        <f>IF(D398="","",D398*'参数与说明'!$B$6/0.453592)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45231</v>
      </c>
      <c r="B399" s="13" t="n">
        <v>2023</v>
      </c>
      <c r="C399" s="13" t="n">
        <v>11</v>
      </c>
      <c r="D399" s="14" t="n">
        <v>0.65</v>
      </c>
      <c r="E399" s="14">
        <f>IF(D399="","",D399*'参数与说明'!$B$6/0.453592)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45261</v>
      </c>
      <c r="B400" s="17" t="n">
        <v>2023</v>
      </c>
      <c r="C400" s="17" t="n">
        <v>12</v>
      </c>
      <c r="D400" s="18" t="n">
        <v>0.722</v>
      </c>
      <c r="E400" s="18">
        <f>IF(D400="","",D400*'参数与说明'!$B$6/0.453592)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45292</v>
      </c>
      <c r="B401" s="13" t="n">
        <v>2024</v>
      </c>
      <c r="C401" s="13" t="n">
        <v>1</v>
      </c>
      <c r="D401" s="14" t="n">
        <v>0.735</v>
      </c>
      <c r="E401" s="14">
        <f>IF(D401="","",D401*'参数与说明'!$B$6/0.453592)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45323</v>
      </c>
      <c r="B402" s="17" t="n">
        <v>2024</v>
      </c>
      <c r="C402" s="17" t="n">
        <v>2</v>
      </c>
      <c r="D402" s="18" t="n">
        <v>0.719</v>
      </c>
      <c r="E402" s="18">
        <f>IF(D402="","",D402*'参数与说明'!$B$6/0.453592)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45352</v>
      </c>
      <c r="B403" s="13" t="n">
        <v>2024</v>
      </c>
      <c r="C403" s="13" t="n">
        <v>3</v>
      </c>
      <c r="D403" s="14" t="n">
        <v>0.744</v>
      </c>
      <c r="E403" s="14">
        <f>IF(D403="","",D403*'参数与说明'!$B$6/0.453592)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45383</v>
      </c>
      <c r="B404" s="17" t="n">
        <v>2024</v>
      </c>
      <c r="C404" s="17" t="n">
        <v>4</v>
      </c>
      <c r="D404" s="18" t="n">
        <v>0.768</v>
      </c>
      <c r="E404" s="18">
        <f>IF(D404="","",D404*'参数与说明'!$B$6/0.453592)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45413</v>
      </c>
      <c r="B405" s="13" t="n">
        <v>2024</v>
      </c>
      <c r="C405" s="13" t="n">
        <v>5</v>
      </c>
      <c r="D405" s="14" t="n">
        <v>0.765</v>
      </c>
      <c r="E405" s="14">
        <f>IF(D405="","",D405*'参数与说明'!$B$6/0.453592)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45444</v>
      </c>
      <c r="B406" s="17" t="n">
        <v>2024</v>
      </c>
      <c r="C406" s="17" t="n">
        <v>6</v>
      </c>
      <c r="D406" s="18" t="n">
        <v>0.76</v>
      </c>
      <c r="E406" s="18">
        <f>IF(D406="","",D406*'参数与说明'!$B$6/0.453592)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45474</v>
      </c>
      <c r="B407" s="13" t="n">
        <v>2024</v>
      </c>
      <c r="C407" s="13" t="n">
        <v>7</v>
      </c>
      <c r="D407" s="14" t="n">
        <v>0.759</v>
      </c>
      <c r="E407" s="14">
        <f>IF(D407="","",D407*'参数与说明'!$B$6/0.453592)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45505</v>
      </c>
      <c r="B408" s="17" t="n">
        <v>2024</v>
      </c>
      <c r="C408" s="17" t="n">
        <v>8</v>
      </c>
      <c r="D408" s="18" t="n">
        <v>0.712</v>
      </c>
      <c r="E408" s="18">
        <f>IF(D408="","",D408*'参数与说明'!$B$6/0.453592)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45536</v>
      </c>
      <c r="B409" s="13" t="n">
        <v>2024</v>
      </c>
      <c r="C409" s="13" t="n">
        <v>9</v>
      </c>
      <c r="D409" s="14" t="n">
        <v>0.727</v>
      </c>
      <c r="E409" s="14">
        <f>IF(D409="","",D409*'参数与说明'!$B$6/0.453592)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45566</v>
      </c>
      <c r="B410" s="17" t="n">
        <v>2024</v>
      </c>
      <c r="C410" s="17" t="n">
        <v>10</v>
      </c>
      <c r="D410" s="18" t="n">
        <v>0.741</v>
      </c>
      <c r="E410" s="18">
        <f>IF(D410="","",D410*'参数与说明'!$B$6/0.453592)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45597</v>
      </c>
      <c r="B411" s="13" t="n">
        <v>2024</v>
      </c>
      <c r="C411" s="13" t="n">
        <v>11</v>
      </c>
      <c r="D411" s="14" t="n">
        <v>0.741</v>
      </c>
      <c r="E411" s="14">
        <f>IF(D411="","",D411*'参数与说明'!$B$6/0.453592)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45627</v>
      </c>
      <c r="B412" s="17" t="n">
        <v>2024</v>
      </c>
      <c r="C412" s="17" t="n">
        <v>12</v>
      </c>
      <c r="D412" s="18" t="n">
        <v>0.76</v>
      </c>
      <c r="E412" s="18">
        <f>IF(D412="","",D412*'参数与说明'!$B$6/0.453592)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45658</v>
      </c>
      <c r="B413" s="13" t="n">
        <v>2025</v>
      </c>
      <c r="C413" s="13" t="n">
        <v>1</v>
      </c>
      <c r="D413" s="14" t="n">
        <v>0.774</v>
      </c>
      <c r="E413" s="14">
        <f>IF(D413="","",D413*'参数与说明'!$B$6/0.453592)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45689</v>
      </c>
      <c r="B414" s="17" t="n">
        <v>2025</v>
      </c>
      <c r="C414" s="17" t="n">
        <v>2</v>
      </c>
      <c r="D414" s="18" t="n">
        <v>0.726</v>
      </c>
      <c r="E414" s="18">
        <f>IF(D414="","",D414*'参数与说明'!$B$6/0.453592)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45717</v>
      </c>
      <c r="B415" s="13" t="n">
        <v>2025</v>
      </c>
      <c r="C415" s="13" t="n">
        <v>3</v>
      </c>
      <c r="D415" s="14" t="n">
        <v>0.763</v>
      </c>
      <c r="E415" s="14">
        <f>IF(D415="","",D415*'参数与说明'!$B$6/0.453592)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45748</v>
      </c>
      <c r="B416" s="17" t="n">
        <v>2025</v>
      </c>
      <c r="C416" s="17" t="n">
        <v>4</v>
      </c>
      <c r="D416" s="18" t="n">
        <v>0.791</v>
      </c>
      <c r="E416" s="18">
        <f>IF(D416="","",D416*'参数与说明'!$B$6/0.453592)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45778</v>
      </c>
      <c r="B417" s="13" t="n">
        <v>2025</v>
      </c>
      <c r="C417" s="13" t="n">
        <v>5</v>
      </c>
      <c r="D417" s="14" t="n">
        <v>0.789</v>
      </c>
      <c r="E417" s="14">
        <f>IF(D417="","",D417*'参数与说明'!$B$6/0.453592)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45809</v>
      </c>
      <c r="B418" s="17" t="n">
        <v>2025</v>
      </c>
      <c r="C418" s="17" t="n">
        <v>6</v>
      </c>
      <c r="D418" s="18" t="n">
        <v>0.801</v>
      </c>
      <c r="E418" s="18">
        <f>IF(D418="","",D418*'参数与说明'!$B$6/0.453592)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45839</v>
      </c>
      <c r="B419" s="13" t="n">
        <v>2025</v>
      </c>
      <c r="C419" s="13" t="n">
        <v>7</v>
      </c>
      <c r="D419" s="14" t="n">
        <v>0.759</v>
      </c>
      <c r="E419" s="14">
        <f>IF(D419="","",D419*'参数与说明'!$B$6/0.453592)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45870</v>
      </c>
      <c r="B420" s="17" t="n">
        <v>2025</v>
      </c>
      <c r="C420" s="17" t="n">
        <v>8</v>
      </c>
      <c r="D420" s="18" t="n">
        <v>0.667</v>
      </c>
      <c r="E420" s="18">
        <f>IF(D420="","",D420*'参数与说明'!$B$6/0.453592)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45901</v>
      </c>
      <c r="B421" s="13" t="n">
        <v>2025</v>
      </c>
      <c r="C421" s="13" t="n">
        <v>9</v>
      </c>
      <c r="D421" s="14" t="n">
        <v>0.639</v>
      </c>
      <c r="E421" s="14">
        <f>IF(D421="","",D421*'参数与说明'!$B$6/0.453592)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45931</v>
      </c>
      <c r="B422" s="17" t="n">
        <v>2025</v>
      </c>
      <c r="C422" s="17" t="n">
        <v>10</v>
      </c>
      <c r="D422" s="18" t="n">
        <v>0.582</v>
      </c>
      <c r="E422" s="18">
        <f>IF(D422="","",D422*'参数与说明'!$B$6/0.453592)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45962</v>
      </c>
      <c r="B423" s="13" t="n">
        <v>2025</v>
      </c>
      <c r="C423" s="13" t="n">
        <v>11</v>
      </c>
      <c r="D423" s="14" t="n">
        <v>0.588</v>
      </c>
      <c r="E423" s="14">
        <f>IF(D423="","",D423*'参数与说明'!$B$6/0.453592)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45992</v>
      </c>
      <c r="B424" s="17" t="n">
        <v>2025</v>
      </c>
      <c r="C424" s="17" t="n">
        <v>12</v>
      </c>
      <c r="D424" s="18" t="n">
        <v>0.646</v>
      </c>
      <c r="E424" s="18">
        <f>IF(D424="","",D424*'参数与说明'!$B$6/0.453592)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46023</v>
      </c>
      <c r="B425" s="13" t="n">
        <v>2026</v>
      </c>
      <c r="C425" s="13" t="n">
        <v>1</v>
      </c>
      <c r="D425" s="14" t="n">
        <v>0.677</v>
      </c>
      <c r="E425" s="14">
        <f>IF(D425="","",D425*'参数与说明'!$B$6/0.453592)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46054</v>
      </c>
      <c r="B426" s="17" t="n">
        <v>2026</v>
      </c>
      <c r="C426" s="17" t="n">
        <v>2</v>
      </c>
      <c r="D426" s="18" t="n">
        <v>0.663</v>
      </c>
      <c r="E426" s="18">
        <f>IF(D426="","",D426*'参数与说明'!$B$6/0.453592)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46082</v>
      </c>
      <c r="B427" s="13" t="n">
        <v>2026</v>
      </c>
      <c r="C427" s="13" t="n">
        <v>3</v>
      </c>
      <c r="D427" s="14" t="n">
        <v>0.672</v>
      </c>
      <c r="E427" s="14">
        <f>IF(D427="","",D427*'参数与说明'!$B$6/0.453592)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46113</v>
      </c>
      <c r="B428" s="17" t="n">
        <v>2026</v>
      </c>
      <c r="C428" s="17" t="n">
        <v>4</v>
      </c>
      <c r="D428" s="18" t="n">
        <v>0.6840000000000001</v>
      </c>
      <c r="E428" s="18">
        <f>IF(D428="","",D428*'参数与说明'!$B$6/0.453592)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玉米 — USDA NASS 价格收到价（月度）</t>
        </is>
      </c>
    </row>
    <row r="2" ht="15" customHeight="1">
      <c r="A2" s="10" t="inlineStr">
        <is>
          <t>美元/蒲式耳(玉米1bu=25.40kg)；元/公斤=主指标×汇率('参数与说明'!$B$6)÷25.4012。趋势图用美制原值。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玉米(Corn grain)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2923</v>
      </c>
      <c r="B5" s="13" t="n">
        <v>1908</v>
      </c>
      <c r="C5" s="13" t="n">
        <v>1</v>
      </c>
      <c r="D5" s="14" t="n">
        <v>0.55</v>
      </c>
      <c r="E5" s="14">
        <f>IF(D5="","",D5*'参数与说明'!$B$6/25.4012)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2954</v>
      </c>
      <c r="B6" s="17" t="n">
        <v>1908</v>
      </c>
      <c r="C6" s="17" t="n">
        <v>2</v>
      </c>
      <c r="D6" s="18" t="n">
        <v>0.57</v>
      </c>
      <c r="E6" s="18">
        <f>IF(D6="","",D6*'参数与说明'!$B$6/25.4012)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2983</v>
      </c>
      <c r="B7" s="13" t="n">
        <v>1908</v>
      </c>
      <c r="C7" s="13" t="n">
        <v>3</v>
      </c>
      <c r="D7" s="14" t="n">
        <v>0.596</v>
      </c>
      <c r="E7" s="14">
        <f>IF(D7="","",D7*'参数与说明'!$B$6/25.4012)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3014</v>
      </c>
      <c r="B8" s="17" t="n">
        <v>1908</v>
      </c>
      <c r="C8" s="17" t="n">
        <v>4</v>
      </c>
      <c r="D8" s="18" t="n">
        <v>0.63</v>
      </c>
      <c r="E8" s="18">
        <f>IF(D8="","",D8*'参数与说明'!$B$6/25.4012)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3044</v>
      </c>
      <c r="B9" s="13" t="n">
        <v>1908</v>
      </c>
      <c r="C9" s="13" t="n">
        <v>5</v>
      </c>
      <c r="D9" s="14" t="n">
        <v>0.6919999999999999</v>
      </c>
      <c r="E9" s="14">
        <f>IF(D9="","",D9*'参数与说明'!$B$6/25.4012)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3075</v>
      </c>
      <c r="B10" s="17" t="n">
        <v>1908</v>
      </c>
      <c r="C10" s="17" t="n">
        <v>6</v>
      </c>
      <c r="D10" s="18" t="n">
        <v>0.747</v>
      </c>
      <c r="E10" s="18">
        <f>IF(D10="","",D10*'参数与说明'!$B$6/25.4012)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3105</v>
      </c>
      <c r="B11" s="13" t="n">
        <v>1908</v>
      </c>
      <c r="C11" s="13" t="n">
        <v>7</v>
      </c>
      <c r="D11" s="14" t="n">
        <v>0.769</v>
      </c>
      <c r="E11" s="14">
        <f>IF(D11="","",D11*'参数与说明'!$B$6/25.4012)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3136</v>
      </c>
      <c r="B12" s="17" t="n">
        <v>1908</v>
      </c>
      <c r="C12" s="17" t="n">
        <v>8</v>
      </c>
      <c r="D12" s="18" t="n">
        <v>0.773</v>
      </c>
      <c r="E12" s="18">
        <f>IF(D12="","",D12*'参数与说明'!$B$6/25.4012)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3167</v>
      </c>
      <c r="B13" s="13" t="n">
        <v>1908</v>
      </c>
      <c r="C13" s="13" t="n">
        <v>9</v>
      </c>
      <c r="D13" s="14" t="n">
        <v>0.744</v>
      </c>
      <c r="E13" s="14">
        <f>IF(D13="","",D13*'参数与说明'!$B$6/25.4012)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3197</v>
      </c>
      <c r="B14" s="17" t="n">
        <v>1908</v>
      </c>
      <c r="C14" s="17" t="n">
        <v>10</v>
      </c>
      <c r="D14" s="18" t="n">
        <v>0.679</v>
      </c>
      <c r="E14" s="18">
        <f>IF(D14="","",D14*'参数与说明'!$B$6/25.4012)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3228</v>
      </c>
      <c r="B15" s="13" t="n">
        <v>1908</v>
      </c>
      <c r="C15" s="13" t="n">
        <v>11</v>
      </c>
      <c r="D15" s="14" t="n">
        <v>0.62</v>
      </c>
      <c r="E15" s="14">
        <f>IF(D15="","",D15*'参数与说明'!$B$6/25.4012)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3258</v>
      </c>
      <c r="B16" s="17" t="n">
        <v>1908</v>
      </c>
      <c r="C16" s="17" t="n">
        <v>12</v>
      </c>
      <c r="D16" s="18" t="n">
        <v>0.606</v>
      </c>
      <c r="E16" s="18">
        <f>IF(D16="","",D16*'参数与说明'!$B$6/25.4012)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3289</v>
      </c>
      <c r="B17" s="13" t="n">
        <v>1909</v>
      </c>
      <c r="C17" s="13" t="n">
        <v>1</v>
      </c>
      <c r="D17" s="14" t="n">
        <v>0.61</v>
      </c>
      <c r="E17" s="14">
        <f>IF(D17="","",D17*'参数与说明'!$B$6/25.4012)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3320</v>
      </c>
      <c r="B18" s="17" t="n">
        <v>1909</v>
      </c>
      <c r="C18" s="17" t="n">
        <v>2</v>
      </c>
      <c r="D18" s="18" t="n">
        <v>0.63</v>
      </c>
      <c r="E18" s="18">
        <f>IF(D18="","",D18*'参数与说明'!$B$6/25.4012)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3348</v>
      </c>
      <c r="B19" s="13" t="n">
        <v>1909</v>
      </c>
      <c r="C19" s="13" t="n">
        <v>3</v>
      </c>
      <c r="D19" s="14" t="n">
        <v>0.661</v>
      </c>
      <c r="E19" s="14">
        <f>IF(D19="","",D19*'参数与说明'!$B$6/25.4012)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3379</v>
      </c>
      <c r="B20" s="17" t="n">
        <v>1909</v>
      </c>
      <c r="C20" s="17" t="n">
        <v>4</v>
      </c>
      <c r="D20" s="18" t="n">
        <v>0.697</v>
      </c>
      <c r="E20" s="18">
        <f>IF(D20="","",D20*'参数与说明'!$B$6/25.4012)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3409</v>
      </c>
      <c r="B21" s="13" t="n">
        <v>1909</v>
      </c>
      <c r="C21" s="13" t="n">
        <v>5</v>
      </c>
      <c r="D21" s="14" t="n">
        <v>0.741</v>
      </c>
      <c r="E21" s="14">
        <f>IF(D21="","",D21*'参数与说明'!$B$6/25.4012)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3440</v>
      </c>
      <c r="B22" s="17" t="n">
        <v>1909</v>
      </c>
      <c r="C22" s="17" t="n">
        <v>6</v>
      </c>
      <c r="D22" s="18" t="n">
        <v>0.766</v>
      </c>
      <c r="E22" s="18">
        <f>IF(D22="","",D22*'参数与说明'!$B$6/25.4012)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3470</v>
      </c>
      <c r="B23" s="13" t="n">
        <v>1909</v>
      </c>
      <c r="C23" s="13" t="n">
        <v>7</v>
      </c>
      <c r="D23" s="14" t="n">
        <v>0.761</v>
      </c>
      <c r="E23" s="14">
        <f>IF(D23="","",D23*'参数与说明'!$B$6/25.4012)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3501</v>
      </c>
      <c r="B24" s="17" t="n">
        <v>1909</v>
      </c>
      <c r="C24" s="17" t="n">
        <v>8</v>
      </c>
      <c r="D24" s="18" t="n">
        <v>0.731</v>
      </c>
      <c r="E24" s="18">
        <f>IF(D24="","",D24*'参数与说明'!$B$6/25.4012)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3532</v>
      </c>
      <c r="B25" s="13" t="n">
        <v>1909</v>
      </c>
      <c r="C25" s="13" t="n">
        <v>9</v>
      </c>
      <c r="D25" s="14" t="n">
        <v>0.6899999999999999</v>
      </c>
      <c r="E25" s="14">
        <f>IF(D25="","",D25*'参数与说明'!$B$6/25.4012)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3562</v>
      </c>
      <c r="B26" s="17" t="n">
        <v>1909</v>
      </c>
      <c r="C26" s="17" t="n">
        <v>10</v>
      </c>
      <c r="D26" s="18" t="n">
        <v>0.646</v>
      </c>
      <c r="E26" s="18">
        <f>IF(D26="","",D26*'参数与说明'!$B$6/25.4012)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3593</v>
      </c>
      <c r="B27" s="13" t="n">
        <v>1909</v>
      </c>
      <c r="C27" s="13" t="n">
        <v>11</v>
      </c>
      <c r="D27" s="14" t="n">
        <v>0.6</v>
      </c>
      <c r="E27" s="14">
        <f>IF(D27="","",D27*'参数与说明'!$B$6/25.4012)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3623</v>
      </c>
      <c r="B28" s="17" t="n">
        <v>1909</v>
      </c>
      <c r="C28" s="17" t="n">
        <v>12</v>
      </c>
      <c r="D28" s="18" t="n">
        <v>0.601</v>
      </c>
      <c r="E28" s="18">
        <f>IF(D28="","",D28*'参数与说明'!$B$6/25.4012)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3654</v>
      </c>
      <c r="B29" s="13" t="n">
        <v>1910</v>
      </c>
      <c r="C29" s="13" t="n">
        <v>1</v>
      </c>
      <c r="D29" s="14" t="n">
        <v>0.638</v>
      </c>
      <c r="E29" s="14">
        <f>IF(D29="","",D29*'参数与说明'!$B$6/25.4012)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3685</v>
      </c>
      <c r="B30" s="17" t="n">
        <v>1910</v>
      </c>
      <c r="C30" s="17" t="n">
        <v>2</v>
      </c>
      <c r="D30" s="18" t="n">
        <v>0.656</v>
      </c>
      <c r="E30" s="18">
        <f>IF(D30="","",D30*'参数与说明'!$B$6/25.4012)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3713</v>
      </c>
      <c r="B31" s="13" t="n">
        <v>1910</v>
      </c>
      <c r="C31" s="13" t="n">
        <v>3</v>
      </c>
      <c r="D31" s="14" t="n">
        <v>0.657</v>
      </c>
      <c r="E31" s="14">
        <f>IF(D31="","",D31*'参数与说明'!$B$6/25.4012)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3744</v>
      </c>
      <c r="B32" s="17" t="n">
        <v>1910</v>
      </c>
      <c r="C32" s="17" t="n">
        <v>4</v>
      </c>
      <c r="D32" s="18" t="n">
        <v>0.645</v>
      </c>
      <c r="E32" s="18">
        <f>IF(D32="","",D32*'参数与说明'!$B$6/25.4012)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3774</v>
      </c>
      <c r="B33" s="13" t="n">
        <v>1910</v>
      </c>
      <c r="C33" s="13" t="n">
        <v>5</v>
      </c>
      <c r="D33" s="14" t="n">
        <v>0.644</v>
      </c>
      <c r="E33" s="14">
        <f>IF(D33="","",D33*'参数与说明'!$B$6/25.4012)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3805</v>
      </c>
      <c r="B34" s="17" t="n">
        <v>1910</v>
      </c>
      <c r="C34" s="17" t="n">
        <v>6</v>
      </c>
      <c r="D34" s="18" t="n">
        <v>0.657</v>
      </c>
      <c r="E34" s="18">
        <f>IF(D34="","",D34*'参数与说明'!$B$6/25.4012)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3835</v>
      </c>
      <c r="B35" s="13" t="n">
        <v>1910</v>
      </c>
      <c r="C35" s="13" t="n">
        <v>7</v>
      </c>
      <c r="D35" s="14" t="n">
        <v>0.667</v>
      </c>
      <c r="E35" s="14">
        <f>IF(D35="","",D35*'参数与说明'!$B$6/25.4012)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3866</v>
      </c>
      <c r="B36" s="17" t="n">
        <v>1910</v>
      </c>
      <c r="C36" s="17" t="n">
        <v>8</v>
      </c>
      <c r="D36" s="18" t="n">
        <v>0.668</v>
      </c>
      <c r="E36" s="18">
        <f>IF(D36="","",D36*'参数与说明'!$B$6/25.4012)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3897</v>
      </c>
      <c r="B37" s="13" t="n">
        <v>1910</v>
      </c>
      <c r="C37" s="13" t="n">
        <v>9</v>
      </c>
      <c r="D37" s="14" t="n">
        <v>0.637</v>
      </c>
      <c r="E37" s="14">
        <f>IF(D37="","",D37*'参数与说明'!$B$6/25.4012)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3927</v>
      </c>
      <c r="B38" s="17" t="n">
        <v>1910</v>
      </c>
      <c r="C38" s="17" t="n">
        <v>10</v>
      </c>
      <c r="D38" s="18" t="n">
        <v>0.5679999999999999</v>
      </c>
      <c r="E38" s="18">
        <f>IF(D38="","",D38*'参数与说明'!$B$6/25.4012)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3958</v>
      </c>
      <c r="B39" s="13" t="n">
        <v>1910</v>
      </c>
      <c r="C39" s="13" t="n">
        <v>11</v>
      </c>
      <c r="D39" s="14" t="n">
        <v>0.503</v>
      </c>
      <c r="E39" s="14">
        <f>IF(D39="","",D39*'参数与说明'!$B$6/25.4012)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3988</v>
      </c>
      <c r="B40" s="17" t="n">
        <v>1910</v>
      </c>
      <c r="C40" s="17" t="n">
        <v>12</v>
      </c>
      <c r="D40" s="18" t="n">
        <v>0.481</v>
      </c>
      <c r="E40" s="18">
        <f>IF(D40="","",D40*'参数与说明'!$B$6/25.4012)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4019</v>
      </c>
      <c r="B41" s="13" t="n">
        <v>1911</v>
      </c>
      <c r="C41" s="13" t="n">
        <v>1</v>
      </c>
      <c r="D41" s="14" t="n">
        <v>0.486</v>
      </c>
      <c r="E41" s="14">
        <f>IF(D41="","",D41*'参数与说明'!$B$6/25.4012)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4050</v>
      </c>
      <c r="B42" s="17" t="n">
        <v>1911</v>
      </c>
      <c r="C42" s="17" t="n">
        <v>2</v>
      </c>
      <c r="D42" s="18" t="n">
        <v>0.49</v>
      </c>
      <c r="E42" s="18">
        <f>IF(D42="","",D42*'参数与说明'!$B$6/25.4012)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4078</v>
      </c>
      <c r="B43" s="13" t="n">
        <v>1911</v>
      </c>
      <c r="C43" s="13" t="n">
        <v>3</v>
      </c>
      <c r="D43" s="14" t="n">
        <v>0.493</v>
      </c>
      <c r="E43" s="14">
        <f>IF(D43="","",D43*'参数与说明'!$B$6/25.4012)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4109</v>
      </c>
      <c r="B44" s="17" t="n">
        <v>1911</v>
      </c>
      <c r="C44" s="17" t="n">
        <v>4</v>
      </c>
      <c r="D44" s="18" t="n">
        <v>0.508</v>
      </c>
      <c r="E44" s="18">
        <f>IF(D44="","",D44*'参数与说明'!$B$6/25.4012)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4139</v>
      </c>
      <c r="B45" s="13" t="n">
        <v>1911</v>
      </c>
      <c r="C45" s="13" t="n">
        <v>5</v>
      </c>
      <c r="D45" s="14" t="n">
        <v>0.534</v>
      </c>
      <c r="E45" s="14">
        <f>IF(D45="","",D45*'参数与说明'!$B$6/25.4012)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4170</v>
      </c>
      <c r="B46" s="17" t="n">
        <v>1911</v>
      </c>
      <c r="C46" s="17" t="n">
        <v>6</v>
      </c>
      <c r="D46" s="18" t="n">
        <v>0.576</v>
      </c>
      <c r="E46" s="18">
        <f>IF(D46="","",D46*'参数与说明'!$B$6/25.4012)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4200</v>
      </c>
      <c r="B47" s="13" t="n">
        <v>1911</v>
      </c>
      <c r="C47" s="13" t="n">
        <v>7</v>
      </c>
      <c r="D47" s="14" t="n">
        <v>0.629</v>
      </c>
      <c r="E47" s="14">
        <f>IF(D47="","",D47*'参数与说明'!$B$6/25.4012)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4231</v>
      </c>
      <c r="B48" s="17" t="n">
        <v>1911</v>
      </c>
      <c r="C48" s="17" t="n">
        <v>8</v>
      </c>
      <c r="D48" s="18" t="n">
        <v>0.658</v>
      </c>
      <c r="E48" s="18">
        <f>IF(D48="","",D48*'参数与说明'!$B$6/25.4012)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4262</v>
      </c>
      <c r="B49" s="13" t="n">
        <v>1911</v>
      </c>
      <c r="C49" s="13" t="n">
        <v>9</v>
      </c>
      <c r="D49" s="14" t="n">
        <v>0.658</v>
      </c>
      <c r="E49" s="14">
        <f>IF(D49="","",D49*'参数与说明'!$B$6/25.4012)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4292</v>
      </c>
      <c r="B50" s="17" t="n">
        <v>1911</v>
      </c>
      <c r="C50" s="17" t="n">
        <v>10</v>
      </c>
      <c r="D50" s="18" t="n">
        <v>0.652</v>
      </c>
      <c r="E50" s="18">
        <f>IF(D50="","",D50*'参数与说明'!$B$6/25.4012)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4323</v>
      </c>
      <c r="B51" s="13" t="n">
        <v>1911</v>
      </c>
      <c r="C51" s="13" t="n">
        <v>11</v>
      </c>
      <c r="D51" s="14" t="n">
        <v>0.632</v>
      </c>
      <c r="E51" s="14">
        <f>IF(D51="","",D51*'参数与说明'!$B$6/25.4012)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4353</v>
      </c>
      <c r="B52" s="17" t="n">
        <v>1911</v>
      </c>
      <c r="C52" s="17" t="n">
        <v>12</v>
      </c>
      <c r="D52" s="18" t="n">
        <v>0.62</v>
      </c>
      <c r="E52" s="18">
        <f>IF(D52="","",D52*'参数与说明'!$B$6/25.4012)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4384</v>
      </c>
      <c r="B53" s="13" t="n">
        <v>1912</v>
      </c>
      <c r="C53" s="13" t="n">
        <v>1</v>
      </c>
      <c r="D53" s="14" t="n">
        <v>0.634</v>
      </c>
      <c r="E53" s="14">
        <f>IF(D53="","",D53*'参数与说明'!$B$6/25.4012)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4415</v>
      </c>
      <c r="B54" s="17" t="n">
        <v>1912</v>
      </c>
      <c r="C54" s="17" t="n">
        <v>2</v>
      </c>
      <c r="D54" s="18" t="n">
        <v>0.656</v>
      </c>
      <c r="E54" s="18">
        <f>IF(D54="","",D54*'参数与说明'!$B$6/25.4012)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4444</v>
      </c>
      <c r="B55" s="13" t="n">
        <v>1912</v>
      </c>
      <c r="C55" s="13" t="n">
        <v>3</v>
      </c>
      <c r="D55" s="14" t="n">
        <v>0.6879999999999999</v>
      </c>
      <c r="E55" s="14">
        <f>IF(D55="","",D55*'参数与说明'!$B$6/25.4012)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4475</v>
      </c>
      <c r="B56" s="17" t="n">
        <v>1912</v>
      </c>
      <c r="C56" s="17" t="n">
        <v>4</v>
      </c>
      <c r="D56" s="18" t="n">
        <v>0.752</v>
      </c>
      <c r="E56" s="18">
        <f>IF(D56="","",D56*'参数与说明'!$B$6/25.4012)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4505</v>
      </c>
      <c r="B57" s="13" t="n">
        <v>1912</v>
      </c>
      <c r="C57" s="13" t="n">
        <v>5</v>
      </c>
      <c r="D57" s="14" t="n">
        <v>0.8100000000000001</v>
      </c>
      <c r="E57" s="14">
        <f>IF(D57="","",D57*'参数与说明'!$B$6/25.4012)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4536</v>
      </c>
      <c r="B58" s="17" t="n">
        <v>1912</v>
      </c>
      <c r="C58" s="17" t="n">
        <v>6</v>
      </c>
      <c r="D58" s="18" t="n">
        <v>0.8179999999999999</v>
      </c>
      <c r="E58" s="18">
        <f>IF(D58="","",D58*'参数与说明'!$B$6/25.4012)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4566</v>
      </c>
      <c r="B59" s="13" t="n">
        <v>1912</v>
      </c>
      <c r="C59" s="13" t="n">
        <v>7</v>
      </c>
      <c r="D59" s="14" t="n">
        <v>0.802</v>
      </c>
      <c r="E59" s="14">
        <f>IF(D59="","",D59*'参数与说明'!$B$6/25.4012)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4597</v>
      </c>
      <c r="B60" s="17" t="n">
        <v>1912</v>
      </c>
      <c r="C60" s="17" t="n">
        <v>8</v>
      </c>
      <c r="D60" s="18" t="n">
        <v>0.784</v>
      </c>
      <c r="E60" s="18">
        <f>IF(D60="","",D60*'参数与说明'!$B$6/25.4012)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4628</v>
      </c>
      <c r="B61" s="13" t="n">
        <v>1912</v>
      </c>
      <c r="C61" s="13" t="n">
        <v>9</v>
      </c>
      <c r="D61" s="14" t="n">
        <v>0.739</v>
      </c>
      <c r="E61" s="14">
        <f>IF(D61="","",D61*'参数与说明'!$B$6/25.4012)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4658</v>
      </c>
      <c r="B62" s="17" t="n">
        <v>1912</v>
      </c>
      <c r="C62" s="17" t="n">
        <v>10</v>
      </c>
      <c r="D62" s="18" t="n">
        <v>0.643</v>
      </c>
      <c r="E62" s="18">
        <f>IF(D62="","",D62*'参数与说明'!$B$6/25.4012)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4689</v>
      </c>
      <c r="B63" s="13" t="n">
        <v>1912</v>
      </c>
      <c r="C63" s="13" t="n">
        <v>11</v>
      </c>
      <c r="D63" s="14" t="n">
        <v>0.536</v>
      </c>
      <c r="E63" s="14">
        <f>IF(D63="","",D63*'参数与说明'!$B$6/25.4012)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4719</v>
      </c>
      <c r="B64" s="17" t="n">
        <v>1912</v>
      </c>
      <c r="C64" s="17" t="n">
        <v>12</v>
      </c>
      <c r="D64" s="18" t="n">
        <v>0.488</v>
      </c>
      <c r="E64" s="18">
        <f>IF(D64="","",D64*'参数与说明'!$B$6/25.4012)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4750</v>
      </c>
      <c r="B65" s="13" t="n">
        <v>1913</v>
      </c>
      <c r="C65" s="13" t="n">
        <v>1</v>
      </c>
      <c r="D65" s="14" t="n">
        <v>0.498</v>
      </c>
      <c r="E65" s="14">
        <f>IF(D65="","",D65*'参数与说明'!$B$6/25.4012)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4781</v>
      </c>
      <c r="B66" s="17" t="n">
        <v>1913</v>
      </c>
      <c r="C66" s="17" t="n">
        <v>2</v>
      </c>
      <c r="D66" s="18" t="n">
        <v>0.514</v>
      </c>
      <c r="E66" s="18">
        <f>IF(D66="","",D66*'参数与说明'!$B$6/25.4012)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4809</v>
      </c>
      <c r="B67" s="13" t="n">
        <v>1913</v>
      </c>
      <c r="C67" s="13" t="n">
        <v>3</v>
      </c>
      <c r="D67" s="14" t="n">
        <v>0.53</v>
      </c>
      <c r="E67" s="14">
        <f>IF(D67="","",D67*'参数与说明'!$B$6/25.4012)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4840</v>
      </c>
      <c r="B68" s="17" t="n">
        <v>1913</v>
      </c>
      <c r="C68" s="17" t="n">
        <v>4</v>
      </c>
      <c r="D68" s="18" t="n">
        <v>0.552</v>
      </c>
      <c r="E68" s="18">
        <f>IF(D68="","",D68*'参数与说明'!$B$6/25.4012)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4870</v>
      </c>
      <c r="B69" s="13" t="n">
        <v>1913</v>
      </c>
      <c r="C69" s="13" t="n">
        <v>5</v>
      </c>
      <c r="D69" s="14" t="n">
        <v>0.587</v>
      </c>
      <c r="E69" s="14">
        <f>IF(D69="","",D69*'参数与说明'!$B$6/25.4012)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4901</v>
      </c>
      <c r="B70" s="17" t="n">
        <v>1913</v>
      </c>
      <c r="C70" s="17" t="n">
        <v>6</v>
      </c>
      <c r="D70" s="18" t="n">
        <v>0.619</v>
      </c>
      <c r="E70" s="18">
        <f>IF(D70="","",D70*'参数与说明'!$B$6/25.4012)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4931</v>
      </c>
      <c r="B71" s="13" t="n">
        <v>1913</v>
      </c>
      <c r="C71" s="13" t="n">
        <v>7</v>
      </c>
      <c r="D71" s="14" t="n">
        <v>0.643</v>
      </c>
      <c r="E71" s="14">
        <f>IF(D71="","",D71*'参数与说明'!$B$6/25.4012)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4962</v>
      </c>
      <c r="B72" s="17" t="n">
        <v>1913</v>
      </c>
      <c r="C72" s="17" t="n">
        <v>8</v>
      </c>
      <c r="D72" s="18" t="n">
        <v>0.704</v>
      </c>
      <c r="E72" s="18">
        <f>IF(D72="","",D72*'参数与说明'!$B$6/25.4012)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4993</v>
      </c>
      <c r="B73" s="13" t="n">
        <v>1913</v>
      </c>
      <c r="C73" s="13" t="n">
        <v>9</v>
      </c>
      <c r="D73" s="14" t="n">
        <v>0.754</v>
      </c>
      <c r="E73" s="14">
        <f>IF(D73="","",D73*'参数与说明'!$B$6/25.4012)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5023</v>
      </c>
      <c r="B74" s="17" t="n">
        <v>1913</v>
      </c>
      <c r="C74" s="17" t="n">
        <v>10</v>
      </c>
      <c r="D74" s="18" t="n">
        <v>0.73</v>
      </c>
      <c r="E74" s="18">
        <f>IF(D74="","",D74*'参数与说明'!$B$6/25.4012)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5054</v>
      </c>
      <c r="B75" s="13" t="n">
        <v>1913</v>
      </c>
      <c r="C75" s="13" t="n">
        <v>11</v>
      </c>
      <c r="D75" s="14" t="n">
        <v>0.699</v>
      </c>
      <c r="E75" s="14">
        <f>IF(D75="","",D75*'参数与说明'!$B$6/25.4012)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5084</v>
      </c>
      <c r="B76" s="17" t="n">
        <v>1913</v>
      </c>
      <c r="C76" s="17" t="n">
        <v>12</v>
      </c>
      <c r="D76" s="18" t="n">
        <v>0.694</v>
      </c>
      <c r="E76" s="18">
        <f>IF(D76="","",D76*'参数与说明'!$B$6/25.4012)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5115</v>
      </c>
      <c r="B77" s="13" t="n">
        <v>1914</v>
      </c>
      <c r="C77" s="13" t="n">
        <v>1</v>
      </c>
      <c r="D77" s="14" t="n">
        <v>0.6899999999999999</v>
      </c>
      <c r="E77" s="14">
        <f>IF(D77="","",D77*'参数与说明'!$B$6/25.4012)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5146</v>
      </c>
      <c r="B78" s="17" t="n">
        <v>1914</v>
      </c>
      <c r="C78" s="17" t="n">
        <v>2</v>
      </c>
      <c r="D78" s="18" t="n">
        <v>0.6870000000000001</v>
      </c>
      <c r="E78" s="18">
        <f>IF(D78="","",D78*'参数与说明'!$B$6/25.4012)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5174</v>
      </c>
      <c r="B79" s="13" t="n">
        <v>1914</v>
      </c>
      <c r="C79" s="13" t="n">
        <v>3</v>
      </c>
      <c r="D79" s="14" t="n">
        <v>0.699</v>
      </c>
      <c r="E79" s="14">
        <f>IF(D79="","",D79*'参数与说明'!$B$6/25.4012)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5205</v>
      </c>
      <c r="B80" s="17" t="n">
        <v>1914</v>
      </c>
      <c r="C80" s="17" t="n">
        <v>4</v>
      </c>
      <c r="D80" s="18" t="n">
        <v>0.714</v>
      </c>
      <c r="E80" s="18">
        <f>IF(D80="","",D80*'参数与说明'!$B$6/25.4012)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5235</v>
      </c>
      <c r="B81" s="13" t="n">
        <v>1914</v>
      </c>
      <c r="C81" s="13" t="n">
        <v>5</v>
      </c>
      <c r="D81" s="14" t="n">
        <v>0.736</v>
      </c>
      <c r="E81" s="14">
        <f>IF(D81="","",D81*'参数与说明'!$B$6/25.4012)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5266</v>
      </c>
      <c r="B82" s="17" t="n">
        <v>1914</v>
      </c>
      <c r="C82" s="17" t="n">
        <v>6</v>
      </c>
      <c r="D82" s="18" t="n">
        <v>0.752</v>
      </c>
      <c r="E82" s="18">
        <f>IF(D82="","",D82*'参数与说明'!$B$6/25.4012)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5296</v>
      </c>
      <c r="B83" s="13" t="n">
        <v>1914</v>
      </c>
      <c r="C83" s="13" t="n">
        <v>7</v>
      </c>
      <c r="D83" s="14" t="n">
        <v>0.762</v>
      </c>
      <c r="E83" s="14">
        <f>IF(D83="","",D83*'参数与说明'!$B$6/25.4012)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5327</v>
      </c>
      <c r="B84" s="17" t="n">
        <v>1914</v>
      </c>
      <c r="C84" s="17" t="n">
        <v>8</v>
      </c>
      <c r="D84" s="18" t="n">
        <v>0.792</v>
      </c>
      <c r="E84" s="18">
        <f>IF(D84="","",D84*'参数与说明'!$B$6/25.4012)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5358</v>
      </c>
      <c r="B85" s="13" t="n">
        <v>1914</v>
      </c>
      <c r="C85" s="13" t="n">
        <v>9</v>
      </c>
      <c r="D85" s="14" t="n">
        <v>0.798</v>
      </c>
      <c r="E85" s="14">
        <f>IF(D85="","",D85*'参数与说明'!$B$6/25.4012)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5388</v>
      </c>
      <c r="B86" s="17" t="n">
        <v>1914</v>
      </c>
      <c r="C86" s="17" t="n">
        <v>10</v>
      </c>
      <c r="D86" s="18" t="n">
        <v>0.744</v>
      </c>
      <c r="E86" s="18">
        <f>IF(D86="","",D86*'参数与说明'!$B$6/25.4012)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5419</v>
      </c>
      <c r="B87" s="13" t="n">
        <v>1914</v>
      </c>
      <c r="C87" s="13" t="n">
        <v>11</v>
      </c>
      <c r="D87" s="14" t="n">
        <v>0.675</v>
      </c>
      <c r="E87" s="14">
        <f>IF(D87="","",D87*'参数与说明'!$B$6/25.4012)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5449</v>
      </c>
      <c r="B88" s="17" t="n">
        <v>1914</v>
      </c>
      <c r="C88" s="17" t="n">
        <v>12</v>
      </c>
      <c r="D88" s="18" t="n">
        <v>0.653</v>
      </c>
      <c r="E88" s="18">
        <f>IF(D88="","",D88*'参数与说明'!$B$6/25.4012)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5480</v>
      </c>
      <c r="B89" s="13" t="n">
        <v>1915</v>
      </c>
      <c r="C89" s="13" t="n">
        <v>1</v>
      </c>
      <c r="D89" s="14" t="n">
        <v>0.695</v>
      </c>
      <c r="E89" s="14">
        <f>IF(D89="","",D89*'参数与说明'!$B$6/25.4012)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5511</v>
      </c>
      <c r="B90" s="17" t="n">
        <v>1915</v>
      </c>
      <c r="C90" s="17" t="n">
        <v>2</v>
      </c>
      <c r="D90" s="18" t="n">
        <v>0.74</v>
      </c>
      <c r="E90" s="18">
        <f>IF(D90="","",D90*'参数与说明'!$B$6/25.4012)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5539</v>
      </c>
      <c r="B91" s="13" t="n">
        <v>1915</v>
      </c>
      <c r="C91" s="13" t="n">
        <v>3</v>
      </c>
      <c r="D91" s="14" t="n">
        <v>0.751</v>
      </c>
      <c r="E91" s="14">
        <f>IF(D91="","",D91*'参数与说明'!$B$6/25.4012)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5570</v>
      </c>
      <c r="B92" s="17" t="n">
        <v>1915</v>
      </c>
      <c r="C92" s="17" t="n">
        <v>4</v>
      </c>
      <c r="D92" s="18" t="n">
        <v>0.764</v>
      </c>
      <c r="E92" s="18">
        <f>IF(D92="","",D92*'参数与说明'!$B$6/25.4012)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5600</v>
      </c>
      <c r="B93" s="13" t="n">
        <v>1915</v>
      </c>
      <c r="C93" s="13" t="n">
        <v>5</v>
      </c>
      <c r="D93" s="14" t="n">
        <v>0.778</v>
      </c>
      <c r="E93" s="14">
        <f>IF(D93="","",D93*'参数与说明'!$B$6/25.4012)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5631</v>
      </c>
      <c r="B94" s="17" t="n">
        <v>1915</v>
      </c>
      <c r="C94" s="17" t="n">
        <v>6</v>
      </c>
      <c r="D94" s="18" t="n">
        <v>0.778</v>
      </c>
      <c r="E94" s="18">
        <f>IF(D94="","",D94*'参数与说明'!$B$6/25.4012)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5661</v>
      </c>
      <c r="B95" s="13" t="n">
        <v>1915</v>
      </c>
      <c r="C95" s="13" t="n">
        <v>7</v>
      </c>
      <c r="D95" s="14" t="n">
        <v>0.783</v>
      </c>
      <c r="E95" s="14">
        <f>IF(D95="","",D95*'参数与说明'!$B$6/25.4012)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5692</v>
      </c>
      <c r="B96" s="17" t="n">
        <v>1915</v>
      </c>
      <c r="C96" s="17" t="n">
        <v>8</v>
      </c>
      <c r="D96" s="18" t="n">
        <v>0.781</v>
      </c>
      <c r="E96" s="18">
        <f>IF(D96="","",D96*'参数与说明'!$B$6/25.4012)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5723</v>
      </c>
      <c r="B97" s="13" t="n">
        <v>1915</v>
      </c>
      <c r="C97" s="13" t="n">
        <v>9</v>
      </c>
      <c r="D97" s="14" t="n">
        <v>0.739</v>
      </c>
      <c r="E97" s="14">
        <f>IF(D97="","",D97*'参数与说明'!$B$6/25.4012)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5753</v>
      </c>
      <c r="B98" s="17" t="n">
        <v>1915</v>
      </c>
      <c r="C98" s="17" t="n">
        <v>10</v>
      </c>
      <c r="D98" s="18" t="n">
        <v>0.662</v>
      </c>
      <c r="E98" s="18">
        <f>IF(D98="","",D98*'参数与说明'!$B$6/25.4012)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5784</v>
      </c>
      <c r="B99" s="13" t="n">
        <v>1915</v>
      </c>
      <c r="C99" s="13" t="n">
        <v>11</v>
      </c>
      <c r="D99" s="14" t="n">
        <v>0.597</v>
      </c>
      <c r="E99" s="14">
        <f>IF(D99="","",D99*'参数与说明'!$B$6/25.4012)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5814</v>
      </c>
      <c r="B100" s="17" t="n">
        <v>1915</v>
      </c>
      <c r="C100" s="17" t="n">
        <v>12</v>
      </c>
      <c r="D100" s="18" t="n">
        <v>0.598</v>
      </c>
      <c r="E100" s="18">
        <f>IF(D100="","",D100*'参数与说明'!$B$6/25.4012)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5845</v>
      </c>
      <c r="B101" s="13" t="n">
        <v>1916</v>
      </c>
      <c r="C101" s="13" t="n">
        <v>1</v>
      </c>
      <c r="D101" s="14" t="n">
        <v>0.644</v>
      </c>
      <c r="E101" s="14">
        <f>IF(D101="","",D101*'参数与说明'!$B$6/25.4012)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5876</v>
      </c>
      <c r="B102" s="17" t="n">
        <v>1916</v>
      </c>
      <c r="C102" s="17" t="n">
        <v>2</v>
      </c>
      <c r="D102" s="18" t="n">
        <v>0.674</v>
      </c>
      <c r="E102" s="18">
        <f>IF(D102="","",D102*'参数与说明'!$B$6/25.4012)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5905</v>
      </c>
      <c r="B103" s="13" t="n">
        <v>1916</v>
      </c>
      <c r="C103" s="13" t="n">
        <v>3</v>
      </c>
      <c r="D103" s="14" t="n">
        <v>0.6919999999999999</v>
      </c>
      <c r="E103" s="14">
        <f>IF(D103="","",D103*'参数与说明'!$B$6/25.4012)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5936</v>
      </c>
      <c r="B104" s="17" t="n">
        <v>1916</v>
      </c>
      <c r="C104" s="17" t="n">
        <v>4</v>
      </c>
      <c r="D104" s="18" t="n">
        <v>0.713</v>
      </c>
      <c r="E104" s="18">
        <f>IF(D104="","",D104*'参数与说明'!$B$6/25.4012)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5966</v>
      </c>
      <c r="B105" s="13" t="n">
        <v>1916</v>
      </c>
      <c r="C105" s="13" t="n">
        <v>5</v>
      </c>
      <c r="D105" s="14" t="n">
        <v>0.732</v>
      </c>
      <c r="E105" s="14">
        <f>IF(D105="","",D105*'参数与说明'!$B$6/25.4012)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5997</v>
      </c>
      <c r="B106" s="17" t="n">
        <v>1916</v>
      </c>
      <c r="C106" s="17" t="n">
        <v>6</v>
      </c>
      <c r="D106" s="18" t="n">
        <v>0.748</v>
      </c>
      <c r="E106" s="18">
        <f>IF(D106="","",D106*'参数与说明'!$B$6/25.4012)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6027</v>
      </c>
      <c r="B107" s="13" t="n">
        <v>1916</v>
      </c>
      <c r="C107" s="13" t="n">
        <v>7</v>
      </c>
      <c r="D107" s="14" t="n">
        <v>0.774</v>
      </c>
      <c r="E107" s="14">
        <f>IF(D107="","",D107*'参数与说明'!$B$6/25.4012)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6058</v>
      </c>
      <c r="B108" s="17" t="n">
        <v>1916</v>
      </c>
      <c r="C108" s="17" t="n">
        <v>8</v>
      </c>
      <c r="D108" s="18" t="n">
        <v>0.8149999999999999</v>
      </c>
      <c r="E108" s="18">
        <f>IF(D108="","",D108*'参数与说明'!$B$6/25.4012)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6089</v>
      </c>
      <c r="B109" s="13" t="n">
        <v>1916</v>
      </c>
      <c r="C109" s="13" t="n">
        <v>9</v>
      </c>
      <c r="D109" s="14" t="n">
        <v>0.83</v>
      </c>
      <c r="E109" s="14">
        <f>IF(D109="","",D109*'参数与说明'!$B$6/25.4012)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6119</v>
      </c>
      <c r="B110" s="17" t="n">
        <v>1916</v>
      </c>
      <c r="C110" s="17" t="n">
        <v>10</v>
      </c>
      <c r="D110" s="18" t="n">
        <v>0.836</v>
      </c>
      <c r="E110" s="18">
        <f>IF(D110="","",D110*'参数与说明'!$B$6/25.4012)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6150</v>
      </c>
      <c r="B111" s="13" t="n">
        <v>1916</v>
      </c>
      <c r="C111" s="13" t="n">
        <v>11</v>
      </c>
      <c r="D111" s="14" t="n">
        <v>0.87</v>
      </c>
      <c r="E111" s="14">
        <f>IF(D111="","",D111*'参数与说明'!$B$6/25.4012)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6180</v>
      </c>
      <c r="B112" s="17" t="n">
        <v>1916</v>
      </c>
      <c r="C112" s="17" t="n">
        <v>12</v>
      </c>
      <c r="D112" s="18" t="n">
        <v>0.894</v>
      </c>
      <c r="E112" s="18">
        <f>IF(D112="","",D112*'参数与说明'!$B$6/25.4012)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6211</v>
      </c>
      <c r="B113" s="13" t="n">
        <v>1917</v>
      </c>
      <c r="C113" s="13" t="n">
        <v>1</v>
      </c>
      <c r="D113" s="14" t="n">
        <v>0.929</v>
      </c>
      <c r="E113" s="14">
        <f>IF(D113="","",D113*'参数与说明'!$B$6/25.4012)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6242</v>
      </c>
      <c r="B114" s="17" t="n">
        <v>1917</v>
      </c>
      <c r="C114" s="17" t="n">
        <v>2</v>
      </c>
      <c r="D114" s="18" t="n">
        <v>0.984</v>
      </c>
      <c r="E114" s="18">
        <f>IF(D114="","",D114*'参数与说明'!$B$6/25.4012)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6270</v>
      </c>
      <c r="B115" s="13" t="n">
        <v>1917</v>
      </c>
      <c r="C115" s="13" t="n">
        <v>3</v>
      </c>
      <c r="D115" s="14" t="n">
        <v>1.07</v>
      </c>
      <c r="E115" s="14">
        <f>IF(D115="","",D115*'参数与说明'!$B$6/25.4012)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6301</v>
      </c>
      <c r="B116" s="17" t="n">
        <v>1917</v>
      </c>
      <c r="C116" s="17" t="n">
        <v>4</v>
      </c>
      <c r="D116" s="18" t="n">
        <v>1.32</v>
      </c>
      <c r="E116" s="18">
        <f>IF(D116="","",D116*'参数与说明'!$B$6/25.4012)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6331</v>
      </c>
      <c r="B117" s="13" t="n">
        <v>1917</v>
      </c>
      <c r="C117" s="13" t="n">
        <v>5</v>
      </c>
      <c r="D117" s="14" t="n">
        <v>1.55</v>
      </c>
      <c r="E117" s="14">
        <f>IF(D117="","",D117*'参数与说明'!$B$6/25.4012)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6362</v>
      </c>
      <c r="B118" s="17" t="n">
        <v>1917</v>
      </c>
      <c r="C118" s="17" t="n">
        <v>6</v>
      </c>
      <c r="D118" s="18" t="n">
        <v>1.62</v>
      </c>
      <c r="E118" s="18">
        <f>IF(D118="","",D118*'参数与说明'!$B$6/25.4012)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6392</v>
      </c>
      <c r="B119" s="13" t="n">
        <v>1917</v>
      </c>
      <c r="C119" s="13" t="n">
        <v>7</v>
      </c>
      <c r="D119" s="14" t="n">
        <v>1.81</v>
      </c>
      <c r="E119" s="14">
        <f>IF(D119="","",D119*'参数与说明'!$B$6/25.4012)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6423</v>
      </c>
      <c r="B120" s="17" t="n">
        <v>1917</v>
      </c>
      <c r="C120" s="17" t="n">
        <v>8</v>
      </c>
      <c r="D120" s="18" t="n">
        <v>1.86</v>
      </c>
      <c r="E120" s="18">
        <f>IF(D120="","",D120*'参数与说明'!$B$6/25.4012)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6454</v>
      </c>
      <c r="B121" s="13" t="n">
        <v>1917</v>
      </c>
      <c r="C121" s="13" t="n">
        <v>9</v>
      </c>
      <c r="D121" s="14" t="n">
        <v>1.75</v>
      </c>
      <c r="E121" s="14">
        <f>IF(D121="","",D121*'参数与说明'!$B$6/25.4012)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6484</v>
      </c>
      <c r="B122" s="17" t="n">
        <v>1917</v>
      </c>
      <c r="C122" s="17" t="n">
        <v>10</v>
      </c>
      <c r="D122" s="18" t="n">
        <v>1.61</v>
      </c>
      <c r="E122" s="18">
        <f>IF(D122="","",D122*'参数与说明'!$B$6/25.4012)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6515</v>
      </c>
      <c r="B123" s="13" t="n">
        <v>1917</v>
      </c>
      <c r="C123" s="13" t="n">
        <v>11</v>
      </c>
      <c r="D123" s="14" t="n">
        <v>1.37</v>
      </c>
      <c r="E123" s="14">
        <f>IF(D123="","",D123*'参数与说明'!$B$6/25.4012)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6545</v>
      </c>
      <c r="B124" s="17" t="n">
        <v>1917</v>
      </c>
      <c r="C124" s="17" t="n">
        <v>12</v>
      </c>
      <c r="D124" s="18" t="n">
        <v>1.31</v>
      </c>
      <c r="E124" s="18">
        <f>IF(D124="","",D124*'参数与说明'!$B$6/25.4012)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6576</v>
      </c>
      <c r="B125" s="13" t="n">
        <v>1918</v>
      </c>
      <c r="C125" s="13" t="n">
        <v>1</v>
      </c>
      <c r="D125" s="14" t="n">
        <v>1.37</v>
      </c>
      <c r="E125" s="14">
        <f>IF(D125="","",D125*'参数与说明'!$B$6/25.4012)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6607</v>
      </c>
      <c r="B126" s="17" t="n">
        <v>1918</v>
      </c>
      <c r="C126" s="17" t="n">
        <v>2</v>
      </c>
      <c r="D126" s="18" t="n">
        <v>1.47</v>
      </c>
      <c r="E126" s="18">
        <f>IF(D126="","",D126*'参数与说明'!$B$6/25.4012)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6635</v>
      </c>
      <c r="B127" s="13" t="n">
        <v>1918</v>
      </c>
      <c r="C127" s="13" t="n">
        <v>3</v>
      </c>
      <c r="D127" s="14" t="n">
        <v>1.54</v>
      </c>
      <c r="E127" s="14">
        <f>IF(D127="","",D127*'参数与说明'!$B$6/25.4012)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6666</v>
      </c>
      <c r="B128" s="17" t="n">
        <v>1918</v>
      </c>
      <c r="C128" s="17" t="n">
        <v>4</v>
      </c>
      <c r="D128" s="18" t="n">
        <v>1.55</v>
      </c>
      <c r="E128" s="18">
        <f>IF(D128="","",D128*'参数与说明'!$B$6/25.4012)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6696</v>
      </c>
      <c r="B129" s="13" t="n">
        <v>1918</v>
      </c>
      <c r="C129" s="13" t="n">
        <v>5</v>
      </c>
      <c r="D129" s="14" t="n">
        <v>1.54</v>
      </c>
      <c r="E129" s="14">
        <f>IF(D129="","",D129*'参数与说明'!$B$6/25.4012)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6727</v>
      </c>
      <c r="B130" s="17" t="n">
        <v>1918</v>
      </c>
      <c r="C130" s="17" t="n">
        <v>6</v>
      </c>
      <c r="D130" s="18" t="n">
        <v>1.53</v>
      </c>
      <c r="E130" s="18">
        <f>IF(D130="","",D130*'参数与说明'!$B$6/25.4012)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6757</v>
      </c>
      <c r="B131" s="13" t="n">
        <v>1918</v>
      </c>
      <c r="C131" s="13" t="n">
        <v>7</v>
      </c>
      <c r="D131" s="14" t="n">
        <v>1.57</v>
      </c>
      <c r="E131" s="14">
        <f>IF(D131="","",D131*'参数与说明'!$B$6/25.4012)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6788</v>
      </c>
      <c r="B132" s="17" t="n">
        <v>1918</v>
      </c>
      <c r="C132" s="17" t="n">
        <v>8</v>
      </c>
      <c r="D132" s="18" t="n">
        <v>1.63</v>
      </c>
      <c r="E132" s="18">
        <f>IF(D132="","",D132*'参数与说明'!$B$6/25.4012)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6819</v>
      </c>
      <c r="B133" s="13" t="n">
        <v>1918</v>
      </c>
      <c r="C133" s="13" t="n">
        <v>9</v>
      </c>
      <c r="D133" s="14" t="n">
        <v>1.63</v>
      </c>
      <c r="E133" s="14">
        <f>IF(D133="","",D133*'参数与说明'!$B$6/25.4012)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6849</v>
      </c>
      <c r="B134" s="17" t="n">
        <v>1918</v>
      </c>
      <c r="C134" s="17" t="n">
        <v>10</v>
      </c>
      <c r="D134" s="18" t="n">
        <v>1.5</v>
      </c>
      <c r="E134" s="18">
        <f>IF(D134="","",D134*'参数与说明'!$B$6/25.4012)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6880</v>
      </c>
      <c r="B135" s="13" t="n">
        <v>1918</v>
      </c>
      <c r="C135" s="13" t="n">
        <v>11</v>
      </c>
      <c r="D135" s="14" t="n">
        <v>1.38</v>
      </c>
      <c r="E135" s="14">
        <f>IF(D135="","",D135*'参数与说明'!$B$6/25.4012)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6910</v>
      </c>
      <c r="B136" s="17" t="n">
        <v>1918</v>
      </c>
      <c r="C136" s="17" t="n">
        <v>12</v>
      </c>
      <c r="D136" s="18" t="n">
        <v>1.41</v>
      </c>
      <c r="E136" s="18">
        <f>IF(D136="","",D136*'参数与说明'!$B$6/25.4012)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6941</v>
      </c>
      <c r="B137" s="13" t="n">
        <v>1919</v>
      </c>
      <c r="C137" s="13" t="n">
        <v>1</v>
      </c>
      <c r="D137" s="14" t="n">
        <v>1.41</v>
      </c>
      <c r="E137" s="14">
        <f>IF(D137="","",D137*'参数与说明'!$B$6/25.4012)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6972</v>
      </c>
      <c r="B138" s="17" t="n">
        <v>1919</v>
      </c>
      <c r="C138" s="17" t="n">
        <v>2</v>
      </c>
      <c r="D138" s="18" t="n">
        <v>1.38</v>
      </c>
      <c r="E138" s="18">
        <f>IF(D138="","",D138*'参数与说明'!$B$6/25.4012)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7000</v>
      </c>
      <c r="B139" s="13" t="n">
        <v>1919</v>
      </c>
      <c r="C139" s="13" t="n">
        <v>3</v>
      </c>
      <c r="D139" s="14" t="n">
        <v>1.43</v>
      </c>
      <c r="E139" s="14">
        <f>IF(D139="","",D139*'参数与说明'!$B$6/25.4012)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7031</v>
      </c>
      <c r="B140" s="17" t="n">
        <v>1919</v>
      </c>
      <c r="C140" s="17" t="n">
        <v>4</v>
      </c>
      <c r="D140" s="18" t="n">
        <v>1.56</v>
      </c>
      <c r="E140" s="18">
        <f>IF(D140="","",D140*'参数与说明'!$B$6/25.4012)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7061</v>
      </c>
      <c r="B141" s="13" t="n">
        <v>1919</v>
      </c>
      <c r="C141" s="13" t="n">
        <v>5</v>
      </c>
      <c r="D141" s="14" t="n">
        <v>1.67</v>
      </c>
      <c r="E141" s="14">
        <f>IF(D141="","",D141*'参数与说明'!$B$6/25.4012)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7092</v>
      </c>
      <c r="B142" s="17" t="n">
        <v>1919</v>
      </c>
      <c r="C142" s="17" t="n">
        <v>6</v>
      </c>
      <c r="D142" s="18" t="n">
        <v>1.74</v>
      </c>
      <c r="E142" s="18">
        <f>IF(D142="","",D142*'参数与说明'!$B$6/25.4012)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7122</v>
      </c>
      <c r="B143" s="13" t="n">
        <v>1919</v>
      </c>
      <c r="C143" s="13" t="n">
        <v>7</v>
      </c>
      <c r="D143" s="14" t="n">
        <v>1.84</v>
      </c>
      <c r="E143" s="14">
        <f>IF(D143="","",D143*'参数与说明'!$B$6/25.4012)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7153</v>
      </c>
      <c r="B144" s="17" t="n">
        <v>1919</v>
      </c>
      <c r="C144" s="17" t="n">
        <v>8</v>
      </c>
      <c r="D144" s="18" t="n">
        <v>1.88</v>
      </c>
      <c r="E144" s="18">
        <f>IF(D144="","",D144*'参数与说明'!$B$6/25.4012)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7184</v>
      </c>
      <c r="B145" s="13" t="n">
        <v>1919</v>
      </c>
      <c r="C145" s="13" t="n">
        <v>9</v>
      </c>
      <c r="D145" s="14" t="n">
        <v>1.7</v>
      </c>
      <c r="E145" s="14">
        <f>IF(D145="","",D145*'参数与说明'!$B$6/25.4012)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7214</v>
      </c>
      <c r="B146" s="17" t="n">
        <v>1919</v>
      </c>
      <c r="C146" s="17" t="n">
        <v>10</v>
      </c>
      <c r="D146" s="18" t="n">
        <v>1.44</v>
      </c>
      <c r="E146" s="18">
        <f>IF(D146="","",D146*'参数与说明'!$B$6/25.4012)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7245</v>
      </c>
      <c r="B147" s="13" t="n">
        <v>1919</v>
      </c>
      <c r="C147" s="13" t="n">
        <v>11</v>
      </c>
      <c r="D147" s="14" t="n">
        <v>1.34</v>
      </c>
      <c r="E147" s="14">
        <f>IF(D147="","",D147*'参数与说明'!$B$6/25.4012)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7275</v>
      </c>
      <c r="B148" s="17" t="n">
        <v>1919</v>
      </c>
      <c r="C148" s="17" t="n">
        <v>12</v>
      </c>
      <c r="D148" s="18" t="n">
        <v>1.37</v>
      </c>
      <c r="E148" s="18">
        <f>IF(D148="","",D148*'参数与说明'!$B$6/25.4012)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7306</v>
      </c>
      <c r="B149" s="13" t="n">
        <v>1920</v>
      </c>
      <c r="C149" s="13" t="n">
        <v>1</v>
      </c>
      <c r="D149" s="14" t="n">
        <v>1.44</v>
      </c>
      <c r="E149" s="14">
        <f>IF(D149="","",D149*'参数与说明'!$B$6/25.4012)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7337</v>
      </c>
      <c r="B150" s="17" t="n">
        <v>1920</v>
      </c>
      <c r="C150" s="17" t="n">
        <v>2</v>
      </c>
      <c r="D150" s="18" t="n">
        <v>1.48</v>
      </c>
      <c r="E150" s="18">
        <f>IF(D150="","",D150*'参数与说明'!$B$6/25.4012)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7366</v>
      </c>
      <c r="B151" s="13" t="n">
        <v>1920</v>
      </c>
      <c r="C151" s="13" t="n">
        <v>3</v>
      </c>
      <c r="D151" s="14" t="n">
        <v>1.54</v>
      </c>
      <c r="E151" s="14">
        <f>IF(D151="","",D151*'参数与说明'!$B$6/25.4012)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7397</v>
      </c>
      <c r="B152" s="17" t="n">
        <v>1920</v>
      </c>
      <c r="C152" s="17" t="n">
        <v>4</v>
      </c>
      <c r="D152" s="18" t="n">
        <v>1.64</v>
      </c>
      <c r="E152" s="18">
        <f>IF(D152="","",D152*'参数与说明'!$B$6/25.4012)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7427</v>
      </c>
      <c r="B153" s="13" t="n">
        <v>1920</v>
      </c>
      <c r="C153" s="13" t="n">
        <v>5</v>
      </c>
      <c r="D153" s="14" t="n">
        <v>1.77</v>
      </c>
      <c r="E153" s="14">
        <f>IF(D153="","",D153*'参数与说明'!$B$6/25.4012)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7458</v>
      </c>
      <c r="B154" s="17" t="n">
        <v>1920</v>
      </c>
      <c r="C154" s="17" t="n">
        <v>6</v>
      </c>
      <c r="D154" s="18" t="n">
        <v>1.85</v>
      </c>
      <c r="E154" s="18">
        <f>IF(D154="","",D154*'参数与说明'!$B$6/25.4012)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7488</v>
      </c>
      <c r="B155" s="13" t="n">
        <v>1920</v>
      </c>
      <c r="C155" s="13" t="n">
        <v>7</v>
      </c>
      <c r="D155" s="14" t="n">
        <v>1.75</v>
      </c>
      <c r="E155" s="14">
        <f>IF(D155="","",D155*'参数与说明'!$B$6/25.4012)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7519</v>
      </c>
      <c r="B156" s="17" t="n">
        <v>1920</v>
      </c>
      <c r="C156" s="17" t="n">
        <v>8</v>
      </c>
      <c r="D156" s="18" t="n">
        <v>1.6</v>
      </c>
      <c r="E156" s="18">
        <f>IF(D156="","",D156*'参数与说明'!$B$6/25.4012)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7550</v>
      </c>
      <c r="B157" s="13" t="n">
        <v>1920</v>
      </c>
      <c r="C157" s="13" t="n">
        <v>9</v>
      </c>
      <c r="D157" s="14" t="n">
        <v>1.38</v>
      </c>
      <c r="E157" s="14">
        <f>IF(D157="","",D157*'参数与说明'!$B$6/25.4012)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7580</v>
      </c>
      <c r="B158" s="17" t="n">
        <v>1920</v>
      </c>
      <c r="C158" s="17" t="n">
        <v>10</v>
      </c>
      <c r="D158" s="18" t="n">
        <v>1.04</v>
      </c>
      <c r="E158" s="18">
        <f>IF(D158="","",D158*'参数与说明'!$B$6/25.4012)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7611</v>
      </c>
      <c r="B159" s="13" t="n">
        <v>1920</v>
      </c>
      <c r="C159" s="13" t="n">
        <v>11</v>
      </c>
      <c r="D159" s="14" t="n">
        <v>0.772</v>
      </c>
      <c r="E159" s="14">
        <f>IF(D159="","",D159*'参数与说明'!$B$6/25.4012)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7641</v>
      </c>
      <c r="B160" s="17" t="n">
        <v>1920</v>
      </c>
      <c r="C160" s="17" t="n">
        <v>12</v>
      </c>
      <c r="D160" s="18" t="n">
        <v>0.668</v>
      </c>
      <c r="E160" s="18">
        <f>IF(D160="","",D160*'参数与说明'!$B$6/25.4012)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7672</v>
      </c>
      <c r="B161" s="13" t="n">
        <v>1921</v>
      </c>
      <c r="C161" s="13" t="n">
        <v>1</v>
      </c>
      <c r="D161" s="14" t="n">
        <v>0.646</v>
      </c>
      <c r="E161" s="14">
        <f>IF(D161="","",D161*'参数与说明'!$B$6/25.4012)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7703</v>
      </c>
      <c r="B162" s="17" t="n">
        <v>1921</v>
      </c>
      <c r="C162" s="17" t="n">
        <v>2</v>
      </c>
      <c r="D162" s="18" t="n">
        <v>0.634</v>
      </c>
      <c r="E162" s="18">
        <f>IF(D162="","",D162*'参数与说明'!$B$6/25.4012)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7731</v>
      </c>
      <c r="B163" s="13" t="n">
        <v>1921</v>
      </c>
      <c r="C163" s="13" t="n">
        <v>3</v>
      </c>
      <c r="D163" s="14" t="n">
        <v>0.638</v>
      </c>
      <c r="E163" s="14">
        <f>IF(D163="","",D163*'参数与说明'!$B$6/25.4012)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7762</v>
      </c>
      <c r="B164" s="17" t="n">
        <v>1921</v>
      </c>
      <c r="C164" s="17" t="n">
        <v>4</v>
      </c>
      <c r="D164" s="18" t="n">
        <v>0.612</v>
      </c>
      <c r="E164" s="18">
        <f>IF(D164="","",D164*'参数与说明'!$B$6/25.4012)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7792</v>
      </c>
      <c r="B165" s="13" t="n">
        <v>1921</v>
      </c>
      <c r="C165" s="13" t="n">
        <v>5</v>
      </c>
      <c r="D165" s="14" t="n">
        <v>0.61</v>
      </c>
      <c r="E165" s="14">
        <f>IF(D165="","",D165*'参数与说明'!$B$6/25.4012)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7823</v>
      </c>
      <c r="B166" s="17" t="n">
        <v>1921</v>
      </c>
      <c r="C166" s="17" t="n">
        <v>6</v>
      </c>
      <c r="D166" s="18" t="n">
        <v>0.624</v>
      </c>
      <c r="E166" s="18">
        <f>IF(D166="","",D166*'参数与说明'!$B$6/25.4012)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7853</v>
      </c>
      <c r="B167" s="13" t="n">
        <v>1921</v>
      </c>
      <c r="C167" s="13" t="n">
        <v>7</v>
      </c>
      <c r="D167" s="14" t="n">
        <v>0.62</v>
      </c>
      <c r="E167" s="14">
        <f>IF(D167="","",D167*'参数与说明'!$B$6/25.4012)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7884</v>
      </c>
      <c r="B168" s="17" t="n">
        <v>1921</v>
      </c>
      <c r="C168" s="17" t="n">
        <v>8</v>
      </c>
      <c r="D168" s="18" t="n">
        <v>0.59</v>
      </c>
      <c r="E168" s="18">
        <f>IF(D168="","",D168*'参数与说明'!$B$6/25.4012)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7915</v>
      </c>
      <c r="B169" s="13" t="n">
        <v>1921</v>
      </c>
      <c r="C169" s="13" t="n">
        <v>9</v>
      </c>
      <c r="D169" s="14" t="n">
        <v>0.536</v>
      </c>
      <c r="E169" s="14">
        <f>IF(D169="","",D169*'参数与说明'!$B$6/25.4012)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7945</v>
      </c>
      <c r="B170" s="17" t="n">
        <v>1921</v>
      </c>
      <c r="C170" s="17" t="n">
        <v>10</v>
      </c>
      <c r="D170" s="18" t="n">
        <v>0.46</v>
      </c>
      <c r="E170" s="18">
        <f>IF(D170="","",D170*'参数与说明'!$B$6/25.4012)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7976</v>
      </c>
      <c r="B171" s="13" t="n">
        <v>1921</v>
      </c>
      <c r="C171" s="13" t="n">
        <v>11</v>
      </c>
      <c r="D171" s="14" t="n">
        <v>0.417</v>
      </c>
      <c r="E171" s="14">
        <f>IF(D171="","",D171*'参数与说明'!$B$6/25.4012)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8006</v>
      </c>
      <c r="B172" s="17" t="n">
        <v>1921</v>
      </c>
      <c r="C172" s="17" t="n">
        <v>12</v>
      </c>
      <c r="D172" s="18" t="n">
        <v>0.428</v>
      </c>
      <c r="E172" s="18">
        <f>IF(D172="","",D172*'参数与说明'!$B$6/25.4012)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8037</v>
      </c>
      <c r="B173" s="13" t="n">
        <v>1922</v>
      </c>
      <c r="C173" s="13" t="n">
        <v>1</v>
      </c>
      <c r="D173" s="14" t="n">
        <v>0.446</v>
      </c>
      <c r="E173" s="14">
        <f>IF(D173="","",D173*'参数与说明'!$B$6/25.4012)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8068</v>
      </c>
      <c r="B174" s="17" t="n">
        <v>1922</v>
      </c>
      <c r="C174" s="17" t="n">
        <v>2</v>
      </c>
      <c r="D174" s="18" t="n">
        <v>0.503</v>
      </c>
      <c r="E174" s="18">
        <f>IF(D174="","",D174*'参数与说明'!$B$6/25.4012)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8096</v>
      </c>
      <c r="B175" s="13" t="n">
        <v>1922</v>
      </c>
      <c r="C175" s="13" t="n">
        <v>3</v>
      </c>
      <c r="D175" s="14" t="n">
        <v>0.5580000000000001</v>
      </c>
      <c r="E175" s="14">
        <f>IF(D175="","",D175*'参数与说明'!$B$6/25.4012)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8127</v>
      </c>
      <c r="B176" s="17" t="n">
        <v>1922</v>
      </c>
      <c r="C176" s="17" t="n">
        <v>4</v>
      </c>
      <c r="D176" s="18" t="n">
        <v>0.583</v>
      </c>
      <c r="E176" s="18">
        <f>IF(D176="","",D176*'参数与说明'!$B$6/25.4012)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8157</v>
      </c>
      <c r="B177" s="13" t="n">
        <v>1922</v>
      </c>
      <c r="C177" s="13" t="n">
        <v>5</v>
      </c>
      <c r="D177" s="14" t="n">
        <v>0.606</v>
      </c>
      <c r="E177" s="14">
        <f>IF(D177="","",D177*'参数与说明'!$B$6/25.4012)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8188</v>
      </c>
      <c r="B178" s="17" t="n">
        <v>1922</v>
      </c>
      <c r="C178" s="17" t="n">
        <v>6</v>
      </c>
      <c r="D178" s="18" t="n">
        <v>0.619</v>
      </c>
      <c r="E178" s="18">
        <f>IF(D178="","",D178*'参数与说明'!$B$6/25.4012)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8218</v>
      </c>
      <c r="B179" s="13" t="n">
        <v>1922</v>
      </c>
      <c r="C179" s="13" t="n">
        <v>7</v>
      </c>
      <c r="D179" s="14" t="n">
        <v>0.633</v>
      </c>
      <c r="E179" s="14">
        <f>IF(D179="","",D179*'参数与说明'!$B$6/25.4012)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8249</v>
      </c>
      <c r="B180" s="17" t="n">
        <v>1922</v>
      </c>
      <c r="C180" s="17" t="n">
        <v>8</v>
      </c>
      <c r="D180" s="18" t="n">
        <v>0.636</v>
      </c>
      <c r="E180" s="18">
        <f>IF(D180="","",D180*'参数与说明'!$B$6/25.4012)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8280</v>
      </c>
      <c r="B181" s="13" t="n">
        <v>1922</v>
      </c>
      <c r="C181" s="13" t="n">
        <v>9</v>
      </c>
      <c r="D181" s="14" t="n">
        <v>0.622</v>
      </c>
      <c r="E181" s="14">
        <f>IF(D181="","",D181*'参数与说明'!$B$6/25.4012)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8310</v>
      </c>
      <c r="B182" s="17" t="n">
        <v>1922</v>
      </c>
      <c r="C182" s="17" t="n">
        <v>10</v>
      </c>
      <c r="D182" s="18" t="n">
        <v>0.622</v>
      </c>
      <c r="E182" s="18">
        <f>IF(D182="","",D182*'参数与说明'!$B$6/25.4012)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8341</v>
      </c>
      <c r="B183" s="13" t="n">
        <v>1922</v>
      </c>
      <c r="C183" s="13" t="n">
        <v>11</v>
      </c>
      <c r="D183" s="14" t="n">
        <v>0.644</v>
      </c>
      <c r="E183" s="14">
        <f>IF(D183="","",D183*'参数与说明'!$B$6/25.4012)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8371</v>
      </c>
      <c r="B184" s="17" t="n">
        <v>1922</v>
      </c>
      <c r="C184" s="17" t="n">
        <v>12</v>
      </c>
      <c r="D184" s="18" t="n">
        <v>0.676</v>
      </c>
      <c r="E184" s="18">
        <f>IF(D184="","",D184*'参数与说明'!$B$6/25.4012)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8402</v>
      </c>
      <c r="B185" s="13" t="n">
        <v>1923</v>
      </c>
      <c r="C185" s="13" t="n">
        <v>1</v>
      </c>
      <c r="D185" s="14" t="n">
        <v>0.702</v>
      </c>
      <c r="E185" s="14">
        <f>IF(D185="","",D185*'参数与说明'!$B$6/25.4012)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8433</v>
      </c>
      <c r="B186" s="17" t="n">
        <v>1923</v>
      </c>
      <c r="C186" s="17" t="n">
        <v>2</v>
      </c>
      <c r="D186" s="18" t="n">
        <v>0.725</v>
      </c>
      <c r="E186" s="18">
        <f>IF(D186="","",D186*'参数与说明'!$B$6/25.4012)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8461</v>
      </c>
      <c r="B187" s="13" t="n">
        <v>1923</v>
      </c>
      <c r="C187" s="13" t="n">
        <v>3</v>
      </c>
      <c r="D187" s="14" t="n">
        <v>0.753</v>
      </c>
      <c r="E187" s="14">
        <f>IF(D187="","",D187*'参数与说明'!$B$6/25.4012)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8492</v>
      </c>
      <c r="B188" s="17" t="n">
        <v>1923</v>
      </c>
      <c r="C188" s="17" t="n">
        <v>4</v>
      </c>
      <c r="D188" s="18" t="n">
        <v>0.796</v>
      </c>
      <c r="E188" s="18">
        <f>IF(D188="","",D188*'参数与说明'!$B$6/25.4012)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8522</v>
      </c>
      <c r="B189" s="13" t="n">
        <v>1923</v>
      </c>
      <c r="C189" s="13" t="n">
        <v>5</v>
      </c>
      <c r="D189" s="14" t="n">
        <v>0.84</v>
      </c>
      <c r="E189" s="14">
        <f>IF(D189="","",D189*'参数与说明'!$B$6/25.4012)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8553</v>
      </c>
      <c r="B190" s="17" t="n">
        <v>1923</v>
      </c>
      <c r="C190" s="17" t="n">
        <v>6</v>
      </c>
      <c r="D190" s="18" t="n">
        <v>0.858</v>
      </c>
      <c r="E190" s="18">
        <f>IF(D190="","",D190*'参数与说明'!$B$6/25.4012)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8583</v>
      </c>
      <c r="B191" s="13" t="n">
        <v>1923</v>
      </c>
      <c r="C191" s="13" t="n">
        <v>7</v>
      </c>
      <c r="D191" s="14" t="n">
        <v>0.87</v>
      </c>
      <c r="E191" s="14">
        <f>IF(D191="","",D191*'参数与说明'!$B$6/25.4012)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8614</v>
      </c>
      <c r="B192" s="17" t="n">
        <v>1923</v>
      </c>
      <c r="C192" s="17" t="n">
        <v>8</v>
      </c>
      <c r="D192" s="18" t="n">
        <v>0.87</v>
      </c>
      <c r="E192" s="18">
        <f>IF(D192="","",D192*'参数与说明'!$B$6/25.4012)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8645</v>
      </c>
      <c r="B193" s="13" t="n">
        <v>1923</v>
      </c>
      <c r="C193" s="13" t="n">
        <v>9</v>
      </c>
      <c r="D193" s="14" t="n">
        <v>0.862</v>
      </c>
      <c r="E193" s="14">
        <f>IF(D193="","",D193*'参数与说明'!$B$6/25.4012)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8675</v>
      </c>
      <c r="B194" s="17" t="n">
        <v>1923</v>
      </c>
      <c r="C194" s="17" t="n">
        <v>10</v>
      </c>
      <c r="D194" s="18" t="n">
        <v>0.848</v>
      </c>
      <c r="E194" s="18">
        <f>IF(D194="","",D194*'参数与说明'!$B$6/25.4012)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8706</v>
      </c>
      <c r="B195" s="13" t="n">
        <v>1923</v>
      </c>
      <c r="C195" s="13" t="n">
        <v>11</v>
      </c>
      <c r="D195" s="14" t="n">
        <v>0.783</v>
      </c>
      <c r="E195" s="14">
        <f>IF(D195="","",D195*'参数与说明'!$B$6/25.4012)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8736</v>
      </c>
      <c r="B196" s="17" t="n">
        <v>1923</v>
      </c>
      <c r="C196" s="17" t="n">
        <v>12</v>
      </c>
      <c r="D196" s="18" t="n">
        <v>0.722</v>
      </c>
      <c r="E196" s="18">
        <f>IF(D196="","",D196*'参数与说明'!$B$6/25.4012)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8767</v>
      </c>
      <c r="B197" s="13" t="n">
        <v>1924</v>
      </c>
      <c r="C197" s="13" t="n">
        <v>1</v>
      </c>
      <c r="D197" s="14" t="n">
        <v>0.736</v>
      </c>
      <c r="E197" s="14">
        <f>IF(D197="","",D197*'参数与说明'!$B$6/25.4012)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8798</v>
      </c>
      <c r="B198" s="17" t="n">
        <v>1924</v>
      </c>
      <c r="C198" s="17" t="n">
        <v>2</v>
      </c>
      <c r="D198" s="18" t="n">
        <v>0.765</v>
      </c>
      <c r="E198" s="18">
        <f>IF(D198="","",D198*'参数与说明'!$B$6/25.4012)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8827</v>
      </c>
      <c r="B199" s="13" t="n">
        <v>1924</v>
      </c>
      <c r="C199" s="13" t="n">
        <v>3</v>
      </c>
      <c r="D199" s="14" t="n">
        <v>0.772</v>
      </c>
      <c r="E199" s="14">
        <f>IF(D199="","",D199*'参数与说明'!$B$6/25.4012)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8858</v>
      </c>
      <c r="B200" s="17" t="n">
        <v>1924</v>
      </c>
      <c r="C200" s="17" t="n">
        <v>4</v>
      </c>
      <c r="D200" s="18" t="n">
        <v>0.782</v>
      </c>
      <c r="E200" s="18">
        <f>IF(D200="","",D200*'参数与说明'!$B$6/25.4012)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8888</v>
      </c>
      <c r="B201" s="13" t="n">
        <v>1924</v>
      </c>
      <c r="C201" s="13" t="n">
        <v>5</v>
      </c>
      <c r="D201" s="14" t="n">
        <v>0.786</v>
      </c>
      <c r="E201" s="14">
        <f>IF(D201="","",D201*'参数与说明'!$B$6/25.4012)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8919</v>
      </c>
      <c r="B202" s="17" t="n">
        <v>1924</v>
      </c>
      <c r="C202" s="17" t="n">
        <v>6</v>
      </c>
      <c r="D202" s="18" t="n">
        <v>0.8080000000000001</v>
      </c>
      <c r="E202" s="18">
        <f>IF(D202="","",D202*'参数与说明'!$B$6/25.4012)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8949</v>
      </c>
      <c r="B203" s="13" t="n">
        <v>1924</v>
      </c>
      <c r="C203" s="13" t="n">
        <v>7</v>
      </c>
      <c r="D203" s="14" t="n">
        <v>0.983</v>
      </c>
      <c r="E203" s="14">
        <f>IF(D203="","",D203*'参数与说明'!$B$6/25.4012)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8980</v>
      </c>
      <c r="B204" s="17" t="n">
        <v>1924</v>
      </c>
      <c r="C204" s="17" t="n">
        <v>8</v>
      </c>
      <c r="D204" s="18" t="n">
        <v>1.07</v>
      </c>
      <c r="E204" s="18">
        <f>IF(D204="","",D204*'参数与说明'!$B$6/25.4012)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9011</v>
      </c>
      <c r="B205" s="13" t="n">
        <v>1924</v>
      </c>
      <c r="C205" s="13" t="n">
        <v>9</v>
      </c>
      <c r="D205" s="14" t="n">
        <v>1.1</v>
      </c>
      <c r="E205" s="14">
        <f>IF(D205="","",D205*'参数与说明'!$B$6/25.4012)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9041</v>
      </c>
      <c r="B206" s="17" t="n">
        <v>1924</v>
      </c>
      <c r="C206" s="17" t="n">
        <v>10</v>
      </c>
      <c r="D206" s="18" t="n">
        <v>1.09</v>
      </c>
      <c r="E206" s="18">
        <f>IF(D206="","",D206*'参数与说明'!$B$6/25.4012)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9072</v>
      </c>
      <c r="B207" s="13" t="n">
        <v>1924</v>
      </c>
      <c r="C207" s="13" t="n">
        <v>11</v>
      </c>
      <c r="D207" s="14" t="n">
        <v>0.996</v>
      </c>
      <c r="E207" s="14">
        <f>IF(D207="","",D207*'参数与说明'!$B$6/25.4012)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9102</v>
      </c>
      <c r="B208" s="17" t="n">
        <v>1924</v>
      </c>
      <c r="C208" s="17" t="n">
        <v>12</v>
      </c>
      <c r="D208" s="18" t="n">
        <v>1.06</v>
      </c>
      <c r="E208" s="18">
        <f>IF(D208="","",D208*'参数与说明'!$B$6/25.4012)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9133</v>
      </c>
      <c r="B209" s="13" t="n">
        <v>1925</v>
      </c>
      <c r="C209" s="13" t="n">
        <v>1</v>
      </c>
      <c r="D209" s="14" t="n">
        <v>1.12</v>
      </c>
      <c r="E209" s="14">
        <f>IF(D209="","",D209*'参数与说明'!$B$6/25.4012)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9164</v>
      </c>
      <c r="B210" s="17" t="n">
        <v>1925</v>
      </c>
      <c r="C210" s="17" t="n">
        <v>2</v>
      </c>
      <c r="D210" s="18" t="n">
        <v>1.14</v>
      </c>
      <c r="E210" s="18">
        <f>IF(D210="","",D210*'参数与说明'!$B$6/25.4012)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9192</v>
      </c>
      <c r="B211" s="13" t="n">
        <v>1925</v>
      </c>
      <c r="C211" s="13" t="n">
        <v>3</v>
      </c>
      <c r="D211" s="14" t="n">
        <v>1.12</v>
      </c>
      <c r="E211" s="14">
        <f>IF(D211="","",D211*'参数与说明'!$B$6/25.4012)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9223</v>
      </c>
      <c r="B212" s="17" t="n">
        <v>1925</v>
      </c>
      <c r="C212" s="17" t="n">
        <v>4</v>
      </c>
      <c r="D212" s="18" t="n">
        <v>1.04</v>
      </c>
      <c r="E212" s="18">
        <f>IF(D212="","",D212*'参数与说明'!$B$6/25.4012)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9253</v>
      </c>
      <c r="B213" s="13" t="n">
        <v>1925</v>
      </c>
      <c r="C213" s="13" t="n">
        <v>5</v>
      </c>
      <c r="D213" s="14" t="n">
        <v>1.08</v>
      </c>
      <c r="E213" s="14">
        <f>IF(D213="","",D213*'参数与说明'!$B$6/25.4012)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9284</v>
      </c>
      <c r="B214" s="17" t="n">
        <v>1925</v>
      </c>
      <c r="C214" s="17" t="n">
        <v>6</v>
      </c>
      <c r="D214" s="18" t="n">
        <v>1.11</v>
      </c>
      <c r="E214" s="18">
        <f>IF(D214="","",D214*'参数与说明'!$B$6/25.4012)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9314</v>
      </c>
      <c r="B215" s="13" t="n">
        <v>1925</v>
      </c>
      <c r="C215" s="13" t="n">
        <v>7</v>
      </c>
      <c r="D215" s="14" t="n">
        <v>1.04</v>
      </c>
      <c r="E215" s="14">
        <f>IF(D215="","",D215*'参数与说明'!$B$6/25.4012)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9345</v>
      </c>
      <c r="B216" s="17" t="n">
        <v>1925</v>
      </c>
      <c r="C216" s="17" t="n">
        <v>8</v>
      </c>
      <c r="D216" s="18" t="n">
        <v>1.07</v>
      </c>
      <c r="E216" s="18">
        <f>IF(D216="","",D216*'参数与说明'!$B$6/25.4012)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9376</v>
      </c>
      <c r="B217" s="13" t="n">
        <v>1925</v>
      </c>
      <c r="C217" s="13" t="n">
        <v>9</v>
      </c>
      <c r="D217" s="14" t="n">
        <v>0.988</v>
      </c>
      <c r="E217" s="14">
        <f>IF(D217="","",D217*'参数与说明'!$B$6/25.4012)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9406</v>
      </c>
      <c r="B218" s="17" t="n">
        <v>1925</v>
      </c>
      <c r="C218" s="17" t="n">
        <v>10</v>
      </c>
      <c r="D218" s="18" t="n">
        <v>0.83</v>
      </c>
      <c r="E218" s="18">
        <f>IF(D218="","",D218*'参数与说明'!$B$6/25.4012)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9437</v>
      </c>
      <c r="B219" s="13" t="n">
        <v>1925</v>
      </c>
      <c r="C219" s="13" t="n">
        <v>11</v>
      </c>
      <c r="D219" s="14" t="n">
        <v>0.746</v>
      </c>
      <c r="E219" s="14">
        <f>IF(D219="","",D219*'参数与说明'!$B$6/25.4012)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9467</v>
      </c>
      <c r="B220" s="17" t="n">
        <v>1925</v>
      </c>
      <c r="C220" s="17" t="n">
        <v>12</v>
      </c>
      <c r="D220" s="18" t="n">
        <v>0.707</v>
      </c>
      <c r="E220" s="18">
        <f>IF(D220="","",D220*'参数与说明'!$B$6/25.4012)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9498</v>
      </c>
      <c r="B221" s="13" t="n">
        <v>1926</v>
      </c>
      <c r="C221" s="13" t="n">
        <v>1</v>
      </c>
      <c r="D221" s="14" t="n">
        <v>0.696</v>
      </c>
      <c r="E221" s="14">
        <f>IF(D221="","",D221*'参数与说明'!$B$6/25.4012)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9529</v>
      </c>
      <c r="B222" s="17" t="n">
        <v>1926</v>
      </c>
      <c r="C222" s="17" t="n">
        <v>2</v>
      </c>
      <c r="D222" s="18" t="n">
        <v>0.6850000000000001</v>
      </c>
      <c r="E222" s="18">
        <f>IF(D222="","",D222*'参数与说明'!$B$6/25.4012)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9557</v>
      </c>
      <c r="B223" s="13" t="n">
        <v>1926</v>
      </c>
      <c r="C223" s="13" t="n">
        <v>3</v>
      </c>
      <c r="D223" s="14" t="n">
        <v>0.666</v>
      </c>
      <c r="E223" s="14">
        <f>IF(D223="","",D223*'参数与说明'!$B$6/25.4012)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9588</v>
      </c>
      <c r="B224" s="17" t="n">
        <v>1926</v>
      </c>
      <c r="C224" s="17" t="n">
        <v>4</v>
      </c>
      <c r="D224" s="18" t="n">
        <v>0.657</v>
      </c>
      <c r="E224" s="18">
        <f>IF(D224="","",D224*'参数与说明'!$B$6/25.4012)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9618</v>
      </c>
      <c r="B225" s="13" t="n">
        <v>1926</v>
      </c>
      <c r="C225" s="13" t="n">
        <v>5</v>
      </c>
      <c r="D225" s="14" t="n">
        <v>0.671</v>
      </c>
      <c r="E225" s="14">
        <f>IF(D225="","",D225*'参数与说明'!$B$6/25.4012)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9649</v>
      </c>
      <c r="B226" s="17" t="n">
        <v>1926</v>
      </c>
      <c r="C226" s="17" t="n">
        <v>6</v>
      </c>
      <c r="D226" s="18" t="n">
        <v>0.6860000000000001</v>
      </c>
      <c r="E226" s="18">
        <f>IF(D226="","",D226*'参数与说明'!$B$6/25.4012)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9679</v>
      </c>
      <c r="B227" s="13" t="n">
        <v>1926</v>
      </c>
      <c r="C227" s="13" t="n">
        <v>7</v>
      </c>
      <c r="D227" s="14" t="n">
        <v>0.715</v>
      </c>
      <c r="E227" s="14">
        <f>IF(D227="","",D227*'参数与说明'!$B$6/25.4012)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9710</v>
      </c>
      <c r="B228" s="17" t="n">
        <v>1926</v>
      </c>
      <c r="C228" s="17" t="n">
        <v>8</v>
      </c>
      <c r="D228" s="18" t="n">
        <v>0.795</v>
      </c>
      <c r="E228" s="18">
        <f>IF(D228="","",D228*'参数与说明'!$B$6/25.4012)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9741</v>
      </c>
      <c r="B229" s="13" t="n">
        <v>1926</v>
      </c>
      <c r="C229" s="13" t="n">
        <v>9</v>
      </c>
      <c r="D229" s="14" t="n">
        <v>0.762</v>
      </c>
      <c r="E229" s="14">
        <f>IF(D229="","",D229*'参数与说明'!$B$6/25.4012)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9771</v>
      </c>
      <c r="B230" s="17" t="n">
        <v>1926</v>
      </c>
      <c r="C230" s="17" t="n">
        <v>10</v>
      </c>
      <c r="D230" s="18" t="n">
        <v>0.745</v>
      </c>
      <c r="E230" s="18">
        <f>IF(D230="","",D230*'参数与说明'!$B$6/25.4012)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9802</v>
      </c>
      <c r="B231" s="13" t="n">
        <v>1926</v>
      </c>
      <c r="C231" s="13" t="n">
        <v>11</v>
      </c>
      <c r="D231" s="14" t="n">
        <v>0.66</v>
      </c>
      <c r="E231" s="14">
        <f>IF(D231="","",D231*'参数与说明'!$B$6/25.4012)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9832</v>
      </c>
      <c r="B232" s="17" t="n">
        <v>1926</v>
      </c>
      <c r="C232" s="17" t="n">
        <v>12</v>
      </c>
      <c r="D232" s="18" t="n">
        <v>0.645</v>
      </c>
      <c r="E232" s="18">
        <f>IF(D232="","",D232*'参数与说明'!$B$6/25.4012)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9863</v>
      </c>
      <c r="B233" s="13" t="n">
        <v>1927</v>
      </c>
      <c r="C233" s="13" t="n">
        <v>1</v>
      </c>
      <c r="D233" s="14" t="n">
        <v>0.643</v>
      </c>
      <c r="E233" s="14">
        <f>IF(D233="","",D233*'参数与说明'!$B$6/25.4012)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9894</v>
      </c>
      <c r="B234" s="17" t="n">
        <v>1927</v>
      </c>
      <c r="C234" s="17" t="n">
        <v>2</v>
      </c>
      <c r="D234" s="18" t="n">
        <v>0.665</v>
      </c>
      <c r="E234" s="18">
        <f>IF(D234="","",D234*'参数与说明'!$B$6/25.4012)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9922</v>
      </c>
      <c r="B235" s="13" t="n">
        <v>1927</v>
      </c>
      <c r="C235" s="13" t="n">
        <v>3</v>
      </c>
      <c r="D235" s="14" t="n">
        <v>0.652</v>
      </c>
      <c r="E235" s="14">
        <f>IF(D235="","",D235*'参数与说明'!$B$6/25.4012)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9953</v>
      </c>
      <c r="B236" s="17" t="n">
        <v>1927</v>
      </c>
      <c r="C236" s="17" t="n">
        <v>4</v>
      </c>
      <c r="D236" s="18" t="n">
        <v>0.656</v>
      </c>
      <c r="E236" s="18">
        <f>IF(D236="","",D236*'参数与说明'!$B$6/25.4012)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9983</v>
      </c>
      <c r="B237" s="13" t="n">
        <v>1927</v>
      </c>
      <c r="C237" s="13" t="n">
        <v>5</v>
      </c>
      <c r="D237" s="14" t="n">
        <v>0.73</v>
      </c>
      <c r="E237" s="14">
        <f>IF(D237="","",D237*'参数与说明'!$B$6/25.4012)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10014</v>
      </c>
      <c r="B238" s="17" t="n">
        <v>1927</v>
      </c>
      <c r="C238" s="17" t="n">
        <v>6</v>
      </c>
      <c r="D238" s="18" t="n">
        <v>0.889</v>
      </c>
      <c r="E238" s="18">
        <f>IF(D238="","",D238*'参数与说明'!$B$6/25.4012)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10044</v>
      </c>
      <c r="B239" s="13" t="n">
        <v>1927</v>
      </c>
      <c r="C239" s="13" t="n">
        <v>7</v>
      </c>
      <c r="D239" s="14" t="n">
        <v>0.924</v>
      </c>
      <c r="E239" s="14">
        <f>IF(D239="","",D239*'参数与说明'!$B$6/25.4012)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10075</v>
      </c>
      <c r="B240" s="17" t="n">
        <v>1927</v>
      </c>
      <c r="C240" s="17" t="n">
        <v>8</v>
      </c>
      <c r="D240" s="18" t="n">
        <v>0.977</v>
      </c>
      <c r="E240" s="18">
        <f>IF(D240="","",D240*'参数与说明'!$B$6/25.4012)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10106</v>
      </c>
      <c r="B241" s="13" t="n">
        <v>1927</v>
      </c>
      <c r="C241" s="13" t="n">
        <v>9</v>
      </c>
      <c r="D241" s="14" t="n">
        <v>0.953</v>
      </c>
      <c r="E241" s="14">
        <f>IF(D241="","",D241*'参数与说明'!$B$6/25.4012)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10136</v>
      </c>
      <c r="B242" s="17" t="n">
        <v>1927</v>
      </c>
      <c r="C242" s="17" t="n">
        <v>10</v>
      </c>
      <c r="D242" s="18" t="n">
        <v>0.876</v>
      </c>
      <c r="E242" s="18">
        <f>IF(D242="","",D242*'参数与说明'!$B$6/25.4012)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10167</v>
      </c>
      <c r="B243" s="13" t="n">
        <v>1927</v>
      </c>
      <c r="C243" s="13" t="n">
        <v>11</v>
      </c>
      <c r="D243" s="14" t="n">
        <v>0.737</v>
      </c>
      <c r="E243" s="14">
        <f>IF(D243="","",D243*'参数与说明'!$B$6/25.4012)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10197</v>
      </c>
      <c r="B244" s="17" t="n">
        <v>1927</v>
      </c>
      <c r="C244" s="17" t="n">
        <v>12</v>
      </c>
      <c r="D244" s="18" t="n">
        <v>0.751</v>
      </c>
      <c r="E244" s="18">
        <f>IF(D244="","",D244*'参数与说明'!$B$6/25.4012)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10228</v>
      </c>
      <c r="B245" s="13" t="n">
        <v>1928</v>
      </c>
      <c r="C245" s="13" t="n">
        <v>1</v>
      </c>
      <c r="D245" s="14" t="n">
        <v>0.752</v>
      </c>
      <c r="E245" s="14">
        <f>IF(D245="","",D245*'参数与说明'!$B$6/25.4012)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10259</v>
      </c>
      <c r="B246" s="17" t="n">
        <v>1928</v>
      </c>
      <c r="C246" s="17" t="n">
        <v>2</v>
      </c>
      <c r="D246" s="18" t="n">
        <v>0.79</v>
      </c>
      <c r="E246" s="18">
        <f>IF(D246="","",D246*'参数与说明'!$B$6/25.4012)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10288</v>
      </c>
      <c r="B247" s="13" t="n">
        <v>1928</v>
      </c>
      <c r="C247" s="13" t="n">
        <v>3</v>
      </c>
      <c r="D247" s="14" t="n">
        <v>0.862</v>
      </c>
      <c r="E247" s="14">
        <f>IF(D247="","",D247*'参数与说明'!$B$6/25.4012)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10319</v>
      </c>
      <c r="B248" s="17" t="n">
        <v>1928</v>
      </c>
      <c r="C248" s="17" t="n">
        <v>4</v>
      </c>
      <c r="D248" s="18" t="n">
        <v>0.919</v>
      </c>
      <c r="E248" s="18">
        <f>IF(D248="","",D248*'参数与说明'!$B$6/25.4012)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10349</v>
      </c>
      <c r="B249" s="13" t="n">
        <v>1928</v>
      </c>
      <c r="C249" s="13" t="n">
        <v>5</v>
      </c>
      <c r="D249" s="14" t="n">
        <v>1.02</v>
      </c>
      <c r="E249" s="14">
        <f>IF(D249="","",D249*'参数与说明'!$B$6/25.4012)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10380</v>
      </c>
      <c r="B250" s="17" t="n">
        <v>1928</v>
      </c>
      <c r="C250" s="17" t="n">
        <v>6</v>
      </c>
      <c r="D250" s="18" t="n">
        <v>1.02</v>
      </c>
      <c r="E250" s="18">
        <f>IF(D250="","",D250*'参数与说明'!$B$6/25.4012)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10410</v>
      </c>
      <c r="B251" s="13" t="n">
        <v>1928</v>
      </c>
      <c r="C251" s="13" t="n">
        <v>7</v>
      </c>
      <c r="D251" s="14" t="n">
        <v>1.02</v>
      </c>
      <c r="E251" s="14">
        <f>IF(D251="","",D251*'参数与说明'!$B$6/25.4012)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10441</v>
      </c>
      <c r="B252" s="17" t="n">
        <v>1928</v>
      </c>
      <c r="C252" s="17" t="n">
        <v>8</v>
      </c>
      <c r="D252" s="18" t="n">
        <v>0.982</v>
      </c>
      <c r="E252" s="18">
        <f>IF(D252="","",D252*'参数与说明'!$B$6/25.4012)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10472</v>
      </c>
      <c r="B253" s="13" t="n">
        <v>1928</v>
      </c>
      <c r="C253" s="13" t="n">
        <v>9</v>
      </c>
      <c r="D253" s="14" t="n">
        <v>0.951</v>
      </c>
      <c r="E253" s="14">
        <f>IF(D253="","",D253*'参数与说明'!$B$6/25.4012)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10502</v>
      </c>
      <c r="B254" s="17" t="n">
        <v>1928</v>
      </c>
      <c r="C254" s="17" t="n">
        <v>10</v>
      </c>
      <c r="D254" s="18" t="n">
        <v>0.847</v>
      </c>
      <c r="E254" s="18">
        <f>IF(D254="","",D254*'参数与说明'!$B$6/25.4012)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10533</v>
      </c>
      <c r="B255" s="13" t="n">
        <v>1928</v>
      </c>
      <c r="C255" s="13" t="n">
        <v>11</v>
      </c>
      <c r="D255" s="14" t="n">
        <v>0.754</v>
      </c>
      <c r="E255" s="14">
        <f>IF(D255="","",D255*'参数与说明'!$B$6/25.4012)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10563</v>
      </c>
      <c r="B256" s="17" t="n">
        <v>1928</v>
      </c>
      <c r="C256" s="17" t="n">
        <v>12</v>
      </c>
      <c r="D256" s="18" t="n">
        <v>0.761</v>
      </c>
      <c r="E256" s="18">
        <f>IF(D256="","",D256*'参数与说明'!$B$6/25.4012)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10594</v>
      </c>
      <c r="B257" s="13" t="n">
        <v>1929</v>
      </c>
      <c r="C257" s="13" t="n">
        <v>1</v>
      </c>
      <c r="D257" s="14" t="n">
        <v>0.802</v>
      </c>
      <c r="E257" s="14">
        <f>IF(D257="","",D257*'参数与说明'!$B$6/25.4012)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10625</v>
      </c>
      <c r="B258" s="17" t="n">
        <v>1929</v>
      </c>
      <c r="C258" s="17" t="n">
        <v>2</v>
      </c>
      <c r="D258" s="18" t="n">
        <v>0.868</v>
      </c>
      <c r="E258" s="18">
        <f>IF(D258="","",D258*'参数与说明'!$B$6/25.4012)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10653</v>
      </c>
      <c r="B259" s="13" t="n">
        <v>1929</v>
      </c>
      <c r="C259" s="13" t="n">
        <v>3</v>
      </c>
      <c r="D259" s="14" t="n">
        <v>0.887</v>
      </c>
      <c r="E259" s="14">
        <f>IF(D259="","",D259*'参数与说明'!$B$6/25.4012)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10684</v>
      </c>
      <c r="B260" s="17" t="n">
        <v>1929</v>
      </c>
      <c r="C260" s="17" t="n">
        <v>4</v>
      </c>
      <c r="D260" s="18" t="n">
        <v>0.875</v>
      </c>
      <c r="E260" s="18">
        <f>IF(D260="","",D260*'参数与说明'!$B$6/25.4012)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10714</v>
      </c>
      <c r="B261" s="13" t="n">
        <v>1929</v>
      </c>
      <c r="C261" s="13" t="n">
        <v>5</v>
      </c>
      <c r="D261" s="14" t="n">
        <v>0.862</v>
      </c>
      <c r="E261" s="14">
        <f>IF(D261="","",D261*'参数与说明'!$B$6/25.4012)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10745</v>
      </c>
      <c r="B262" s="17" t="n">
        <v>1929</v>
      </c>
      <c r="C262" s="17" t="n">
        <v>6</v>
      </c>
      <c r="D262" s="18" t="n">
        <v>0.869</v>
      </c>
      <c r="E262" s="18">
        <f>IF(D262="","",D262*'参数与说明'!$B$6/25.4012)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10775</v>
      </c>
      <c r="B263" s="13" t="n">
        <v>1929</v>
      </c>
      <c r="C263" s="13" t="n">
        <v>7</v>
      </c>
      <c r="D263" s="14" t="n">
        <v>0.912</v>
      </c>
      <c r="E263" s="14">
        <f>IF(D263="","",D263*'参数与说明'!$B$6/25.4012)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10806</v>
      </c>
      <c r="B264" s="17" t="n">
        <v>1929</v>
      </c>
      <c r="C264" s="17" t="n">
        <v>8</v>
      </c>
      <c r="D264" s="18" t="n">
        <v>0.959</v>
      </c>
      <c r="E264" s="18">
        <f>IF(D264="","",D264*'参数与说明'!$B$6/25.4012)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10837</v>
      </c>
      <c r="B265" s="13" t="n">
        <v>1929</v>
      </c>
      <c r="C265" s="13" t="n">
        <v>9</v>
      </c>
      <c r="D265" s="14" t="n">
        <v>0.972</v>
      </c>
      <c r="E265" s="14">
        <f>IF(D265="","",D265*'参数与说明'!$B$6/25.4012)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10867</v>
      </c>
      <c r="B266" s="17" t="n">
        <v>1929</v>
      </c>
      <c r="C266" s="17" t="n">
        <v>10</v>
      </c>
      <c r="D266" s="18" t="n">
        <v>0.919</v>
      </c>
      <c r="E266" s="18">
        <f>IF(D266="","",D266*'参数与说明'!$B$6/25.4012)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10898</v>
      </c>
      <c r="B267" s="13" t="n">
        <v>1929</v>
      </c>
      <c r="C267" s="13" t="n">
        <v>11</v>
      </c>
      <c r="D267" s="14" t="n">
        <v>0.8100000000000001</v>
      </c>
      <c r="E267" s="14">
        <f>IF(D267="","",D267*'参数与说明'!$B$6/25.4012)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10928</v>
      </c>
      <c r="B268" s="17" t="n">
        <v>1929</v>
      </c>
      <c r="C268" s="17" t="n">
        <v>12</v>
      </c>
      <c r="D268" s="18" t="n">
        <v>0.78</v>
      </c>
      <c r="E268" s="18">
        <f>IF(D268="","",D268*'参数与说明'!$B$6/25.4012)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10959</v>
      </c>
      <c r="B269" s="13" t="n">
        <v>1930</v>
      </c>
      <c r="C269" s="13" t="n">
        <v>1</v>
      </c>
      <c r="D269" s="14" t="n">
        <v>0.773</v>
      </c>
      <c r="E269" s="14">
        <f>IF(D269="","",D269*'参数与说明'!$B$6/25.4012)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10990</v>
      </c>
      <c r="B270" s="17" t="n">
        <v>1930</v>
      </c>
      <c r="C270" s="17" t="n">
        <v>2</v>
      </c>
      <c r="D270" s="18" t="n">
        <v>0.774</v>
      </c>
      <c r="E270" s="18">
        <f>IF(D270="","",D270*'参数与说明'!$B$6/25.4012)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11018</v>
      </c>
      <c r="B271" s="13" t="n">
        <v>1930</v>
      </c>
      <c r="C271" s="13" t="n">
        <v>3</v>
      </c>
      <c r="D271" s="14" t="n">
        <v>0.745</v>
      </c>
      <c r="E271" s="14">
        <f>IF(D271="","",D271*'参数与说明'!$B$6/25.4012)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11049</v>
      </c>
      <c r="B272" s="17" t="n">
        <v>1930</v>
      </c>
      <c r="C272" s="17" t="n">
        <v>4</v>
      </c>
      <c r="D272" s="18" t="n">
        <v>0.783</v>
      </c>
      <c r="E272" s="18">
        <f>IF(D272="","",D272*'参数与说明'!$B$6/25.4012)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11079</v>
      </c>
      <c r="B273" s="13" t="n">
        <v>1930</v>
      </c>
      <c r="C273" s="13" t="n">
        <v>5</v>
      </c>
      <c r="D273" s="14" t="n">
        <v>0.778</v>
      </c>
      <c r="E273" s="14">
        <f>IF(D273="","",D273*'参数与说明'!$B$6/25.4012)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11110</v>
      </c>
      <c r="B274" s="17" t="n">
        <v>1930</v>
      </c>
      <c r="C274" s="17" t="n">
        <v>6</v>
      </c>
      <c r="D274" s="18" t="n">
        <v>0.79</v>
      </c>
      <c r="E274" s="18">
        <f>IF(D274="","",D274*'参数与说明'!$B$6/25.4012)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11140</v>
      </c>
      <c r="B275" s="13" t="n">
        <v>1930</v>
      </c>
      <c r="C275" s="13" t="n">
        <v>7</v>
      </c>
      <c r="D275" s="14" t="n">
        <v>0.771</v>
      </c>
      <c r="E275" s="14">
        <f>IF(D275="","",D275*'参数与说明'!$B$6/25.4012)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11171</v>
      </c>
      <c r="B276" s="17" t="n">
        <v>1930</v>
      </c>
      <c r="C276" s="17" t="n">
        <v>8</v>
      </c>
      <c r="D276" s="18" t="n">
        <v>0.9</v>
      </c>
      <c r="E276" s="18">
        <f>IF(D276="","",D276*'参数与说明'!$B$6/25.4012)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11202</v>
      </c>
      <c r="B277" s="13" t="n">
        <v>1930</v>
      </c>
      <c r="C277" s="13" t="n">
        <v>9</v>
      </c>
      <c r="D277" s="14" t="n">
        <v>0.917</v>
      </c>
      <c r="E277" s="14">
        <f>IF(D277="","",D277*'参数与说明'!$B$6/25.4012)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11232</v>
      </c>
      <c r="B278" s="17" t="n">
        <v>1930</v>
      </c>
      <c r="C278" s="17" t="n">
        <v>10</v>
      </c>
      <c r="D278" s="18" t="n">
        <v>0.819</v>
      </c>
      <c r="E278" s="18">
        <f>IF(D278="","",D278*'参数与说明'!$B$6/25.4012)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11263</v>
      </c>
      <c r="B279" s="13" t="n">
        <v>1930</v>
      </c>
      <c r="C279" s="13" t="n">
        <v>11</v>
      </c>
      <c r="D279" s="14" t="n">
        <v>0.663</v>
      </c>
      <c r="E279" s="14">
        <f>IF(D279="","",D279*'参数与说明'!$B$6/25.4012)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11293</v>
      </c>
      <c r="B280" s="17" t="n">
        <v>1930</v>
      </c>
      <c r="C280" s="17" t="n">
        <v>12</v>
      </c>
      <c r="D280" s="18" t="n">
        <v>0.649</v>
      </c>
      <c r="E280" s="18">
        <f>IF(D280="","",D280*'参数与说明'!$B$6/25.4012)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11324</v>
      </c>
      <c r="B281" s="13" t="n">
        <v>1931</v>
      </c>
      <c r="C281" s="13" t="n">
        <v>1</v>
      </c>
      <c r="D281" s="14" t="n">
        <v>0.617</v>
      </c>
      <c r="E281" s="14">
        <f>IF(D281="","",D281*'参数与说明'!$B$6/25.4012)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11355</v>
      </c>
      <c r="B282" s="17" t="n">
        <v>1931</v>
      </c>
      <c r="C282" s="17" t="n">
        <v>2</v>
      </c>
      <c r="D282" s="18" t="n">
        <v>0.586</v>
      </c>
      <c r="E282" s="18">
        <f>IF(D282="","",D282*'参数与说明'!$B$6/25.4012)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11383</v>
      </c>
      <c r="B283" s="13" t="n">
        <v>1931</v>
      </c>
      <c r="C283" s="13" t="n">
        <v>3</v>
      </c>
      <c r="D283" s="14" t="n">
        <v>0.575</v>
      </c>
      <c r="E283" s="14">
        <f>IF(D283="","",D283*'参数与说明'!$B$6/25.4012)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11414</v>
      </c>
      <c r="B284" s="17" t="n">
        <v>1931</v>
      </c>
      <c r="C284" s="17" t="n">
        <v>4</v>
      </c>
      <c r="D284" s="18" t="n">
        <v>0.577</v>
      </c>
      <c r="E284" s="18">
        <f>IF(D284="","",D284*'参数与说明'!$B$6/25.4012)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11444</v>
      </c>
      <c r="B285" s="13" t="n">
        <v>1931</v>
      </c>
      <c r="C285" s="13" t="n">
        <v>5</v>
      </c>
      <c r="D285" s="14" t="n">
        <v>0.5629999999999999</v>
      </c>
      <c r="E285" s="14">
        <f>IF(D285="","",D285*'参数与说明'!$B$6/25.4012)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11475</v>
      </c>
      <c r="B286" s="17" t="n">
        <v>1931</v>
      </c>
      <c r="C286" s="17" t="n">
        <v>6</v>
      </c>
      <c r="D286" s="18" t="n">
        <v>0.538</v>
      </c>
      <c r="E286" s="18">
        <f>IF(D286="","",D286*'参数与说明'!$B$6/25.4012)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11505</v>
      </c>
      <c r="B287" s="13" t="n">
        <v>1931</v>
      </c>
      <c r="C287" s="13" t="n">
        <v>7</v>
      </c>
      <c r="D287" s="14" t="n">
        <v>0.54</v>
      </c>
      <c r="E287" s="14">
        <f>IF(D287="","",D287*'参数与说明'!$B$6/25.4012)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11536</v>
      </c>
      <c r="B288" s="17" t="n">
        <v>1931</v>
      </c>
      <c r="C288" s="17" t="n">
        <v>8</v>
      </c>
      <c r="D288" s="18" t="n">
        <v>0.508</v>
      </c>
      <c r="E288" s="18">
        <f>IF(D288="","",D288*'参数与说明'!$B$6/25.4012)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11567</v>
      </c>
      <c r="B289" s="13" t="n">
        <v>1931</v>
      </c>
      <c r="C289" s="13" t="n">
        <v>9</v>
      </c>
      <c r="D289" s="14" t="n">
        <v>0.432</v>
      </c>
      <c r="E289" s="14">
        <f>IF(D289="","",D289*'参数与说明'!$B$6/25.4012)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11597</v>
      </c>
      <c r="B290" s="17" t="n">
        <v>1931</v>
      </c>
      <c r="C290" s="17" t="n">
        <v>10</v>
      </c>
      <c r="D290" s="18" t="n">
        <v>0.334</v>
      </c>
      <c r="E290" s="18">
        <f>IF(D290="","",D290*'参数与说明'!$B$6/25.4012)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11628</v>
      </c>
      <c r="B291" s="13" t="n">
        <v>1931</v>
      </c>
      <c r="C291" s="13" t="n">
        <v>11</v>
      </c>
      <c r="D291" s="14" t="n">
        <v>0.366</v>
      </c>
      <c r="E291" s="14">
        <f>IF(D291="","",D291*'参数与说明'!$B$6/25.4012)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11658</v>
      </c>
      <c r="B292" s="17" t="n">
        <v>1931</v>
      </c>
      <c r="C292" s="17" t="n">
        <v>12</v>
      </c>
      <c r="D292" s="18" t="n">
        <v>0.345</v>
      </c>
      <c r="E292" s="18">
        <f>IF(D292="","",D292*'参数与说明'!$B$6/25.4012)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11689</v>
      </c>
      <c r="B293" s="13" t="n">
        <v>1932</v>
      </c>
      <c r="C293" s="13" t="n">
        <v>1</v>
      </c>
      <c r="D293" s="14" t="n">
        <v>0.337</v>
      </c>
      <c r="E293" s="14">
        <f>IF(D293="","",D293*'参数与说明'!$B$6/25.4012)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11720</v>
      </c>
      <c r="B294" s="17" t="n">
        <v>1932</v>
      </c>
      <c r="C294" s="17" t="n">
        <v>2</v>
      </c>
      <c r="D294" s="18" t="n">
        <v>0.324</v>
      </c>
      <c r="E294" s="18">
        <f>IF(D294="","",D294*'参数与说明'!$B$6/25.4012)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11749</v>
      </c>
      <c r="B295" s="13" t="n">
        <v>1932</v>
      </c>
      <c r="C295" s="13" t="n">
        <v>3</v>
      </c>
      <c r="D295" s="14" t="n">
        <v>0.322</v>
      </c>
      <c r="E295" s="14">
        <f>IF(D295="","",D295*'参数与说明'!$B$6/25.4012)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11780</v>
      </c>
      <c r="B296" s="17" t="n">
        <v>1932</v>
      </c>
      <c r="C296" s="17" t="n">
        <v>4</v>
      </c>
      <c r="D296" s="18" t="n">
        <v>0.314</v>
      </c>
      <c r="E296" s="18">
        <f>IF(D296="","",D296*'参数与说明'!$B$6/25.4012)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11810</v>
      </c>
      <c r="B297" s="13" t="n">
        <v>1932</v>
      </c>
      <c r="C297" s="13" t="n">
        <v>5</v>
      </c>
      <c r="D297" s="14" t="n">
        <v>0.301</v>
      </c>
      <c r="E297" s="14">
        <f>IF(D297="","",D297*'参数与说明'!$B$6/25.4012)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11841</v>
      </c>
      <c r="B298" s="17" t="n">
        <v>1932</v>
      </c>
      <c r="C298" s="17" t="n">
        <v>6</v>
      </c>
      <c r="D298" s="18" t="n">
        <v>0.294</v>
      </c>
      <c r="E298" s="18">
        <f>IF(D298="","",D298*'参数与说明'!$B$6/25.4012)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11871</v>
      </c>
      <c r="B299" s="13" t="n">
        <v>1932</v>
      </c>
      <c r="C299" s="13" t="n">
        <v>7</v>
      </c>
      <c r="D299" s="14" t="n">
        <v>0.299</v>
      </c>
      <c r="E299" s="14">
        <f>IF(D299="","",D299*'参数与说明'!$B$6/25.4012)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11902</v>
      </c>
      <c r="B300" s="17" t="n">
        <v>1932</v>
      </c>
      <c r="C300" s="17" t="n">
        <v>8</v>
      </c>
      <c r="D300" s="18" t="n">
        <v>0.302</v>
      </c>
      <c r="E300" s="18">
        <f>IF(D300="","",D300*'参数与说明'!$B$6/25.4012)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11933</v>
      </c>
      <c r="B301" s="13" t="n">
        <v>1932</v>
      </c>
      <c r="C301" s="13" t="n">
        <v>9</v>
      </c>
      <c r="D301" s="14" t="n">
        <v>0.28</v>
      </c>
      <c r="E301" s="14">
        <f>IF(D301="","",D301*'参数与说明'!$B$6/25.4012)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11963</v>
      </c>
      <c r="B302" s="17" t="n">
        <v>1932</v>
      </c>
      <c r="C302" s="17" t="n">
        <v>10</v>
      </c>
      <c r="D302" s="18" t="n">
        <v>0.216</v>
      </c>
      <c r="E302" s="18">
        <f>IF(D302="","",D302*'参数与说明'!$B$6/25.4012)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11994</v>
      </c>
      <c r="B303" s="13" t="n">
        <v>1932</v>
      </c>
      <c r="C303" s="13" t="n">
        <v>11</v>
      </c>
      <c r="D303" s="14" t="n">
        <v>0.194</v>
      </c>
      <c r="E303" s="14">
        <f>IF(D303="","",D303*'参数与说明'!$B$6/25.4012)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12024</v>
      </c>
      <c r="B304" s="17" t="n">
        <v>1932</v>
      </c>
      <c r="C304" s="17" t="n">
        <v>12</v>
      </c>
      <c r="D304" s="18" t="n">
        <v>0.188</v>
      </c>
      <c r="E304" s="18">
        <f>IF(D304="","",D304*'参数与说明'!$B$6/25.4012)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12055</v>
      </c>
      <c r="B305" s="13" t="n">
        <v>1933</v>
      </c>
      <c r="C305" s="13" t="n">
        <v>1</v>
      </c>
      <c r="D305" s="14" t="n">
        <v>0.191</v>
      </c>
      <c r="E305" s="14">
        <f>IF(D305="","",D305*'参数与说明'!$B$6/25.4012)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12086</v>
      </c>
      <c r="B306" s="17" t="n">
        <v>1933</v>
      </c>
      <c r="C306" s="17" t="n">
        <v>2</v>
      </c>
      <c r="D306" s="18" t="n">
        <v>0.194</v>
      </c>
      <c r="E306" s="18">
        <f>IF(D306="","",D306*'参数与说明'!$B$6/25.4012)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12114</v>
      </c>
      <c r="B307" s="13" t="n">
        <v>1933</v>
      </c>
      <c r="C307" s="13" t="n">
        <v>3</v>
      </c>
      <c r="D307" s="14" t="n">
        <v>0.206</v>
      </c>
      <c r="E307" s="14">
        <f>IF(D307="","",D307*'参数与说明'!$B$6/25.4012)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12145</v>
      </c>
      <c r="B308" s="17" t="n">
        <v>1933</v>
      </c>
      <c r="C308" s="17" t="n">
        <v>4</v>
      </c>
      <c r="D308" s="18" t="n">
        <v>0.282</v>
      </c>
      <c r="E308" s="18">
        <f>IF(D308="","",D308*'参数与说明'!$B$6/25.4012)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12175</v>
      </c>
      <c r="B309" s="13" t="n">
        <v>1933</v>
      </c>
      <c r="C309" s="13" t="n">
        <v>5</v>
      </c>
      <c r="D309" s="14" t="n">
        <v>0.389</v>
      </c>
      <c r="E309" s="14">
        <f>IF(D309="","",D309*'参数与说明'!$B$6/25.4012)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12206</v>
      </c>
      <c r="B310" s="17" t="n">
        <v>1933</v>
      </c>
      <c r="C310" s="17" t="n">
        <v>6</v>
      </c>
      <c r="D310" s="18" t="n">
        <v>0.402</v>
      </c>
      <c r="E310" s="18">
        <f>IF(D310="","",D310*'参数与说明'!$B$6/25.4012)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12236</v>
      </c>
      <c r="B311" s="13" t="n">
        <v>1933</v>
      </c>
      <c r="C311" s="13" t="n">
        <v>7</v>
      </c>
      <c r="D311" s="14" t="n">
        <v>0.554</v>
      </c>
      <c r="E311" s="14">
        <f>IF(D311="","",D311*'参数与说明'!$B$6/25.4012)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12267</v>
      </c>
      <c r="B312" s="17" t="n">
        <v>1933</v>
      </c>
      <c r="C312" s="17" t="n">
        <v>8</v>
      </c>
      <c r="D312" s="18" t="n">
        <v>0.488</v>
      </c>
      <c r="E312" s="18">
        <f>IF(D312="","",D312*'参数与说明'!$B$6/25.4012)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12298</v>
      </c>
      <c r="B313" s="13" t="n">
        <v>1933</v>
      </c>
      <c r="C313" s="13" t="n">
        <v>9</v>
      </c>
      <c r="D313" s="14" t="n">
        <v>0.465</v>
      </c>
      <c r="E313" s="14">
        <f>IF(D313="","",D313*'参数与说明'!$B$6/25.4012)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12328</v>
      </c>
      <c r="B314" s="17" t="n">
        <v>1933</v>
      </c>
      <c r="C314" s="17" t="n">
        <v>10</v>
      </c>
      <c r="D314" s="18" t="n">
        <v>0.388</v>
      </c>
      <c r="E314" s="18">
        <f>IF(D314="","",D314*'参数与说明'!$B$6/25.4012)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12359</v>
      </c>
      <c r="B315" s="13" t="n">
        <v>1933</v>
      </c>
      <c r="C315" s="13" t="n">
        <v>11</v>
      </c>
      <c r="D315" s="14" t="n">
        <v>0.406</v>
      </c>
      <c r="E315" s="14">
        <f>IF(D315="","",D315*'参数与说明'!$B$6/25.4012)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12389</v>
      </c>
      <c r="B316" s="17" t="n">
        <v>1933</v>
      </c>
      <c r="C316" s="17" t="n">
        <v>12</v>
      </c>
      <c r="D316" s="18" t="n">
        <v>0.42</v>
      </c>
      <c r="E316" s="18">
        <f>IF(D316="","",D316*'参数与说明'!$B$6/25.4012)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12420</v>
      </c>
      <c r="B317" s="13" t="n">
        <v>1934</v>
      </c>
      <c r="C317" s="13" t="n">
        <v>1</v>
      </c>
      <c r="D317" s="14" t="n">
        <v>0.439</v>
      </c>
      <c r="E317" s="14">
        <f>IF(D317="","",D317*'参数与说明'!$B$6/25.4012)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12451</v>
      </c>
      <c r="B318" s="17" t="n">
        <v>1934</v>
      </c>
      <c r="C318" s="17" t="n">
        <v>2</v>
      </c>
      <c r="D318" s="18" t="n">
        <v>0.456</v>
      </c>
      <c r="E318" s="18">
        <f>IF(D318="","",D318*'参数与说明'!$B$6/25.4012)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12479</v>
      </c>
      <c r="B319" s="13" t="n">
        <v>1934</v>
      </c>
      <c r="C319" s="13" t="n">
        <v>3</v>
      </c>
      <c r="D319" s="14" t="n">
        <v>0.471</v>
      </c>
      <c r="E319" s="14">
        <f>IF(D319="","",D319*'参数与说明'!$B$6/25.4012)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12510</v>
      </c>
      <c r="B320" s="17" t="n">
        <v>1934</v>
      </c>
      <c r="C320" s="17" t="n">
        <v>4</v>
      </c>
      <c r="D320" s="18" t="n">
        <v>0.471</v>
      </c>
      <c r="E320" s="18">
        <f>IF(D320="","",D320*'参数与说明'!$B$6/25.4012)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12540</v>
      </c>
      <c r="B321" s="13" t="n">
        <v>1934</v>
      </c>
      <c r="C321" s="13" t="n">
        <v>5</v>
      </c>
      <c r="D321" s="14" t="n">
        <v>0.486</v>
      </c>
      <c r="E321" s="14">
        <f>IF(D321="","",D321*'参数与说明'!$B$6/25.4012)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12571</v>
      </c>
      <c r="B322" s="17" t="n">
        <v>1934</v>
      </c>
      <c r="C322" s="17" t="n">
        <v>6</v>
      </c>
      <c r="D322" s="18" t="n">
        <v>0.5600000000000001</v>
      </c>
      <c r="E322" s="18">
        <f>IF(D322="","",D322*'参数与说明'!$B$6/25.4012)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12601</v>
      </c>
      <c r="B323" s="13" t="n">
        <v>1934</v>
      </c>
      <c r="C323" s="13" t="n">
        <v>7</v>
      </c>
      <c r="D323" s="14" t="n">
        <v>0.592</v>
      </c>
      <c r="E323" s="14">
        <f>IF(D323="","",D323*'参数与说明'!$B$6/25.4012)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12632</v>
      </c>
      <c r="B324" s="17" t="n">
        <v>1934</v>
      </c>
      <c r="C324" s="17" t="n">
        <v>8</v>
      </c>
      <c r="D324" s="18" t="n">
        <v>0.727</v>
      </c>
      <c r="E324" s="18">
        <f>IF(D324="","",D324*'参数与说明'!$B$6/25.4012)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12663</v>
      </c>
      <c r="B325" s="13" t="n">
        <v>1934</v>
      </c>
      <c r="C325" s="13" t="n">
        <v>9</v>
      </c>
      <c r="D325" s="14" t="n">
        <v>0.774</v>
      </c>
      <c r="E325" s="14">
        <f>IF(D325="","",D325*'参数与说明'!$B$6/25.4012)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12693</v>
      </c>
      <c r="B326" s="17" t="n">
        <v>1934</v>
      </c>
      <c r="C326" s="17" t="n">
        <v>10</v>
      </c>
      <c r="D326" s="18" t="n">
        <v>0.767</v>
      </c>
      <c r="E326" s="18">
        <f>IF(D326="","",D326*'参数与说明'!$B$6/25.4012)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12724</v>
      </c>
      <c r="B327" s="13" t="n">
        <v>1934</v>
      </c>
      <c r="C327" s="13" t="n">
        <v>11</v>
      </c>
      <c r="D327" s="14" t="n">
        <v>0.757</v>
      </c>
      <c r="E327" s="14">
        <f>IF(D327="","",D327*'参数与说明'!$B$6/25.4012)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12754</v>
      </c>
      <c r="B328" s="17" t="n">
        <v>1934</v>
      </c>
      <c r="C328" s="17" t="n">
        <v>12</v>
      </c>
      <c r="D328" s="18" t="n">
        <v>0.853</v>
      </c>
      <c r="E328" s="18">
        <f>IF(D328="","",D328*'参数与说明'!$B$6/25.4012)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12785</v>
      </c>
      <c r="B329" s="13" t="n">
        <v>1935</v>
      </c>
      <c r="C329" s="13" t="n">
        <v>1</v>
      </c>
      <c r="D329" s="14" t="n">
        <v>0.853</v>
      </c>
      <c r="E329" s="14">
        <f>IF(D329="","",D329*'参数与说明'!$B$6/25.4012)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12816</v>
      </c>
      <c r="B330" s="17" t="n">
        <v>1935</v>
      </c>
      <c r="C330" s="17" t="n">
        <v>2</v>
      </c>
      <c r="D330" s="18" t="n">
        <v>0.845</v>
      </c>
      <c r="E330" s="18">
        <f>IF(D330="","",D330*'参数与说明'!$B$6/25.4012)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12844</v>
      </c>
      <c r="B331" s="13" t="n">
        <v>1935</v>
      </c>
      <c r="C331" s="13" t="n">
        <v>3</v>
      </c>
      <c r="D331" s="14" t="n">
        <v>0.827</v>
      </c>
      <c r="E331" s="14">
        <f>IF(D331="","",D331*'参数与说明'!$B$6/25.4012)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12875</v>
      </c>
      <c r="B332" s="17" t="n">
        <v>1935</v>
      </c>
      <c r="C332" s="17" t="n">
        <v>4</v>
      </c>
      <c r="D332" s="18" t="n">
        <v>0.852</v>
      </c>
      <c r="E332" s="18">
        <f>IF(D332="","",D332*'参数与说明'!$B$6/25.4012)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12905</v>
      </c>
      <c r="B333" s="13" t="n">
        <v>1935</v>
      </c>
      <c r="C333" s="13" t="n">
        <v>5</v>
      </c>
      <c r="D333" s="14" t="n">
        <v>0.848</v>
      </c>
      <c r="E333" s="14">
        <f>IF(D333="","",D333*'参数与说明'!$B$6/25.4012)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12936</v>
      </c>
      <c r="B334" s="17" t="n">
        <v>1935</v>
      </c>
      <c r="C334" s="17" t="n">
        <v>6</v>
      </c>
      <c r="D334" s="18" t="n">
        <v>0.833</v>
      </c>
      <c r="E334" s="18">
        <f>IF(D334="","",D334*'参数与说明'!$B$6/25.4012)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12966</v>
      </c>
      <c r="B335" s="13" t="n">
        <v>1935</v>
      </c>
      <c r="C335" s="13" t="n">
        <v>7</v>
      </c>
      <c r="D335" s="14" t="n">
        <v>0.824</v>
      </c>
      <c r="E335" s="14">
        <f>IF(D335="","",D335*'参数与说明'!$B$6/25.4012)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12997</v>
      </c>
      <c r="B336" s="17" t="n">
        <v>1935</v>
      </c>
      <c r="C336" s="17" t="n">
        <v>8</v>
      </c>
      <c r="D336" s="18" t="n">
        <v>0.8080000000000001</v>
      </c>
      <c r="E336" s="18">
        <f>IF(D336="","",D336*'参数与说明'!$B$6/25.4012)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13028</v>
      </c>
      <c r="B337" s="13" t="n">
        <v>1935</v>
      </c>
      <c r="C337" s="13" t="n">
        <v>9</v>
      </c>
      <c r="D337" s="14" t="n">
        <v>0.78</v>
      </c>
      <c r="E337" s="14">
        <f>IF(D337="","",D337*'参数与说明'!$B$6/25.4012)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13058</v>
      </c>
      <c r="B338" s="17" t="n">
        <v>1935</v>
      </c>
      <c r="C338" s="17" t="n">
        <v>10</v>
      </c>
      <c r="D338" s="18" t="n">
        <v>0.718</v>
      </c>
      <c r="E338" s="18">
        <f>IF(D338="","",D338*'参数与说明'!$B$6/25.4012)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13089</v>
      </c>
      <c r="B339" s="13" t="n">
        <v>1935</v>
      </c>
      <c r="C339" s="13" t="n">
        <v>11</v>
      </c>
      <c r="D339" s="14" t="n">
        <v>0.5639999999999999</v>
      </c>
      <c r="E339" s="14">
        <f>IF(D339="","",D339*'参数与说明'!$B$6/25.4012)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13119</v>
      </c>
      <c r="B340" s="17" t="n">
        <v>1935</v>
      </c>
      <c r="C340" s="17" t="n">
        <v>12</v>
      </c>
      <c r="D340" s="18" t="n">
        <v>0.53</v>
      </c>
      <c r="E340" s="18">
        <f>IF(D340="","",D340*'参数与说明'!$B$6/25.4012)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13150</v>
      </c>
      <c r="B341" s="13" t="n">
        <v>1936</v>
      </c>
      <c r="C341" s="13" t="n">
        <v>1</v>
      </c>
      <c r="D341" s="14" t="n">
        <v>0.535</v>
      </c>
      <c r="E341" s="14">
        <f>IF(D341="","",D341*'参数与说明'!$B$6/25.4012)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13181</v>
      </c>
      <c r="B342" s="17" t="n">
        <v>1936</v>
      </c>
      <c r="C342" s="17" t="n">
        <v>2</v>
      </c>
      <c r="D342" s="18" t="n">
        <v>0.555</v>
      </c>
      <c r="E342" s="18">
        <f>IF(D342="","",D342*'参数与说明'!$B$6/25.4012)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13210</v>
      </c>
      <c r="B343" s="13" t="n">
        <v>1936</v>
      </c>
      <c r="C343" s="13" t="n">
        <v>3</v>
      </c>
      <c r="D343" s="14" t="n">
        <v>0.5639999999999999</v>
      </c>
      <c r="E343" s="14">
        <f>IF(D343="","",D343*'参数与说明'!$B$6/25.4012)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13241</v>
      </c>
      <c r="B344" s="17" t="n">
        <v>1936</v>
      </c>
      <c r="C344" s="17" t="n">
        <v>4</v>
      </c>
      <c r="D344" s="18" t="n">
        <v>0.572</v>
      </c>
      <c r="E344" s="18">
        <f>IF(D344="","",D344*'参数与说明'!$B$6/25.4012)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13271</v>
      </c>
      <c r="B345" s="13" t="n">
        <v>1936</v>
      </c>
      <c r="C345" s="13" t="n">
        <v>5</v>
      </c>
      <c r="D345" s="14" t="n">
        <v>0.6</v>
      </c>
      <c r="E345" s="14">
        <f>IF(D345="","",D345*'参数与说明'!$B$6/25.4012)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13302</v>
      </c>
      <c r="B346" s="17" t="n">
        <v>1936</v>
      </c>
      <c r="C346" s="17" t="n">
        <v>6</v>
      </c>
      <c r="D346" s="18" t="n">
        <v>0.613</v>
      </c>
      <c r="E346" s="18">
        <f>IF(D346="","",D346*'参数与说明'!$B$6/25.4012)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13332</v>
      </c>
      <c r="B347" s="13" t="n">
        <v>1936</v>
      </c>
      <c r="C347" s="13" t="n">
        <v>7</v>
      </c>
      <c r="D347" s="14" t="n">
        <v>0.802</v>
      </c>
      <c r="E347" s="14">
        <f>IF(D347="","",D347*'参数与说明'!$B$6/25.4012)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13363</v>
      </c>
      <c r="B348" s="17" t="n">
        <v>1936</v>
      </c>
      <c r="C348" s="17" t="n">
        <v>8</v>
      </c>
      <c r="D348" s="18" t="n">
        <v>1.04</v>
      </c>
      <c r="E348" s="18">
        <f>IF(D348="","",D348*'参数与说明'!$B$6/25.4012)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13394</v>
      </c>
      <c r="B349" s="13" t="n">
        <v>1936</v>
      </c>
      <c r="C349" s="13" t="n">
        <v>9</v>
      </c>
      <c r="D349" s="14" t="n">
        <v>1.05</v>
      </c>
      <c r="E349" s="14">
        <f>IF(D349="","",D349*'参数与说明'!$B$6/25.4012)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13424</v>
      </c>
      <c r="B350" s="17" t="n">
        <v>1936</v>
      </c>
      <c r="C350" s="17" t="n">
        <v>10</v>
      </c>
      <c r="D350" s="18" t="n">
        <v>0.979</v>
      </c>
      <c r="E350" s="18">
        <f>IF(D350="","",D350*'参数与说明'!$B$6/25.4012)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13455</v>
      </c>
      <c r="B351" s="13" t="n">
        <v>1936</v>
      </c>
      <c r="C351" s="13" t="n">
        <v>11</v>
      </c>
      <c r="D351" s="14" t="n">
        <v>0.946</v>
      </c>
      <c r="E351" s="14">
        <f>IF(D351="","",D351*'参数与说明'!$B$6/25.4012)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13485</v>
      </c>
      <c r="B352" s="17" t="n">
        <v>1936</v>
      </c>
      <c r="C352" s="17" t="n">
        <v>12</v>
      </c>
      <c r="D352" s="18" t="n">
        <v>0.956</v>
      </c>
      <c r="E352" s="18">
        <f>IF(D352="","",D352*'参数与说明'!$B$6/25.4012)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13516</v>
      </c>
      <c r="B353" s="13" t="n">
        <v>1937</v>
      </c>
      <c r="C353" s="13" t="n">
        <v>1</v>
      </c>
      <c r="D353" s="14" t="n">
        <v>1.01</v>
      </c>
      <c r="E353" s="14">
        <f>IF(D353="","",D353*'参数与说明'!$B$6/25.4012)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13547</v>
      </c>
      <c r="B354" s="17" t="n">
        <v>1937</v>
      </c>
      <c r="C354" s="17" t="n">
        <v>2</v>
      </c>
      <c r="D354" s="18" t="n">
        <v>1.04</v>
      </c>
      <c r="E354" s="18">
        <f>IF(D354="","",D354*'参数与说明'!$B$6/25.4012)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13575</v>
      </c>
      <c r="B355" s="13" t="n">
        <v>1937</v>
      </c>
      <c r="C355" s="13" t="n">
        <v>3</v>
      </c>
      <c r="D355" s="14" t="n">
        <v>1.05</v>
      </c>
      <c r="E355" s="14">
        <f>IF(D355="","",D355*'参数与说明'!$B$6/25.4012)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13606</v>
      </c>
      <c r="B356" s="17" t="n">
        <v>1937</v>
      </c>
      <c r="C356" s="17" t="n">
        <v>4</v>
      </c>
      <c r="D356" s="18" t="n">
        <v>1.19</v>
      </c>
      <c r="E356" s="18">
        <f>IF(D356="","",D356*'参数与说明'!$B$6/25.4012)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13636</v>
      </c>
      <c r="B357" s="13" t="n">
        <v>1937</v>
      </c>
      <c r="C357" s="13" t="n">
        <v>5</v>
      </c>
      <c r="D357" s="14" t="n">
        <v>1.21</v>
      </c>
      <c r="E357" s="14">
        <f>IF(D357="","",D357*'参数与说明'!$B$6/25.4012)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13667</v>
      </c>
      <c r="B358" s="17" t="n">
        <v>1937</v>
      </c>
      <c r="C358" s="17" t="n">
        <v>6</v>
      </c>
      <c r="D358" s="18" t="n">
        <v>1.17</v>
      </c>
      <c r="E358" s="18">
        <f>IF(D358="","",D358*'参数与说明'!$B$6/25.4012)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13697</v>
      </c>
      <c r="B359" s="13" t="n">
        <v>1937</v>
      </c>
      <c r="C359" s="13" t="n">
        <v>7</v>
      </c>
      <c r="D359" s="14" t="n">
        <v>1.18</v>
      </c>
      <c r="E359" s="14">
        <f>IF(D359="","",D359*'参数与说明'!$B$6/25.4012)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13728</v>
      </c>
      <c r="B360" s="17" t="n">
        <v>1937</v>
      </c>
      <c r="C360" s="17" t="n">
        <v>8</v>
      </c>
      <c r="D360" s="18" t="n">
        <v>1.03</v>
      </c>
      <c r="E360" s="18">
        <f>IF(D360="","",D360*'参数与说明'!$B$6/25.4012)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13759</v>
      </c>
      <c r="B361" s="13" t="n">
        <v>1937</v>
      </c>
      <c r="C361" s="13" t="n">
        <v>9</v>
      </c>
      <c r="D361" s="14" t="n">
        <v>0.9389999999999999</v>
      </c>
      <c r="E361" s="14">
        <f>IF(D361="","",D361*'参数与说明'!$B$6/25.4012)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13789</v>
      </c>
      <c r="B362" s="17" t="n">
        <v>1937</v>
      </c>
      <c r="C362" s="17" t="n">
        <v>10</v>
      </c>
      <c r="D362" s="18" t="n">
        <v>0.589</v>
      </c>
      <c r="E362" s="18">
        <f>IF(D362="","",D362*'参数与说明'!$B$6/25.4012)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13820</v>
      </c>
      <c r="B363" s="13" t="n">
        <v>1937</v>
      </c>
      <c r="C363" s="13" t="n">
        <v>11</v>
      </c>
      <c r="D363" s="14" t="n">
        <v>0.48</v>
      </c>
      <c r="E363" s="14">
        <f>IF(D363="","",D363*'参数与说明'!$B$6/25.4012)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13850</v>
      </c>
      <c r="B364" s="17" t="n">
        <v>1937</v>
      </c>
      <c r="C364" s="17" t="n">
        <v>12</v>
      </c>
      <c r="D364" s="18" t="n">
        <v>0.485</v>
      </c>
      <c r="E364" s="18">
        <f>IF(D364="","",D364*'参数与说明'!$B$6/25.4012)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13881</v>
      </c>
      <c r="B365" s="13" t="n">
        <v>1938</v>
      </c>
      <c r="C365" s="13" t="n">
        <v>1</v>
      </c>
      <c r="D365" s="14" t="n">
        <v>0.522</v>
      </c>
      <c r="E365" s="14">
        <f>IF(D365="","",D365*'参数与说明'!$B$6/25.4012)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13912</v>
      </c>
      <c r="B366" s="17" t="n">
        <v>1938</v>
      </c>
      <c r="C366" s="17" t="n">
        <v>2</v>
      </c>
      <c r="D366" s="18" t="n">
        <v>0.517</v>
      </c>
      <c r="E366" s="18">
        <f>IF(D366="","",D366*'参数与说明'!$B$6/25.4012)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13940</v>
      </c>
      <c r="B367" s="13" t="n">
        <v>1938</v>
      </c>
      <c r="C367" s="13" t="n">
        <v>3</v>
      </c>
      <c r="D367" s="14" t="n">
        <v>0.513</v>
      </c>
      <c r="E367" s="14">
        <f>IF(D367="","",D367*'参数与说明'!$B$6/25.4012)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13971</v>
      </c>
      <c r="B368" s="17" t="n">
        <v>1938</v>
      </c>
      <c r="C368" s="17" t="n">
        <v>4</v>
      </c>
      <c r="D368" s="18" t="n">
        <v>0.527</v>
      </c>
      <c r="E368" s="18">
        <f>IF(D368="","",D368*'参数与说明'!$B$6/25.4012)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14001</v>
      </c>
      <c r="B369" s="13" t="n">
        <v>1938</v>
      </c>
      <c r="C369" s="13" t="n">
        <v>5</v>
      </c>
      <c r="D369" s="14" t="n">
        <v>0.527</v>
      </c>
      <c r="E369" s="14">
        <f>IF(D369="","",D369*'参数与说明'!$B$6/25.4012)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14032</v>
      </c>
      <c r="B370" s="17" t="n">
        <v>1938</v>
      </c>
      <c r="C370" s="17" t="n">
        <v>6</v>
      </c>
      <c r="D370" s="18" t="n">
        <v>0.523</v>
      </c>
      <c r="E370" s="18">
        <f>IF(D370="","",D370*'参数与说明'!$B$6/25.4012)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14062</v>
      </c>
      <c r="B371" s="13" t="n">
        <v>1938</v>
      </c>
      <c r="C371" s="13" t="n">
        <v>7</v>
      </c>
      <c r="D371" s="14" t="n">
        <v>0.537</v>
      </c>
      <c r="E371" s="14">
        <f>IF(D371="","",D371*'参数与说明'!$B$6/25.4012)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14093</v>
      </c>
      <c r="B372" s="17" t="n">
        <v>1938</v>
      </c>
      <c r="C372" s="17" t="n">
        <v>8</v>
      </c>
      <c r="D372" s="18" t="n">
        <v>0.485</v>
      </c>
      <c r="E372" s="18">
        <f>IF(D372="","",D372*'参数与说明'!$B$6/25.4012)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14124</v>
      </c>
      <c r="B373" s="13" t="n">
        <v>1938</v>
      </c>
      <c r="C373" s="13" t="n">
        <v>9</v>
      </c>
      <c r="D373" s="14" t="n">
        <v>0.48</v>
      </c>
      <c r="E373" s="14">
        <f>IF(D373="","",D373*'参数与说明'!$B$6/25.4012)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14154</v>
      </c>
      <c r="B374" s="17" t="n">
        <v>1938</v>
      </c>
      <c r="C374" s="17" t="n">
        <v>10</v>
      </c>
      <c r="D374" s="18" t="n">
        <v>0.419</v>
      </c>
      <c r="E374" s="18">
        <f>IF(D374="","",D374*'参数与说明'!$B$6/25.4012)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14185</v>
      </c>
      <c r="B375" s="13" t="n">
        <v>1938</v>
      </c>
      <c r="C375" s="13" t="n">
        <v>11</v>
      </c>
      <c r="D375" s="14" t="n">
        <v>0.4</v>
      </c>
      <c r="E375" s="14">
        <f>IF(D375="","",D375*'参数与说明'!$B$6/25.4012)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14215</v>
      </c>
      <c r="B376" s="17" t="n">
        <v>1938</v>
      </c>
      <c r="C376" s="17" t="n">
        <v>12</v>
      </c>
      <c r="D376" s="18" t="n">
        <v>0.431</v>
      </c>
      <c r="E376" s="18">
        <f>IF(D376="","",D376*'参数与说明'!$B$6/25.4012)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14246</v>
      </c>
      <c r="B377" s="13" t="n">
        <v>1939</v>
      </c>
      <c r="C377" s="13" t="n">
        <v>1</v>
      </c>
      <c r="D377" s="14" t="n">
        <v>0.451</v>
      </c>
      <c r="E377" s="14">
        <f>IF(D377="","",D377*'参数与说明'!$B$6/25.4012)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14277</v>
      </c>
      <c r="B378" s="17" t="n">
        <v>1939</v>
      </c>
      <c r="C378" s="17" t="n">
        <v>2</v>
      </c>
      <c r="D378" s="18" t="n">
        <v>0.439</v>
      </c>
      <c r="E378" s="18">
        <f>IF(D378="","",D378*'参数与说明'!$B$6/25.4012)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14305</v>
      </c>
      <c r="B379" s="13" t="n">
        <v>1939</v>
      </c>
      <c r="C379" s="13" t="n">
        <v>3</v>
      </c>
      <c r="D379" s="14" t="n">
        <v>0.444</v>
      </c>
      <c r="E379" s="14">
        <f>IF(D379="","",D379*'参数与说明'!$B$6/25.4012)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14336</v>
      </c>
      <c r="B380" s="17" t="n">
        <v>1939</v>
      </c>
      <c r="C380" s="17" t="n">
        <v>4</v>
      </c>
      <c r="D380" s="18" t="n">
        <v>0.454</v>
      </c>
      <c r="E380" s="18">
        <f>IF(D380="","",D380*'参数与说明'!$B$6/25.4012)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14366</v>
      </c>
      <c r="B381" s="13" t="n">
        <v>1939</v>
      </c>
      <c r="C381" s="13" t="n">
        <v>5</v>
      </c>
      <c r="D381" s="14" t="n">
        <v>0.483</v>
      </c>
      <c r="E381" s="14">
        <f>IF(D381="","",D381*'参数与说明'!$B$6/25.4012)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14397</v>
      </c>
      <c r="B382" s="17" t="n">
        <v>1939</v>
      </c>
      <c r="C382" s="17" t="n">
        <v>6</v>
      </c>
      <c r="D382" s="18" t="n">
        <v>0.499</v>
      </c>
      <c r="E382" s="18">
        <f>IF(D382="","",D382*'参数与说明'!$B$6/25.4012)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14427</v>
      </c>
      <c r="B383" s="13" t="n">
        <v>1939</v>
      </c>
      <c r="C383" s="13" t="n">
        <v>7</v>
      </c>
      <c r="D383" s="14" t="n">
        <v>0.478</v>
      </c>
      <c r="E383" s="14">
        <f>IF(D383="","",D383*'参数与说明'!$B$6/25.4012)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14458</v>
      </c>
      <c r="B384" s="17" t="n">
        <v>1939</v>
      </c>
      <c r="C384" s="17" t="n">
        <v>8</v>
      </c>
      <c r="D384" s="18" t="n">
        <v>0.457</v>
      </c>
      <c r="E384" s="18">
        <f>IF(D384="","",D384*'参数与说明'!$B$6/25.4012)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14489</v>
      </c>
      <c r="B385" s="13" t="n">
        <v>1939</v>
      </c>
      <c r="C385" s="13" t="n">
        <v>9</v>
      </c>
      <c r="D385" s="14" t="n">
        <v>0.5620000000000001</v>
      </c>
      <c r="E385" s="14">
        <f>IF(D385="","",D385*'参数与说明'!$B$6/25.4012)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14519</v>
      </c>
      <c r="B386" s="17" t="n">
        <v>1939</v>
      </c>
      <c r="C386" s="17" t="n">
        <v>10</v>
      </c>
      <c r="D386" s="18" t="n">
        <v>0.476</v>
      </c>
      <c r="E386" s="18">
        <f>IF(D386="","",D386*'参数与说明'!$B$6/25.4012)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14550</v>
      </c>
      <c r="B387" s="13" t="n">
        <v>1939</v>
      </c>
      <c r="C387" s="13" t="n">
        <v>11</v>
      </c>
      <c r="D387" s="14" t="n">
        <v>0.468</v>
      </c>
      <c r="E387" s="14">
        <f>IF(D387="","",D387*'参数与说明'!$B$6/25.4012)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14580</v>
      </c>
      <c r="B388" s="17" t="n">
        <v>1939</v>
      </c>
      <c r="C388" s="17" t="n">
        <v>12</v>
      </c>
      <c r="D388" s="18" t="n">
        <v>0.503</v>
      </c>
      <c r="E388" s="18">
        <f>IF(D388="","",D388*'参数与说明'!$B$6/25.4012)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14611</v>
      </c>
      <c r="B389" s="13" t="n">
        <v>1940</v>
      </c>
      <c r="C389" s="13" t="n">
        <v>1</v>
      </c>
      <c r="D389" s="14" t="n">
        <v>0.532</v>
      </c>
      <c r="E389" s="14">
        <f>IF(D389="","",D389*'参数与说明'!$B$6/25.4012)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14642</v>
      </c>
      <c r="B390" s="17" t="n">
        <v>1940</v>
      </c>
      <c r="C390" s="17" t="n">
        <v>2</v>
      </c>
      <c r="D390" s="18" t="n">
        <v>0.547</v>
      </c>
      <c r="E390" s="18">
        <f>IF(D390="","",D390*'参数与说明'!$B$6/25.4012)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14671</v>
      </c>
      <c r="B391" s="13" t="n">
        <v>1940</v>
      </c>
      <c r="C391" s="13" t="n">
        <v>3</v>
      </c>
      <c r="D391" s="14" t="n">
        <v>0.5600000000000001</v>
      </c>
      <c r="E391" s="14">
        <f>IF(D391="","",D391*'参数与说明'!$B$6/25.4012)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14702</v>
      </c>
      <c r="B392" s="17" t="n">
        <v>1940</v>
      </c>
      <c r="C392" s="17" t="n">
        <v>4</v>
      </c>
      <c r="D392" s="18" t="n">
        <v>0.586</v>
      </c>
      <c r="E392" s="18">
        <f>IF(D392="","",D392*'参数与说明'!$B$6/25.4012)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14732</v>
      </c>
      <c r="B393" s="13" t="n">
        <v>1940</v>
      </c>
      <c r="C393" s="13" t="n">
        <v>5</v>
      </c>
      <c r="D393" s="14" t="n">
        <v>0.634</v>
      </c>
      <c r="E393" s="14">
        <f>IF(D393="","",D393*'参数与说明'!$B$6/25.4012)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14763</v>
      </c>
      <c r="B394" s="17" t="n">
        <v>1940</v>
      </c>
      <c r="C394" s="17" t="n">
        <v>6</v>
      </c>
      <c r="D394" s="18" t="n">
        <v>0.635</v>
      </c>
      <c r="E394" s="18">
        <f>IF(D394="","",D394*'参数与说明'!$B$6/25.4012)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14793</v>
      </c>
      <c r="B395" s="13" t="n">
        <v>1940</v>
      </c>
      <c r="C395" s="13" t="n">
        <v>7</v>
      </c>
      <c r="D395" s="14" t="n">
        <v>0.631</v>
      </c>
      <c r="E395" s="14">
        <f>IF(D395="","",D395*'参数与说明'!$B$6/25.4012)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14824</v>
      </c>
      <c r="B396" s="17" t="n">
        <v>1940</v>
      </c>
      <c r="C396" s="17" t="n">
        <v>8</v>
      </c>
      <c r="D396" s="18" t="n">
        <v>0.631</v>
      </c>
      <c r="E396" s="18">
        <f>IF(D396="","",D396*'参数与说明'!$B$6/25.4012)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14855</v>
      </c>
      <c r="B397" s="13" t="n">
        <v>1940</v>
      </c>
      <c r="C397" s="13" t="n">
        <v>9</v>
      </c>
      <c r="D397" s="14" t="n">
        <v>0.619</v>
      </c>
      <c r="E397" s="14">
        <f>IF(D397="","",D397*'参数与说明'!$B$6/25.4012)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14885</v>
      </c>
      <c r="B398" s="17" t="n">
        <v>1940</v>
      </c>
      <c r="C398" s="17" t="n">
        <v>10</v>
      </c>
      <c r="D398" s="18" t="n">
        <v>0.594</v>
      </c>
      <c r="E398" s="18">
        <f>IF(D398="","",D398*'参数与说明'!$B$6/25.4012)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14916</v>
      </c>
      <c r="B399" s="13" t="n">
        <v>1940</v>
      </c>
      <c r="C399" s="13" t="n">
        <v>11</v>
      </c>
      <c r="D399" s="14" t="n">
        <v>0.5679999999999999</v>
      </c>
      <c r="E399" s="14">
        <f>IF(D399="","",D399*'参数与说明'!$B$6/25.4012)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14946</v>
      </c>
      <c r="B400" s="17" t="n">
        <v>1940</v>
      </c>
      <c r="C400" s="17" t="n">
        <v>12</v>
      </c>
      <c r="D400" s="18" t="n">
        <v>0.545</v>
      </c>
      <c r="E400" s="18">
        <f>IF(D400="","",D400*'参数与说明'!$B$6/25.4012)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14977</v>
      </c>
      <c r="B401" s="13" t="n">
        <v>1941</v>
      </c>
      <c r="C401" s="13" t="n">
        <v>1</v>
      </c>
      <c r="D401" s="14" t="n">
        <v>0.5600000000000001</v>
      </c>
      <c r="E401" s="14">
        <f>IF(D401="","",D401*'参数与说明'!$B$6/25.4012)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15008</v>
      </c>
      <c r="B402" s="17" t="n">
        <v>1941</v>
      </c>
      <c r="C402" s="17" t="n">
        <v>2</v>
      </c>
      <c r="D402" s="18" t="n">
        <v>0.5600000000000001</v>
      </c>
      <c r="E402" s="18">
        <f>IF(D402="","",D402*'参数与说明'!$B$6/25.4012)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15036</v>
      </c>
      <c r="B403" s="13" t="n">
        <v>1941</v>
      </c>
      <c r="C403" s="13" t="n">
        <v>3</v>
      </c>
      <c r="D403" s="14" t="n">
        <v>0.571</v>
      </c>
      <c r="E403" s="14">
        <f>IF(D403="","",D403*'参数与说明'!$B$6/25.4012)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15067</v>
      </c>
      <c r="B404" s="17" t="n">
        <v>1941</v>
      </c>
      <c r="C404" s="17" t="n">
        <v>4</v>
      </c>
      <c r="D404" s="18" t="n">
        <v>0.62</v>
      </c>
      <c r="E404" s="18">
        <f>IF(D404="","",D404*'参数与说明'!$B$6/25.4012)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15097</v>
      </c>
      <c r="B405" s="13" t="n">
        <v>1941</v>
      </c>
      <c r="C405" s="13" t="n">
        <v>5</v>
      </c>
      <c r="D405" s="14" t="n">
        <v>0.659</v>
      </c>
      <c r="E405" s="14">
        <f>IF(D405="","",D405*'参数与说明'!$B$6/25.4012)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15128</v>
      </c>
      <c r="B406" s="17" t="n">
        <v>1941</v>
      </c>
      <c r="C406" s="17" t="n">
        <v>6</v>
      </c>
      <c r="D406" s="18" t="n">
        <v>0.6830000000000001</v>
      </c>
      <c r="E406" s="18">
        <f>IF(D406="","",D406*'参数与说明'!$B$6/25.4012)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15158</v>
      </c>
      <c r="B407" s="13" t="n">
        <v>1941</v>
      </c>
      <c r="C407" s="13" t="n">
        <v>7</v>
      </c>
      <c r="D407" s="14" t="n">
        <v>0.696</v>
      </c>
      <c r="E407" s="14">
        <f>IF(D407="","",D407*'参数与说明'!$B$6/25.4012)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15189</v>
      </c>
      <c r="B408" s="17" t="n">
        <v>1941</v>
      </c>
      <c r="C408" s="17" t="n">
        <v>8</v>
      </c>
      <c r="D408" s="18" t="n">
        <v>0.7</v>
      </c>
      <c r="E408" s="18">
        <f>IF(D408="","",D408*'参数与说明'!$B$6/25.4012)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15220</v>
      </c>
      <c r="B409" s="13" t="n">
        <v>1941</v>
      </c>
      <c r="C409" s="13" t="n">
        <v>9</v>
      </c>
      <c r="D409" s="14" t="n">
        <v>0.708</v>
      </c>
      <c r="E409" s="14">
        <f>IF(D409="","",D409*'参数与说明'!$B$6/25.4012)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15250</v>
      </c>
      <c r="B410" s="17" t="n">
        <v>1941</v>
      </c>
      <c r="C410" s="17" t="n">
        <v>10</v>
      </c>
      <c r="D410" s="18" t="n">
        <v>0.649</v>
      </c>
      <c r="E410" s="18">
        <f>IF(D410="","",D410*'参数与说明'!$B$6/25.4012)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15281</v>
      </c>
      <c r="B411" s="13" t="n">
        <v>1941</v>
      </c>
      <c r="C411" s="13" t="n">
        <v>11</v>
      </c>
      <c r="D411" s="14" t="n">
        <v>0.637</v>
      </c>
      <c r="E411" s="14">
        <f>IF(D411="","",D411*'参数与说明'!$B$6/25.4012)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15311</v>
      </c>
      <c r="B412" s="17" t="n">
        <v>1941</v>
      </c>
      <c r="C412" s="17" t="n">
        <v>12</v>
      </c>
      <c r="D412" s="18" t="n">
        <v>0.669</v>
      </c>
      <c r="E412" s="18">
        <f>IF(D412="","",D412*'参数与说明'!$B$6/25.4012)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15342</v>
      </c>
      <c r="B413" s="13" t="n">
        <v>1942</v>
      </c>
      <c r="C413" s="13" t="n">
        <v>1</v>
      </c>
      <c r="D413" s="14" t="n">
        <v>0.727</v>
      </c>
      <c r="E413" s="14">
        <f>IF(D413="","",D413*'参数与说明'!$B$6/25.4012)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15373</v>
      </c>
      <c r="B414" s="17" t="n">
        <v>1942</v>
      </c>
      <c r="C414" s="17" t="n">
        <v>2</v>
      </c>
      <c r="D414" s="18" t="n">
        <v>0.766</v>
      </c>
      <c r="E414" s="18">
        <f>IF(D414="","",D414*'参数与说明'!$B$6/25.4012)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15401</v>
      </c>
      <c r="B415" s="13" t="n">
        <v>1942</v>
      </c>
      <c r="C415" s="13" t="n">
        <v>3</v>
      </c>
      <c r="D415" s="14" t="n">
        <v>0.784</v>
      </c>
      <c r="E415" s="14">
        <f>IF(D415="","",D415*'参数与说明'!$B$6/25.4012)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15432</v>
      </c>
      <c r="B416" s="17" t="n">
        <v>1942</v>
      </c>
      <c r="C416" s="17" t="n">
        <v>4</v>
      </c>
      <c r="D416" s="18" t="n">
        <v>0.797</v>
      </c>
      <c r="E416" s="18">
        <f>IF(D416="","",D416*'参数与说明'!$B$6/25.4012)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15462</v>
      </c>
      <c r="B417" s="13" t="n">
        <v>1942</v>
      </c>
      <c r="C417" s="13" t="n">
        <v>5</v>
      </c>
      <c r="D417" s="14" t="n">
        <v>0.8139999999999999</v>
      </c>
      <c r="E417" s="14">
        <f>IF(D417="","",D417*'参数与说明'!$B$6/25.4012)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15493</v>
      </c>
      <c r="B418" s="17" t="n">
        <v>1942</v>
      </c>
      <c r="C418" s="17" t="n">
        <v>6</v>
      </c>
      <c r="D418" s="18" t="n">
        <v>0.819</v>
      </c>
      <c r="E418" s="18">
        <f>IF(D418="","",D418*'参数与说明'!$B$6/25.4012)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15523</v>
      </c>
      <c r="B419" s="13" t="n">
        <v>1942</v>
      </c>
      <c r="C419" s="13" t="n">
        <v>7</v>
      </c>
      <c r="D419" s="14" t="n">
        <v>0.831</v>
      </c>
      <c r="E419" s="14">
        <f>IF(D419="","",D419*'参数与说明'!$B$6/25.4012)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15554</v>
      </c>
      <c r="B420" s="17" t="n">
        <v>1942</v>
      </c>
      <c r="C420" s="17" t="n">
        <v>8</v>
      </c>
      <c r="D420" s="18" t="n">
        <v>0.834</v>
      </c>
      <c r="E420" s="18">
        <f>IF(D420="","",D420*'参数与说明'!$B$6/25.4012)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15585</v>
      </c>
      <c r="B421" s="13" t="n">
        <v>1942</v>
      </c>
      <c r="C421" s="13" t="n">
        <v>9</v>
      </c>
      <c r="D421" s="14" t="n">
        <v>0.826</v>
      </c>
      <c r="E421" s="14">
        <f>IF(D421="","",D421*'参数与说明'!$B$6/25.4012)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15615</v>
      </c>
      <c r="B422" s="17" t="n">
        <v>1942</v>
      </c>
      <c r="C422" s="17" t="n">
        <v>10</v>
      </c>
      <c r="D422" s="18" t="n">
        <v>0.775</v>
      </c>
      <c r="E422" s="18">
        <f>IF(D422="","",D422*'参数与说明'!$B$6/25.4012)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15646</v>
      </c>
      <c r="B423" s="13" t="n">
        <v>1942</v>
      </c>
      <c r="C423" s="13" t="n">
        <v>11</v>
      </c>
      <c r="D423" s="14" t="n">
        <v>0.759</v>
      </c>
      <c r="E423" s="14">
        <f>IF(D423="","",D423*'参数与说明'!$B$6/25.4012)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15676</v>
      </c>
      <c r="B424" s="17" t="n">
        <v>1942</v>
      </c>
      <c r="C424" s="17" t="n">
        <v>12</v>
      </c>
      <c r="D424" s="18" t="n">
        <v>0.802</v>
      </c>
      <c r="E424" s="18">
        <f>IF(D424="","",D424*'参数与说明'!$B$6/25.4012)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15707</v>
      </c>
      <c r="B425" s="13" t="n">
        <v>1943</v>
      </c>
      <c r="C425" s="13" t="n">
        <v>1</v>
      </c>
      <c r="D425" s="14" t="n">
        <v>0.88</v>
      </c>
      <c r="E425" s="14">
        <f>IF(D425="","",D425*'参数与说明'!$B$6/25.4012)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15738</v>
      </c>
      <c r="B426" s="17" t="n">
        <v>1943</v>
      </c>
      <c r="C426" s="17" t="n">
        <v>2</v>
      </c>
      <c r="D426" s="18" t="n">
        <v>0.904</v>
      </c>
      <c r="E426" s="18">
        <f>IF(D426="","",D426*'参数与说明'!$B$6/25.4012)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15766</v>
      </c>
      <c r="B427" s="13" t="n">
        <v>1943</v>
      </c>
      <c r="C427" s="13" t="n">
        <v>3</v>
      </c>
      <c r="D427" s="14" t="n">
        <v>0.948</v>
      </c>
      <c r="E427" s="14">
        <f>IF(D427="","",D427*'参数与说明'!$B$6/25.4012)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15797</v>
      </c>
      <c r="B428" s="17" t="n">
        <v>1943</v>
      </c>
      <c r="C428" s="17" t="n">
        <v>4</v>
      </c>
      <c r="D428" s="18" t="n">
        <v>1</v>
      </c>
      <c r="E428" s="18">
        <f>IF(D428="","",D428*'参数与说明'!$B$6/25.4012)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15827</v>
      </c>
      <c r="B429" s="13" t="n">
        <v>1943</v>
      </c>
      <c r="C429" s="13" t="n">
        <v>5</v>
      </c>
      <c r="D429" s="14" t="n">
        <v>1.03</v>
      </c>
      <c r="E429" s="14">
        <f>IF(D429="","",D429*'参数与说明'!$B$6/25.4012)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15858</v>
      </c>
      <c r="B430" s="17" t="n">
        <v>1943</v>
      </c>
      <c r="C430" s="17" t="n">
        <v>6</v>
      </c>
      <c r="D430" s="18" t="n">
        <v>1.06</v>
      </c>
      <c r="E430" s="18">
        <f>IF(D430="","",D430*'参数与说明'!$B$6/25.4012)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15888</v>
      </c>
      <c r="B431" s="13" t="n">
        <v>1943</v>
      </c>
      <c r="C431" s="13" t="n">
        <v>7</v>
      </c>
      <c r="D431" s="14" t="n">
        <v>1.08</v>
      </c>
      <c r="E431" s="14">
        <f>IF(D431="","",D431*'参数与说明'!$B$6/25.4012)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15919</v>
      </c>
      <c r="B432" s="17" t="n">
        <v>1943</v>
      </c>
      <c r="C432" s="17" t="n">
        <v>8</v>
      </c>
      <c r="D432" s="18" t="n">
        <v>1.09</v>
      </c>
      <c r="E432" s="18">
        <f>IF(D432="","",D432*'参数与说明'!$B$6/25.4012)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15950</v>
      </c>
      <c r="B433" s="13" t="n">
        <v>1943</v>
      </c>
      <c r="C433" s="13" t="n">
        <v>9</v>
      </c>
      <c r="D433" s="14" t="n">
        <v>1.09</v>
      </c>
      <c r="E433" s="14">
        <f>IF(D433="","",D433*'参数与说明'!$B$6/25.4012)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15980</v>
      </c>
      <c r="B434" s="17" t="n">
        <v>1943</v>
      </c>
      <c r="C434" s="17" t="n">
        <v>10</v>
      </c>
      <c r="D434" s="18" t="n">
        <v>1.07</v>
      </c>
      <c r="E434" s="18">
        <f>IF(D434="","",D434*'参数与说明'!$B$6/25.4012)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16011</v>
      </c>
      <c r="B435" s="13" t="n">
        <v>1943</v>
      </c>
      <c r="C435" s="13" t="n">
        <v>11</v>
      </c>
      <c r="D435" s="14" t="n">
        <v>1.05</v>
      </c>
      <c r="E435" s="14">
        <f>IF(D435="","",D435*'参数与说明'!$B$6/25.4012)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16041</v>
      </c>
      <c r="B436" s="17" t="n">
        <v>1943</v>
      </c>
      <c r="C436" s="17" t="n">
        <v>12</v>
      </c>
      <c r="D436" s="18" t="n">
        <v>1.11</v>
      </c>
      <c r="E436" s="18">
        <f>IF(D436="","",D436*'参数与说明'!$B$6/25.4012)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16072</v>
      </c>
      <c r="B437" s="13" t="n">
        <v>1944</v>
      </c>
      <c r="C437" s="13" t="n">
        <v>1</v>
      </c>
      <c r="D437" s="14" t="n">
        <v>1.13</v>
      </c>
      <c r="E437" s="14">
        <f>IF(D437="","",D437*'参数与说明'!$B$6/25.4012)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16103</v>
      </c>
      <c r="B438" s="17" t="n">
        <v>1944</v>
      </c>
      <c r="C438" s="17" t="n">
        <v>2</v>
      </c>
      <c r="D438" s="18" t="n">
        <v>1.13</v>
      </c>
      <c r="E438" s="18">
        <f>IF(D438="","",D438*'参数与说明'!$B$6/25.4012)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16132</v>
      </c>
      <c r="B439" s="13" t="n">
        <v>1944</v>
      </c>
      <c r="C439" s="13" t="n">
        <v>3</v>
      </c>
      <c r="D439" s="14" t="n">
        <v>1.14</v>
      </c>
      <c r="E439" s="14">
        <f>IF(D439="","",D439*'参数与说明'!$B$6/25.4012)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16163</v>
      </c>
      <c r="B440" s="17" t="n">
        <v>1944</v>
      </c>
      <c r="C440" s="17" t="n">
        <v>4</v>
      </c>
      <c r="D440" s="18" t="n">
        <v>1.15</v>
      </c>
      <c r="E440" s="18">
        <f>IF(D440="","",D440*'参数与说明'!$B$6/25.4012)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16193</v>
      </c>
      <c r="B441" s="13" t="n">
        <v>1944</v>
      </c>
      <c r="C441" s="13" t="n">
        <v>5</v>
      </c>
      <c r="D441" s="14" t="n">
        <v>1.15</v>
      </c>
      <c r="E441" s="14">
        <f>IF(D441="","",D441*'参数与说明'!$B$6/25.4012)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16224</v>
      </c>
      <c r="B442" s="17" t="n">
        <v>1944</v>
      </c>
      <c r="C442" s="17" t="n">
        <v>6</v>
      </c>
      <c r="D442" s="18" t="n">
        <v>1.15</v>
      </c>
      <c r="E442" s="18">
        <f>IF(D442="","",D442*'参数与说明'!$B$6/25.4012)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16254</v>
      </c>
      <c r="B443" s="13" t="n">
        <v>1944</v>
      </c>
      <c r="C443" s="13" t="n">
        <v>7</v>
      </c>
      <c r="D443" s="14" t="n">
        <v>1.17</v>
      </c>
      <c r="E443" s="14">
        <f>IF(D443="","",D443*'参数与说明'!$B$6/25.4012)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16285</v>
      </c>
      <c r="B444" s="17" t="n">
        <v>1944</v>
      </c>
      <c r="C444" s="17" t="n">
        <v>8</v>
      </c>
      <c r="D444" s="18" t="n">
        <v>1.17</v>
      </c>
      <c r="E444" s="18">
        <f>IF(D444="","",D444*'参数与说明'!$B$6/25.4012)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16316</v>
      </c>
      <c r="B445" s="13" t="n">
        <v>1944</v>
      </c>
      <c r="C445" s="13" t="n">
        <v>9</v>
      </c>
      <c r="D445" s="14" t="n">
        <v>1.16</v>
      </c>
      <c r="E445" s="14">
        <f>IF(D445="","",D445*'参数与说明'!$B$6/25.4012)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16346</v>
      </c>
      <c r="B446" s="17" t="n">
        <v>1944</v>
      </c>
      <c r="C446" s="17" t="n">
        <v>10</v>
      </c>
      <c r="D446" s="18" t="n">
        <v>1.13</v>
      </c>
      <c r="E446" s="18">
        <f>IF(D446="","",D446*'参数与说明'!$B$6/25.4012)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16377</v>
      </c>
      <c r="B447" s="13" t="n">
        <v>1944</v>
      </c>
      <c r="C447" s="13" t="n">
        <v>11</v>
      </c>
      <c r="D447" s="14" t="n">
        <v>1.06</v>
      </c>
      <c r="E447" s="14">
        <f>IF(D447="","",D447*'参数与说明'!$B$6/25.4012)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16407</v>
      </c>
      <c r="B448" s="17" t="n">
        <v>1944</v>
      </c>
      <c r="C448" s="17" t="n">
        <v>12</v>
      </c>
      <c r="D448" s="18" t="n">
        <v>1.06</v>
      </c>
      <c r="E448" s="18">
        <f>IF(D448="","",D448*'参数与说明'!$B$6/25.4012)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16438</v>
      </c>
      <c r="B449" s="13" t="n">
        <v>1945</v>
      </c>
      <c r="C449" s="13" t="n">
        <v>1</v>
      </c>
      <c r="D449" s="14" t="n">
        <v>1.07</v>
      </c>
      <c r="E449" s="14">
        <f>IF(D449="","",D449*'参数与说明'!$B$6/25.4012)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16469</v>
      </c>
      <c r="B450" s="17" t="n">
        <v>1945</v>
      </c>
      <c r="C450" s="17" t="n">
        <v>2</v>
      </c>
      <c r="D450" s="18" t="n">
        <v>1.06</v>
      </c>
      <c r="E450" s="18">
        <f>IF(D450="","",D450*'参数与说明'!$B$6/25.4012)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16497</v>
      </c>
      <c r="B451" s="13" t="n">
        <v>1945</v>
      </c>
      <c r="C451" s="13" t="n">
        <v>3</v>
      </c>
      <c r="D451" s="14" t="n">
        <v>1.07</v>
      </c>
      <c r="E451" s="14">
        <f>IF(D451="","",D451*'参数与说明'!$B$6/25.4012)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16528</v>
      </c>
      <c r="B452" s="17" t="n">
        <v>1945</v>
      </c>
      <c r="C452" s="17" t="n">
        <v>4</v>
      </c>
      <c r="D452" s="18" t="n">
        <v>1.07</v>
      </c>
      <c r="E452" s="18">
        <f>IF(D452="","",D452*'参数与说明'!$B$6/25.4012)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16558</v>
      </c>
      <c r="B453" s="13" t="n">
        <v>1945</v>
      </c>
      <c r="C453" s="13" t="n">
        <v>5</v>
      </c>
      <c r="D453" s="14" t="n">
        <v>1.08</v>
      </c>
      <c r="E453" s="14">
        <f>IF(D453="","",D453*'参数与说明'!$B$6/25.4012)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16589</v>
      </c>
      <c r="B454" s="17" t="n">
        <v>1945</v>
      </c>
      <c r="C454" s="17" t="n">
        <v>6</v>
      </c>
      <c r="D454" s="18" t="n">
        <v>1.11</v>
      </c>
      <c r="E454" s="18">
        <f>IF(D454="","",D454*'参数与说明'!$B$6/25.4012)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16619</v>
      </c>
      <c r="B455" s="13" t="n">
        <v>1945</v>
      </c>
      <c r="C455" s="13" t="n">
        <v>7</v>
      </c>
      <c r="D455" s="14" t="n">
        <v>1.12</v>
      </c>
      <c r="E455" s="14">
        <f>IF(D455="","",D455*'参数与说明'!$B$6/25.4012)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16650</v>
      </c>
      <c r="B456" s="17" t="n">
        <v>1945</v>
      </c>
      <c r="C456" s="17" t="n">
        <v>8</v>
      </c>
      <c r="D456" s="18" t="n">
        <v>1.13</v>
      </c>
      <c r="E456" s="18">
        <f>IF(D456="","",D456*'参数与说明'!$B$6/25.4012)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16681</v>
      </c>
      <c r="B457" s="13" t="n">
        <v>1945</v>
      </c>
      <c r="C457" s="13" t="n">
        <v>9</v>
      </c>
      <c r="D457" s="14" t="n">
        <v>1.12</v>
      </c>
      <c r="E457" s="14">
        <f>IF(D457="","",D457*'参数与说明'!$B$6/25.4012)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16711</v>
      </c>
      <c r="B458" s="17" t="n">
        <v>1945</v>
      </c>
      <c r="C458" s="17" t="n">
        <v>10</v>
      </c>
      <c r="D458" s="18" t="n">
        <v>1.13</v>
      </c>
      <c r="E458" s="18">
        <f>IF(D458="","",D458*'参数与说明'!$B$6/25.4012)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16742</v>
      </c>
      <c r="B459" s="13" t="n">
        <v>1945</v>
      </c>
      <c r="C459" s="13" t="n">
        <v>11</v>
      </c>
      <c r="D459" s="14" t="n">
        <v>1.11</v>
      </c>
      <c r="E459" s="14">
        <f>IF(D459="","",D459*'参数与说明'!$B$6/25.4012)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16772</v>
      </c>
      <c r="B460" s="17" t="n">
        <v>1945</v>
      </c>
      <c r="C460" s="17" t="n">
        <v>12</v>
      </c>
      <c r="D460" s="18" t="n">
        <v>1.09</v>
      </c>
      <c r="E460" s="18">
        <f>IF(D460="","",D460*'参数与说明'!$B$6/25.4012)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16803</v>
      </c>
      <c r="B461" s="13" t="n">
        <v>1946</v>
      </c>
      <c r="C461" s="13" t="n">
        <v>1</v>
      </c>
      <c r="D461" s="14" t="n">
        <v>1.1</v>
      </c>
      <c r="E461" s="14">
        <f>IF(D461="","",D461*'参数与说明'!$B$6/25.4012)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16834</v>
      </c>
      <c r="B462" s="17" t="n">
        <v>1946</v>
      </c>
      <c r="C462" s="17" t="n">
        <v>2</v>
      </c>
      <c r="D462" s="18" t="n">
        <v>1.11</v>
      </c>
      <c r="E462" s="18">
        <f>IF(D462="","",D462*'参数与说明'!$B$6/25.4012)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16862</v>
      </c>
      <c r="B463" s="13" t="n">
        <v>1946</v>
      </c>
      <c r="C463" s="13" t="n">
        <v>3</v>
      </c>
      <c r="D463" s="14" t="n">
        <v>1.14</v>
      </c>
      <c r="E463" s="14">
        <f>IF(D463="","",D463*'参数与说明'!$B$6/25.4012)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16893</v>
      </c>
      <c r="B464" s="17" t="n">
        <v>1946</v>
      </c>
      <c r="C464" s="17" t="n">
        <v>4</v>
      </c>
      <c r="D464" s="18" t="n">
        <v>1.16</v>
      </c>
      <c r="E464" s="18">
        <f>IF(D464="","",D464*'参数与说明'!$B$6/25.4012)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16923</v>
      </c>
      <c r="B465" s="13" t="n">
        <v>1946</v>
      </c>
      <c r="C465" s="13" t="n">
        <v>5</v>
      </c>
      <c r="D465" s="14" t="n">
        <v>1.35</v>
      </c>
      <c r="E465" s="14">
        <f>IF(D465="","",D465*'参数与说明'!$B$6/25.4012)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16954</v>
      </c>
      <c r="B466" s="17" t="n">
        <v>1946</v>
      </c>
      <c r="C466" s="17" t="n">
        <v>6</v>
      </c>
      <c r="D466" s="18" t="n">
        <v>1.42</v>
      </c>
      <c r="E466" s="18">
        <f>IF(D466="","",D466*'参数与说明'!$B$6/25.4012)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16984</v>
      </c>
      <c r="B467" s="13" t="n">
        <v>1946</v>
      </c>
      <c r="C467" s="13" t="n">
        <v>7</v>
      </c>
      <c r="D467" s="14" t="n">
        <v>1.96</v>
      </c>
      <c r="E467" s="14">
        <f>IF(D467="","",D467*'参数与说明'!$B$6/25.4012)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17015</v>
      </c>
      <c r="B468" s="17" t="n">
        <v>1946</v>
      </c>
      <c r="C468" s="17" t="n">
        <v>8</v>
      </c>
      <c r="D468" s="18" t="n">
        <v>1.8</v>
      </c>
      <c r="E468" s="18">
        <f>IF(D468="","",D468*'参数与说明'!$B$6/25.4012)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17046</v>
      </c>
      <c r="B469" s="13" t="n">
        <v>1946</v>
      </c>
      <c r="C469" s="13" t="n">
        <v>9</v>
      </c>
      <c r="D469" s="14" t="n">
        <v>1.73</v>
      </c>
      <c r="E469" s="14">
        <f>IF(D469="","",D469*'参数与说明'!$B$6/25.4012)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17076</v>
      </c>
      <c r="B470" s="17" t="n">
        <v>1946</v>
      </c>
      <c r="C470" s="17" t="n">
        <v>10</v>
      </c>
      <c r="D470" s="18" t="n">
        <v>1.69</v>
      </c>
      <c r="E470" s="18">
        <f>IF(D470="","",D470*'参数与说明'!$B$6/25.4012)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17107</v>
      </c>
      <c r="B471" s="13" t="n">
        <v>1946</v>
      </c>
      <c r="C471" s="13" t="n">
        <v>11</v>
      </c>
      <c r="D471" s="14" t="n">
        <v>1.27</v>
      </c>
      <c r="E471" s="14">
        <f>IF(D471="","",D471*'参数与说明'!$B$6/25.4012)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17137</v>
      </c>
      <c r="B472" s="17" t="n">
        <v>1946</v>
      </c>
      <c r="C472" s="17" t="n">
        <v>12</v>
      </c>
      <c r="D472" s="18" t="n">
        <v>1.22</v>
      </c>
      <c r="E472" s="18">
        <f>IF(D472="","",D472*'参数与说明'!$B$6/25.4012)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17168</v>
      </c>
      <c r="B473" s="13" t="n">
        <v>1947</v>
      </c>
      <c r="C473" s="13" t="n">
        <v>1</v>
      </c>
      <c r="D473" s="14" t="n">
        <v>1.21</v>
      </c>
      <c r="E473" s="14">
        <f>IF(D473="","",D473*'参数与说明'!$B$6/25.4012)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17199</v>
      </c>
      <c r="B474" s="17" t="n">
        <v>1947</v>
      </c>
      <c r="C474" s="17" t="n">
        <v>2</v>
      </c>
      <c r="D474" s="18" t="n">
        <v>1.23</v>
      </c>
      <c r="E474" s="18">
        <f>IF(D474="","",D474*'参数与说明'!$B$6/25.4012)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17227</v>
      </c>
      <c r="B475" s="13" t="n">
        <v>1947</v>
      </c>
      <c r="C475" s="13" t="n">
        <v>3</v>
      </c>
      <c r="D475" s="14" t="n">
        <v>1.5</v>
      </c>
      <c r="E475" s="14">
        <f>IF(D475="","",D475*'参数与说明'!$B$6/25.4012)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17258</v>
      </c>
      <c r="B476" s="17" t="n">
        <v>1947</v>
      </c>
      <c r="C476" s="17" t="n">
        <v>4</v>
      </c>
      <c r="D476" s="18" t="n">
        <v>1.63</v>
      </c>
      <c r="E476" s="18">
        <f>IF(D476="","",D476*'参数与说明'!$B$6/25.4012)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17288</v>
      </c>
      <c r="B477" s="13" t="n">
        <v>1947</v>
      </c>
      <c r="C477" s="13" t="n">
        <v>5</v>
      </c>
      <c r="D477" s="14" t="n">
        <v>1.59</v>
      </c>
      <c r="E477" s="14">
        <f>IF(D477="","",D477*'参数与说明'!$B$6/25.4012)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17319</v>
      </c>
      <c r="B478" s="17" t="n">
        <v>1947</v>
      </c>
      <c r="C478" s="17" t="n">
        <v>6</v>
      </c>
      <c r="D478" s="18" t="n">
        <v>1.85</v>
      </c>
      <c r="E478" s="18">
        <f>IF(D478="","",D478*'参数与说明'!$B$6/25.4012)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17349</v>
      </c>
      <c r="B479" s="13" t="n">
        <v>1947</v>
      </c>
      <c r="C479" s="13" t="n">
        <v>7</v>
      </c>
      <c r="D479" s="14" t="n">
        <v>2.01</v>
      </c>
      <c r="E479" s="14">
        <f>IF(D479="","",D479*'参数与说明'!$B$6/25.4012)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17380</v>
      </c>
      <c r="B480" s="17" t="n">
        <v>1947</v>
      </c>
      <c r="C480" s="17" t="n">
        <v>8</v>
      </c>
      <c r="D480" s="18" t="n">
        <v>2.19</v>
      </c>
      <c r="E480" s="18">
        <f>IF(D480="","",D480*'参数与说明'!$B$6/25.4012)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17411</v>
      </c>
      <c r="B481" s="13" t="n">
        <v>1947</v>
      </c>
      <c r="C481" s="13" t="n">
        <v>9</v>
      </c>
      <c r="D481" s="14" t="n">
        <v>2.4</v>
      </c>
      <c r="E481" s="14">
        <f>IF(D481="","",D481*'参数与说明'!$B$6/25.4012)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17441</v>
      </c>
      <c r="B482" s="17" t="n">
        <v>1947</v>
      </c>
      <c r="C482" s="17" t="n">
        <v>10</v>
      </c>
      <c r="D482" s="18" t="n">
        <v>2.23</v>
      </c>
      <c r="E482" s="18">
        <f>IF(D482="","",D482*'参数与说明'!$B$6/25.4012)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17472</v>
      </c>
      <c r="B483" s="13" t="n">
        <v>1947</v>
      </c>
      <c r="C483" s="13" t="n">
        <v>11</v>
      </c>
      <c r="D483" s="14" t="n">
        <v>2.19</v>
      </c>
      <c r="E483" s="14">
        <f>IF(D483="","",D483*'参数与说明'!$B$6/25.4012)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17502</v>
      </c>
      <c r="B484" s="17" t="n">
        <v>1947</v>
      </c>
      <c r="C484" s="17" t="n">
        <v>12</v>
      </c>
      <c r="D484" s="18" t="n">
        <v>2.37</v>
      </c>
      <c r="E484" s="18">
        <f>IF(D484="","",D484*'参数与说明'!$B$6/25.4012)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17533</v>
      </c>
      <c r="B485" s="13" t="n">
        <v>1948</v>
      </c>
      <c r="C485" s="13" t="n">
        <v>1</v>
      </c>
      <c r="D485" s="14" t="n">
        <v>2.46</v>
      </c>
      <c r="E485" s="14">
        <f>IF(D485="","",D485*'参数与说明'!$B$6/25.4012)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17564</v>
      </c>
      <c r="B486" s="17" t="n">
        <v>1948</v>
      </c>
      <c r="C486" s="17" t="n">
        <v>2</v>
      </c>
      <c r="D486" s="18" t="n">
        <v>1.92</v>
      </c>
      <c r="E486" s="18">
        <f>IF(D486="","",D486*'参数与说明'!$B$6/25.4012)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17593</v>
      </c>
      <c r="B487" s="13" t="n">
        <v>1948</v>
      </c>
      <c r="C487" s="13" t="n">
        <v>3</v>
      </c>
      <c r="D487" s="14" t="n">
        <v>2.11</v>
      </c>
      <c r="E487" s="14">
        <f>IF(D487="","",D487*'参数与说明'!$B$6/25.4012)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17624</v>
      </c>
      <c r="B488" s="17" t="n">
        <v>1948</v>
      </c>
      <c r="C488" s="17" t="n">
        <v>4</v>
      </c>
      <c r="D488" s="18" t="n">
        <v>2.19</v>
      </c>
      <c r="E488" s="18">
        <f>IF(D488="","",D488*'参数与说明'!$B$6/25.4012)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17654</v>
      </c>
      <c r="B489" s="13" t="n">
        <v>1948</v>
      </c>
      <c r="C489" s="13" t="n">
        <v>5</v>
      </c>
      <c r="D489" s="14" t="n">
        <v>2.16</v>
      </c>
      <c r="E489" s="14">
        <f>IF(D489="","",D489*'参数与说明'!$B$6/25.4012)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17685</v>
      </c>
      <c r="B490" s="17" t="n">
        <v>1948</v>
      </c>
      <c r="C490" s="17" t="n">
        <v>6</v>
      </c>
      <c r="D490" s="18" t="n">
        <v>2.16</v>
      </c>
      <c r="E490" s="18">
        <f>IF(D490="","",D490*'参数与说明'!$B$6/25.4012)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17715</v>
      </c>
      <c r="B491" s="13" t="n">
        <v>1948</v>
      </c>
      <c r="C491" s="13" t="n">
        <v>7</v>
      </c>
      <c r="D491" s="14" t="n">
        <v>2.02</v>
      </c>
      <c r="E491" s="14">
        <f>IF(D491="","",D491*'参数与说明'!$B$6/25.4012)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17746</v>
      </c>
      <c r="B492" s="17" t="n">
        <v>1948</v>
      </c>
      <c r="C492" s="17" t="n">
        <v>8</v>
      </c>
      <c r="D492" s="18" t="n">
        <v>1.91</v>
      </c>
      <c r="E492" s="18">
        <f>IF(D492="","",D492*'参数与说明'!$B$6/25.4012)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17777</v>
      </c>
      <c r="B493" s="13" t="n">
        <v>1948</v>
      </c>
      <c r="C493" s="13" t="n">
        <v>9</v>
      </c>
      <c r="D493" s="14" t="n">
        <v>1.78</v>
      </c>
      <c r="E493" s="14">
        <f>IF(D493="","",D493*'参数与说明'!$B$6/25.4012)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17807</v>
      </c>
      <c r="B494" s="17" t="n">
        <v>1948</v>
      </c>
      <c r="C494" s="17" t="n">
        <v>10</v>
      </c>
      <c r="D494" s="18" t="n">
        <v>1.38</v>
      </c>
      <c r="E494" s="18">
        <f>IF(D494="","",D494*'参数与说明'!$B$6/25.4012)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17838</v>
      </c>
      <c r="B495" s="13" t="n">
        <v>1948</v>
      </c>
      <c r="C495" s="13" t="n">
        <v>11</v>
      </c>
      <c r="D495" s="14" t="n">
        <v>1.21</v>
      </c>
      <c r="E495" s="14">
        <f>IF(D495="","",D495*'参数与说明'!$B$6/25.4012)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17868</v>
      </c>
      <c r="B496" s="17" t="n">
        <v>1948</v>
      </c>
      <c r="C496" s="17" t="n">
        <v>12</v>
      </c>
      <c r="D496" s="18" t="n">
        <v>1.23</v>
      </c>
      <c r="E496" s="18">
        <f>IF(D496="","",D496*'参数与说明'!$B$6/25.4012)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17899</v>
      </c>
      <c r="B497" s="13" t="n">
        <v>1949</v>
      </c>
      <c r="C497" s="13" t="n">
        <v>1</v>
      </c>
      <c r="D497" s="14" t="n">
        <v>1.25</v>
      </c>
      <c r="E497" s="14">
        <f>IF(D497="","",D497*'参数与说明'!$B$6/25.4012)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17930</v>
      </c>
      <c r="B498" s="17" t="n">
        <v>1949</v>
      </c>
      <c r="C498" s="17" t="n">
        <v>2</v>
      </c>
      <c r="D498" s="18" t="n">
        <v>1.12</v>
      </c>
      <c r="E498" s="18">
        <f>IF(D498="","",D498*'参数与说明'!$B$6/25.4012)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17958</v>
      </c>
      <c r="B499" s="13" t="n">
        <v>1949</v>
      </c>
      <c r="C499" s="13" t="n">
        <v>3</v>
      </c>
      <c r="D499" s="14" t="n">
        <v>1.18</v>
      </c>
      <c r="E499" s="14">
        <f>IF(D499="","",D499*'参数与说明'!$B$6/25.4012)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17989</v>
      </c>
      <c r="B500" s="17" t="n">
        <v>1949</v>
      </c>
      <c r="C500" s="17" t="n">
        <v>4</v>
      </c>
      <c r="D500" s="18" t="n">
        <v>1.22</v>
      </c>
      <c r="E500" s="18">
        <f>IF(D500="","",D500*'参数与说明'!$B$6/25.4012)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18019</v>
      </c>
      <c r="B501" s="13" t="n">
        <v>1949</v>
      </c>
      <c r="C501" s="13" t="n">
        <v>5</v>
      </c>
      <c r="D501" s="14" t="n">
        <v>1.22</v>
      </c>
      <c r="E501" s="14">
        <f>IF(D501="","",D501*'参数与说明'!$B$6/25.4012)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18050</v>
      </c>
      <c r="B502" s="17" t="n">
        <v>1949</v>
      </c>
      <c r="C502" s="17" t="n">
        <v>6</v>
      </c>
      <c r="D502" s="18" t="n">
        <v>1.21</v>
      </c>
      <c r="E502" s="18">
        <f>IF(D502="","",D502*'参数与说明'!$B$6/25.4012)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18080</v>
      </c>
      <c r="B503" s="13" t="n">
        <v>1949</v>
      </c>
      <c r="C503" s="13" t="n">
        <v>7</v>
      </c>
      <c r="D503" s="14" t="n">
        <v>1.25</v>
      </c>
      <c r="E503" s="14">
        <f>IF(D503="","",D503*'参数与说明'!$B$6/25.4012)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18111</v>
      </c>
      <c r="B504" s="17" t="n">
        <v>1949</v>
      </c>
      <c r="C504" s="17" t="n">
        <v>8</v>
      </c>
      <c r="D504" s="18" t="n">
        <v>1.18</v>
      </c>
      <c r="E504" s="18">
        <f>IF(D504="","",D504*'参数与说明'!$B$6/25.4012)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18142</v>
      </c>
      <c r="B505" s="13" t="n">
        <v>1949</v>
      </c>
      <c r="C505" s="13" t="n">
        <v>9</v>
      </c>
      <c r="D505" s="14" t="n">
        <v>1.16</v>
      </c>
      <c r="E505" s="14">
        <f>IF(D505="","",D505*'参数与说明'!$B$6/25.4012)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18172</v>
      </c>
      <c r="B506" s="17" t="n">
        <v>1949</v>
      </c>
      <c r="C506" s="17" t="n">
        <v>10</v>
      </c>
      <c r="D506" s="18" t="n">
        <v>1.09</v>
      </c>
      <c r="E506" s="18">
        <f>IF(D506="","",D506*'参数与说明'!$B$6/25.4012)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18203</v>
      </c>
      <c r="B507" s="13" t="n">
        <v>1949</v>
      </c>
      <c r="C507" s="13" t="n">
        <v>11</v>
      </c>
      <c r="D507" s="14" t="n">
        <v>1.02</v>
      </c>
      <c r="E507" s="14">
        <f>IF(D507="","",D507*'参数与说明'!$B$6/25.4012)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18233</v>
      </c>
      <c r="B508" s="17" t="n">
        <v>1949</v>
      </c>
      <c r="C508" s="17" t="n">
        <v>12</v>
      </c>
      <c r="D508" s="18" t="n">
        <v>1.13</v>
      </c>
      <c r="E508" s="18">
        <f>IF(D508="","",D508*'参数与说明'!$B$6/25.4012)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18264</v>
      </c>
      <c r="B509" s="13" t="n">
        <v>1950</v>
      </c>
      <c r="C509" s="13" t="n">
        <v>1</v>
      </c>
      <c r="D509" s="14" t="n">
        <v>1.15</v>
      </c>
      <c r="E509" s="14">
        <f>IF(D509="","",D509*'参数与说明'!$B$6/25.4012)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18295</v>
      </c>
      <c r="B510" s="17" t="n">
        <v>1950</v>
      </c>
      <c r="C510" s="17" t="n">
        <v>2</v>
      </c>
      <c r="D510" s="18" t="n">
        <v>1.16</v>
      </c>
      <c r="E510" s="18">
        <f>IF(D510="","",D510*'参数与说明'!$B$6/25.4012)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18323</v>
      </c>
      <c r="B511" s="13" t="n">
        <v>1950</v>
      </c>
      <c r="C511" s="13" t="n">
        <v>3</v>
      </c>
      <c r="D511" s="14" t="n">
        <v>1.19</v>
      </c>
      <c r="E511" s="14">
        <f>IF(D511="","",D511*'参数与说明'!$B$6/25.4012)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18354</v>
      </c>
      <c r="B512" s="17" t="n">
        <v>1950</v>
      </c>
      <c r="C512" s="17" t="n">
        <v>4</v>
      </c>
      <c r="D512" s="18" t="n">
        <v>1.26</v>
      </c>
      <c r="E512" s="18">
        <f>IF(D512="","",D512*'参数与说明'!$B$6/25.4012)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18384</v>
      </c>
      <c r="B513" s="13" t="n">
        <v>1950</v>
      </c>
      <c r="C513" s="13" t="n">
        <v>5</v>
      </c>
      <c r="D513" s="14" t="n">
        <v>1.34</v>
      </c>
      <c r="E513" s="14">
        <f>IF(D513="","",D513*'参数与说明'!$B$6/25.4012)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18415</v>
      </c>
      <c r="B514" s="17" t="n">
        <v>1950</v>
      </c>
      <c r="C514" s="17" t="n">
        <v>6</v>
      </c>
      <c r="D514" s="18" t="n">
        <v>1.36</v>
      </c>
      <c r="E514" s="18">
        <f>IF(D514="","",D514*'参数与说明'!$B$6/25.4012)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18445</v>
      </c>
      <c r="B515" s="13" t="n">
        <v>1950</v>
      </c>
      <c r="C515" s="13" t="n">
        <v>7</v>
      </c>
      <c r="D515" s="14" t="n">
        <v>1.44</v>
      </c>
      <c r="E515" s="14">
        <f>IF(D515="","",D515*'参数与说明'!$B$6/25.4012)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18476</v>
      </c>
      <c r="B516" s="17" t="n">
        <v>1950</v>
      </c>
      <c r="C516" s="17" t="n">
        <v>8</v>
      </c>
      <c r="D516" s="18" t="n">
        <v>1.44</v>
      </c>
      <c r="E516" s="18">
        <f>IF(D516="","",D516*'参数与说明'!$B$6/25.4012)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18507</v>
      </c>
      <c r="B517" s="13" t="n">
        <v>1950</v>
      </c>
      <c r="C517" s="13" t="n">
        <v>9</v>
      </c>
      <c r="D517" s="14" t="n">
        <v>1.44</v>
      </c>
      <c r="E517" s="14">
        <f>IF(D517="","",D517*'参数与说明'!$B$6/25.4012)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18537</v>
      </c>
      <c r="B518" s="17" t="n">
        <v>1950</v>
      </c>
      <c r="C518" s="17" t="n">
        <v>10</v>
      </c>
      <c r="D518" s="18" t="n">
        <v>1.37</v>
      </c>
      <c r="E518" s="18">
        <f>IF(D518="","",D518*'参数与说明'!$B$6/25.4012)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18568</v>
      </c>
      <c r="B519" s="13" t="n">
        <v>1950</v>
      </c>
      <c r="C519" s="13" t="n">
        <v>11</v>
      </c>
      <c r="D519" s="14" t="n">
        <v>1.37</v>
      </c>
      <c r="E519" s="14">
        <f>IF(D519="","",D519*'参数与说明'!$B$6/25.4012)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18598</v>
      </c>
      <c r="B520" s="17" t="n">
        <v>1950</v>
      </c>
      <c r="C520" s="17" t="n">
        <v>12</v>
      </c>
      <c r="D520" s="18" t="n">
        <v>1.45</v>
      </c>
      <c r="E520" s="18">
        <f>IF(D520="","",D520*'参数与说明'!$B$6/25.4012)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18629</v>
      </c>
      <c r="B521" s="13" t="n">
        <v>1951</v>
      </c>
      <c r="C521" s="13" t="n">
        <v>1</v>
      </c>
      <c r="D521" s="14" t="n">
        <v>1.54</v>
      </c>
      <c r="E521" s="14">
        <f>IF(D521="","",D521*'参数与说明'!$B$6/25.4012)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18660</v>
      </c>
      <c r="B522" s="17" t="n">
        <v>1951</v>
      </c>
      <c r="C522" s="17" t="n">
        <v>2</v>
      </c>
      <c r="D522" s="18" t="n">
        <v>1.6</v>
      </c>
      <c r="E522" s="18">
        <f>IF(D522="","",D522*'参数与说明'!$B$6/25.4012)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18688</v>
      </c>
      <c r="B523" s="13" t="n">
        <v>1951</v>
      </c>
      <c r="C523" s="13" t="n">
        <v>3</v>
      </c>
      <c r="D523" s="14" t="n">
        <v>1.6</v>
      </c>
      <c r="E523" s="14">
        <f>IF(D523="","",D523*'参数与说明'!$B$6/25.4012)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18719</v>
      </c>
      <c r="B524" s="17" t="n">
        <v>1951</v>
      </c>
      <c r="C524" s="17" t="n">
        <v>4</v>
      </c>
      <c r="D524" s="18" t="n">
        <v>1.62</v>
      </c>
      <c r="E524" s="18">
        <f>IF(D524="","",D524*'参数与说明'!$B$6/25.4012)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18749</v>
      </c>
      <c r="B525" s="13" t="n">
        <v>1951</v>
      </c>
      <c r="C525" s="13" t="n">
        <v>5</v>
      </c>
      <c r="D525" s="14" t="n">
        <v>1.64</v>
      </c>
      <c r="E525" s="14">
        <f>IF(D525="","",D525*'参数与说明'!$B$6/25.4012)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18780</v>
      </c>
      <c r="B526" s="17" t="n">
        <v>1951</v>
      </c>
      <c r="C526" s="17" t="n">
        <v>6</v>
      </c>
      <c r="D526" s="18" t="n">
        <v>1.62</v>
      </c>
      <c r="E526" s="18">
        <f>IF(D526="","",D526*'参数与说明'!$B$6/25.4012)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18810</v>
      </c>
      <c r="B527" s="13" t="n">
        <v>1951</v>
      </c>
      <c r="C527" s="13" t="n">
        <v>7</v>
      </c>
      <c r="D527" s="14" t="n">
        <v>1.63</v>
      </c>
      <c r="E527" s="14">
        <f>IF(D527="","",D527*'参数与说明'!$B$6/25.4012)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18841</v>
      </c>
      <c r="B528" s="17" t="n">
        <v>1951</v>
      </c>
      <c r="C528" s="17" t="n">
        <v>8</v>
      </c>
      <c r="D528" s="18" t="n">
        <v>1.65</v>
      </c>
      <c r="E528" s="18">
        <f>IF(D528="","",D528*'参数与说明'!$B$6/25.4012)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18872</v>
      </c>
      <c r="B529" s="13" t="n">
        <v>1951</v>
      </c>
      <c r="C529" s="13" t="n">
        <v>9</v>
      </c>
      <c r="D529" s="14" t="n">
        <v>1.65</v>
      </c>
      <c r="E529" s="14">
        <f>IF(D529="","",D529*'参数与说明'!$B$6/25.4012)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18902</v>
      </c>
      <c r="B530" s="17" t="n">
        <v>1951</v>
      </c>
      <c r="C530" s="17" t="n">
        <v>10</v>
      </c>
      <c r="D530" s="18" t="n">
        <v>1.64</v>
      </c>
      <c r="E530" s="18">
        <f>IF(D530="","",D530*'参数与说明'!$B$6/25.4012)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18933</v>
      </c>
      <c r="B531" s="13" t="n">
        <v>1951</v>
      </c>
      <c r="C531" s="13" t="n">
        <v>11</v>
      </c>
      <c r="D531" s="14" t="n">
        <v>1.61</v>
      </c>
      <c r="E531" s="14">
        <f>IF(D531="","",D531*'参数与说明'!$B$6/25.4012)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18963</v>
      </c>
      <c r="B532" s="17" t="n">
        <v>1951</v>
      </c>
      <c r="C532" s="17" t="n">
        <v>12</v>
      </c>
      <c r="D532" s="18" t="n">
        <v>1.68</v>
      </c>
      <c r="E532" s="18">
        <f>IF(D532="","",D532*'参数与说明'!$B$6/25.4012)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18994</v>
      </c>
      <c r="B533" s="13" t="n">
        <v>1952</v>
      </c>
      <c r="C533" s="13" t="n">
        <v>1</v>
      </c>
      <c r="D533" s="14" t="n">
        <v>1.68</v>
      </c>
      <c r="E533" s="14">
        <f>IF(D533="","",D533*'参数与说明'!$B$6/25.4012)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19025</v>
      </c>
      <c r="B534" s="17" t="n">
        <v>1952</v>
      </c>
      <c r="C534" s="17" t="n">
        <v>2</v>
      </c>
      <c r="D534" s="18" t="n">
        <v>1.65</v>
      </c>
      <c r="E534" s="18">
        <f>IF(D534="","",D534*'参数与说明'!$B$6/25.4012)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19054</v>
      </c>
      <c r="B535" s="13" t="n">
        <v>1952</v>
      </c>
      <c r="C535" s="13" t="n">
        <v>3</v>
      </c>
      <c r="D535" s="14" t="n">
        <v>1.65</v>
      </c>
      <c r="E535" s="14">
        <f>IF(D535="","",D535*'参数与说明'!$B$6/25.4012)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19085</v>
      </c>
      <c r="B536" s="17" t="n">
        <v>1952</v>
      </c>
      <c r="C536" s="17" t="n">
        <v>4</v>
      </c>
      <c r="D536" s="18" t="n">
        <v>1.68</v>
      </c>
      <c r="E536" s="18">
        <f>IF(D536="","",D536*'参数与说明'!$B$6/25.4012)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19115</v>
      </c>
      <c r="B537" s="13" t="n">
        <v>1952</v>
      </c>
      <c r="C537" s="13" t="n">
        <v>5</v>
      </c>
      <c r="D537" s="14" t="n">
        <v>1.7</v>
      </c>
      <c r="E537" s="14">
        <f>IF(D537="","",D537*'参数与说明'!$B$6/25.4012)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19146</v>
      </c>
      <c r="B538" s="17" t="n">
        <v>1952</v>
      </c>
      <c r="C538" s="17" t="n">
        <v>6</v>
      </c>
      <c r="D538" s="18" t="n">
        <v>1.73</v>
      </c>
      <c r="E538" s="18">
        <f>IF(D538="","",D538*'参数与说明'!$B$6/25.4012)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19176</v>
      </c>
      <c r="B539" s="13" t="n">
        <v>1952</v>
      </c>
      <c r="C539" s="13" t="n">
        <v>7</v>
      </c>
      <c r="D539" s="14" t="n">
        <v>1.73</v>
      </c>
      <c r="E539" s="14">
        <f>IF(D539="","",D539*'参数与说明'!$B$6/25.4012)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19207</v>
      </c>
      <c r="B540" s="17" t="n">
        <v>1952</v>
      </c>
      <c r="C540" s="17" t="n">
        <v>8</v>
      </c>
      <c r="D540" s="18" t="n">
        <v>1.73</v>
      </c>
      <c r="E540" s="18">
        <f>IF(D540="","",D540*'参数与说明'!$B$6/25.4012)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19238</v>
      </c>
      <c r="B541" s="13" t="n">
        <v>1952</v>
      </c>
      <c r="C541" s="13" t="n">
        <v>9</v>
      </c>
      <c r="D541" s="14" t="n">
        <v>1.71</v>
      </c>
      <c r="E541" s="14">
        <f>IF(D541="","",D541*'参数与说明'!$B$6/25.4012)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19268</v>
      </c>
      <c r="B542" s="17" t="n">
        <v>1952</v>
      </c>
      <c r="C542" s="17" t="n">
        <v>10</v>
      </c>
      <c r="D542" s="18" t="n">
        <v>1.53</v>
      </c>
      <c r="E542" s="18">
        <f>IF(D542="","",D542*'参数与说明'!$B$6/25.4012)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19299</v>
      </c>
      <c r="B543" s="13" t="n">
        <v>1952</v>
      </c>
      <c r="C543" s="13" t="n">
        <v>11</v>
      </c>
      <c r="D543" s="14" t="n">
        <v>1.45</v>
      </c>
      <c r="E543" s="14">
        <f>IF(D543="","",D543*'参数与说明'!$B$6/25.4012)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19329</v>
      </c>
      <c r="B544" s="17" t="n">
        <v>1952</v>
      </c>
      <c r="C544" s="17" t="n">
        <v>12</v>
      </c>
      <c r="D544" s="18" t="n">
        <v>1.5</v>
      </c>
      <c r="E544" s="18">
        <f>IF(D544="","",D544*'参数与说明'!$B$6/25.4012)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19360</v>
      </c>
      <c r="B545" s="13" t="n">
        <v>1953</v>
      </c>
      <c r="C545" s="13" t="n">
        <v>1</v>
      </c>
      <c r="D545" s="14" t="n">
        <v>1.48</v>
      </c>
      <c r="E545" s="14">
        <f>IF(D545="","",D545*'参数与说明'!$B$6/25.4012)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19391</v>
      </c>
      <c r="B546" s="17" t="n">
        <v>1953</v>
      </c>
      <c r="C546" s="17" t="n">
        <v>2</v>
      </c>
      <c r="D546" s="18" t="n">
        <v>1.43</v>
      </c>
      <c r="E546" s="18">
        <f>IF(D546="","",D546*'参数与说明'!$B$6/25.4012)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19419</v>
      </c>
      <c r="B547" s="13" t="n">
        <v>1953</v>
      </c>
      <c r="C547" s="13" t="n">
        <v>3</v>
      </c>
      <c r="D547" s="14" t="n">
        <v>1.46</v>
      </c>
      <c r="E547" s="14">
        <f>IF(D547="","",D547*'参数与说明'!$B$6/25.4012)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19450</v>
      </c>
      <c r="B548" s="17" t="n">
        <v>1953</v>
      </c>
      <c r="C548" s="17" t="n">
        <v>4</v>
      </c>
      <c r="D548" s="18" t="n">
        <v>1.46</v>
      </c>
      <c r="E548" s="18">
        <f>IF(D548="","",D548*'参数与说明'!$B$6/25.4012)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19480</v>
      </c>
      <c r="B549" s="13" t="n">
        <v>1953</v>
      </c>
      <c r="C549" s="13" t="n">
        <v>5</v>
      </c>
      <c r="D549" s="14" t="n">
        <v>1.49</v>
      </c>
      <c r="E549" s="14">
        <f>IF(D549="","",D549*'参数与说明'!$B$6/25.4012)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19511</v>
      </c>
      <c r="B550" s="17" t="n">
        <v>1953</v>
      </c>
      <c r="C550" s="17" t="n">
        <v>6</v>
      </c>
      <c r="D550" s="18" t="n">
        <v>1.46</v>
      </c>
      <c r="E550" s="18">
        <f>IF(D550="","",D550*'参数与说明'!$B$6/25.4012)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19541</v>
      </c>
      <c r="B551" s="13" t="n">
        <v>1953</v>
      </c>
      <c r="C551" s="13" t="n">
        <v>7</v>
      </c>
      <c r="D551" s="14" t="n">
        <v>1.47</v>
      </c>
      <c r="E551" s="14">
        <f>IF(D551="","",D551*'参数与说明'!$B$6/25.4012)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19572</v>
      </c>
      <c r="B552" s="17" t="n">
        <v>1953</v>
      </c>
      <c r="C552" s="17" t="n">
        <v>8</v>
      </c>
      <c r="D552" s="18" t="n">
        <v>1.48</v>
      </c>
      <c r="E552" s="18">
        <f>IF(D552="","",D552*'参数与说明'!$B$6/25.4012)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19603</v>
      </c>
      <c r="B553" s="13" t="n">
        <v>1953</v>
      </c>
      <c r="C553" s="13" t="n">
        <v>9</v>
      </c>
      <c r="D553" s="14" t="n">
        <v>1.5</v>
      </c>
      <c r="E553" s="14">
        <f>IF(D553="","",D553*'参数与说明'!$B$6/25.4012)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19633</v>
      </c>
      <c r="B554" s="17" t="n">
        <v>1953</v>
      </c>
      <c r="C554" s="17" t="n">
        <v>10</v>
      </c>
      <c r="D554" s="18" t="n">
        <v>1.34</v>
      </c>
      <c r="E554" s="18">
        <f>IF(D554="","",D554*'参数与说明'!$B$6/25.4012)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19664</v>
      </c>
      <c r="B555" s="13" t="n">
        <v>1953</v>
      </c>
      <c r="C555" s="13" t="n">
        <v>11</v>
      </c>
      <c r="D555" s="14" t="n">
        <v>1.33</v>
      </c>
      <c r="E555" s="14">
        <f>IF(D555="","",D555*'参数与说明'!$B$6/25.4012)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19694</v>
      </c>
      <c r="B556" s="17" t="n">
        <v>1953</v>
      </c>
      <c r="C556" s="17" t="n">
        <v>12</v>
      </c>
      <c r="D556" s="18" t="n">
        <v>1.41</v>
      </c>
      <c r="E556" s="18">
        <f>IF(D556="","",D556*'参数与说明'!$B$6/25.4012)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19725</v>
      </c>
      <c r="B557" s="13" t="n">
        <v>1954</v>
      </c>
      <c r="C557" s="13" t="n">
        <v>1</v>
      </c>
      <c r="D557" s="14" t="n">
        <v>1.42</v>
      </c>
      <c r="E557" s="14">
        <f>IF(D557="","",D557*'参数与说明'!$B$6/25.4012)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19756</v>
      </c>
      <c r="B558" s="17" t="n">
        <v>1954</v>
      </c>
      <c r="C558" s="17" t="n">
        <v>2</v>
      </c>
      <c r="D558" s="18" t="n">
        <v>1.43</v>
      </c>
      <c r="E558" s="18">
        <f>IF(D558="","",D558*'参数与说明'!$B$6/25.4012)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19784</v>
      </c>
      <c r="B559" s="13" t="n">
        <v>1954</v>
      </c>
      <c r="C559" s="13" t="n">
        <v>3</v>
      </c>
      <c r="D559" s="14" t="n">
        <v>1.44</v>
      </c>
      <c r="E559" s="14">
        <f>IF(D559="","",D559*'参数与说明'!$B$6/25.4012)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19815</v>
      </c>
      <c r="B560" s="17" t="n">
        <v>1954</v>
      </c>
      <c r="C560" s="17" t="n">
        <v>4</v>
      </c>
      <c r="D560" s="18" t="n">
        <v>1.45</v>
      </c>
      <c r="E560" s="18">
        <f>IF(D560="","",D560*'参数与说明'!$B$6/25.4012)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19845</v>
      </c>
      <c r="B561" s="13" t="n">
        <v>1954</v>
      </c>
      <c r="C561" s="13" t="n">
        <v>5</v>
      </c>
      <c r="D561" s="14" t="n">
        <v>1.47</v>
      </c>
      <c r="E561" s="14">
        <f>IF(D561="","",D561*'参数与说明'!$B$6/25.4012)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19876</v>
      </c>
      <c r="B562" s="17" t="n">
        <v>1954</v>
      </c>
      <c r="C562" s="17" t="n">
        <v>6</v>
      </c>
      <c r="D562" s="18" t="n">
        <v>1.49</v>
      </c>
      <c r="E562" s="18">
        <f>IF(D562="","",D562*'参数与说明'!$B$6/25.4012)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19906</v>
      </c>
      <c r="B563" s="13" t="n">
        <v>1954</v>
      </c>
      <c r="C563" s="13" t="n">
        <v>7</v>
      </c>
      <c r="D563" s="14" t="n">
        <v>1.5</v>
      </c>
      <c r="E563" s="14">
        <f>IF(D563="","",D563*'参数与说明'!$B$6/25.4012)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19937</v>
      </c>
      <c r="B564" s="17" t="n">
        <v>1954</v>
      </c>
      <c r="C564" s="17" t="n">
        <v>8</v>
      </c>
      <c r="D564" s="18" t="n">
        <v>1.53</v>
      </c>
      <c r="E564" s="18">
        <f>IF(D564="","",D564*'参数与说明'!$B$6/25.4012)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19968</v>
      </c>
      <c r="B565" s="13" t="n">
        <v>1954</v>
      </c>
      <c r="C565" s="13" t="n">
        <v>9</v>
      </c>
      <c r="D565" s="14" t="n">
        <v>1.53</v>
      </c>
      <c r="E565" s="14">
        <f>IF(D565="","",D565*'参数与说明'!$B$6/25.4012)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19998</v>
      </c>
      <c r="B566" s="17" t="n">
        <v>1954</v>
      </c>
      <c r="C566" s="17" t="n">
        <v>10</v>
      </c>
      <c r="D566" s="18" t="n">
        <v>1.45</v>
      </c>
      <c r="E566" s="18">
        <f>IF(D566="","",D566*'参数与说明'!$B$6/25.4012)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20029</v>
      </c>
      <c r="B567" s="13" t="n">
        <v>1954</v>
      </c>
      <c r="C567" s="13" t="n">
        <v>11</v>
      </c>
      <c r="D567" s="14" t="n">
        <v>1.37</v>
      </c>
      <c r="E567" s="14">
        <f>IF(D567="","",D567*'参数与说明'!$B$6/25.4012)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20059</v>
      </c>
      <c r="B568" s="17" t="n">
        <v>1954</v>
      </c>
      <c r="C568" s="17" t="n">
        <v>12</v>
      </c>
      <c r="D568" s="18" t="n">
        <v>1.39</v>
      </c>
      <c r="E568" s="18">
        <f>IF(D568="","",D568*'参数与说明'!$B$6/25.4012)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20090</v>
      </c>
      <c r="B569" s="13" t="n">
        <v>1955</v>
      </c>
      <c r="C569" s="13" t="n">
        <v>1</v>
      </c>
      <c r="D569" s="14" t="n">
        <v>1.4</v>
      </c>
      <c r="E569" s="14">
        <f>IF(D569="","",D569*'参数与说明'!$B$6/25.4012)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20121</v>
      </c>
      <c r="B570" s="17" t="n">
        <v>1955</v>
      </c>
      <c r="C570" s="17" t="n">
        <v>2</v>
      </c>
      <c r="D570" s="18" t="n">
        <v>1.4</v>
      </c>
      <c r="E570" s="18">
        <f>IF(D570="","",D570*'参数与说明'!$B$6/25.4012)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20149</v>
      </c>
      <c r="B571" s="13" t="n">
        <v>1955</v>
      </c>
      <c r="C571" s="13" t="n">
        <v>3</v>
      </c>
      <c r="D571" s="14" t="n">
        <v>1.36</v>
      </c>
      <c r="E571" s="14">
        <f>IF(D571="","",D571*'参数与说明'!$B$6/25.4012)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20180</v>
      </c>
      <c r="B572" s="17" t="n">
        <v>1955</v>
      </c>
      <c r="C572" s="17" t="n">
        <v>4</v>
      </c>
      <c r="D572" s="18" t="n">
        <v>1.36</v>
      </c>
      <c r="E572" s="18">
        <f>IF(D572="","",D572*'参数与说明'!$B$6/25.4012)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20210</v>
      </c>
      <c r="B573" s="13" t="n">
        <v>1955</v>
      </c>
      <c r="C573" s="13" t="n">
        <v>5</v>
      </c>
      <c r="D573" s="14" t="n">
        <v>1.4</v>
      </c>
      <c r="E573" s="14">
        <f>IF(D573="","",D573*'参数与说明'!$B$6/25.4012)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20241</v>
      </c>
      <c r="B574" s="17" t="n">
        <v>1955</v>
      </c>
      <c r="C574" s="17" t="n">
        <v>6</v>
      </c>
      <c r="D574" s="18" t="n">
        <v>1.4</v>
      </c>
      <c r="E574" s="18">
        <f>IF(D574="","",D574*'参数与说明'!$B$6/25.4012)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20271</v>
      </c>
      <c r="B575" s="13" t="n">
        <v>1955</v>
      </c>
      <c r="C575" s="13" t="n">
        <v>7</v>
      </c>
      <c r="D575" s="14" t="n">
        <v>1.4</v>
      </c>
      <c r="E575" s="14">
        <f>IF(D575="","",D575*'参数与说明'!$B$6/25.4012)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20302</v>
      </c>
      <c r="B576" s="17" t="n">
        <v>1955</v>
      </c>
      <c r="C576" s="17" t="n">
        <v>8</v>
      </c>
      <c r="D576" s="18" t="n">
        <v>1.3</v>
      </c>
      <c r="E576" s="18">
        <f>IF(D576="","",D576*'参数与说明'!$B$6/25.4012)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20333</v>
      </c>
      <c r="B577" s="13" t="n">
        <v>1955</v>
      </c>
      <c r="C577" s="13" t="n">
        <v>9</v>
      </c>
      <c r="D577" s="14" t="n">
        <v>1.24</v>
      </c>
      <c r="E577" s="14">
        <f>IF(D577="","",D577*'参数与说明'!$B$6/25.4012)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20363</v>
      </c>
      <c r="B578" s="17" t="n">
        <v>1955</v>
      </c>
      <c r="C578" s="17" t="n">
        <v>10</v>
      </c>
      <c r="D578" s="18" t="n">
        <v>1.14</v>
      </c>
      <c r="E578" s="18">
        <f>IF(D578="","",D578*'参数与说明'!$B$6/25.4012)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20394</v>
      </c>
      <c r="B579" s="13" t="n">
        <v>1955</v>
      </c>
      <c r="C579" s="13" t="n">
        <v>11</v>
      </c>
      <c r="D579" s="14" t="n">
        <v>1.09</v>
      </c>
      <c r="E579" s="14">
        <f>IF(D579="","",D579*'参数与说明'!$B$6/25.4012)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20424</v>
      </c>
      <c r="B580" s="17" t="n">
        <v>1955</v>
      </c>
      <c r="C580" s="17" t="n">
        <v>12</v>
      </c>
      <c r="D580" s="18" t="n">
        <v>1.15</v>
      </c>
      <c r="E580" s="18">
        <f>IF(D580="","",D580*'参数与说明'!$B$6/25.4012)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20455</v>
      </c>
      <c r="B581" s="13" t="n">
        <v>1956</v>
      </c>
      <c r="C581" s="13" t="n">
        <v>1</v>
      </c>
      <c r="D581" s="14" t="n">
        <v>1.16</v>
      </c>
      <c r="E581" s="14">
        <f>IF(D581="","",D581*'参数与说明'!$B$6/25.4012)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20486</v>
      </c>
      <c r="B582" s="17" t="n">
        <v>1956</v>
      </c>
      <c r="C582" s="17" t="n">
        <v>2</v>
      </c>
      <c r="D582" s="18" t="n">
        <v>1.18</v>
      </c>
      <c r="E582" s="18">
        <f>IF(D582="","",D582*'参数与说明'!$B$6/25.4012)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20515</v>
      </c>
      <c r="B583" s="13" t="n">
        <v>1956</v>
      </c>
      <c r="C583" s="13" t="n">
        <v>3</v>
      </c>
      <c r="D583" s="14" t="n">
        <v>1.2</v>
      </c>
      <c r="E583" s="14">
        <f>IF(D583="","",D583*'参数与说明'!$B$6/25.4012)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20546</v>
      </c>
      <c r="B584" s="17" t="n">
        <v>1956</v>
      </c>
      <c r="C584" s="17" t="n">
        <v>4</v>
      </c>
      <c r="D584" s="18" t="n">
        <v>1.32</v>
      </c>
      <c r="E584" s="18">
        <f>IF(D584="","",D584*'参数与说明'!$B$6/25.4012)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20576</v>
      </c>
      <c r="B585" s="13" t="n">
        <v>1956</v>
      </c>
      <c r="C585" s="13" t="n">
        <v>5</v>
      </c>
      <c r="D585" s="14" t="n">
        <v>1.39</v>
      </c>
      <c r="E585" s="14">
        <f>IF(D585="","",D585*'参数与说明'!$B$6/25.4012)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20607</v>
      </c>
      <c r="B586" s="17" t="n">
        <v>1956</v>
      </c>
      <c r="C586" s="17" t="n">
        <v>6</v>
      </c>
      <c r="D586" s="18" t="n">
        <v>1.42</v>
      </c>
      <c r="E586" s="18">
        <f>IF(D586="","",D586*'参数与说明'!$B$6/25.4012)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20637</v>
      </c>
      <c r="B587" s="13" t="n">
        <v>1956</v>
      </c>
      <c r="C587" s="13" t="n">
        <v>7</v>
      </c>
      <c r="D587" s="14" t="n">
        <v>1.43</v>
      </c>
      <c r="E587" s="14">
        <f>IF(D587="","",D587*'参数与说明'!$B$6/25.4012)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20668</v>
      </c>
      <c r="B588" s="17" t="n">
        <v>1956</v>
      </c>
      <c r="C588" s="17" t="n">
        <v>8</v>
      </c>
      <c r="D588" s="18" t="n">
        <v>1.45</v>
      </c>
      <c r="E588" s="18">
        <f>IF(D588="","",D588*'参数与说明'!$B$6/25.4012)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20699</v>
      </c>
      <c r="B589" s="13" t="n">
        <v>1956</v>
      </c>
      <c r="C589" s="13" t="n">
        <v>9</v>
      </c>
      <c r="D589" s="14" t="n">
        <v>1.43</v>
      </c>
      <c r="E589" s="14">
        <f>IF(D589="","",D589*'参数与说明'!$B$6/25.4012)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20729</v>
      </c>
      <c r="B590" s="17" t="n">
        <v>1956</v>
      </c>
      <c r="C590" s="17" t="n">
        <v>10</v>
      </c>
      <c r="D590" s="18" t="n">
        <v>1.19</v>
      </c>
      <c r="E590" s="18">
        <f>IF(D590="","",D590*'参数与说明'!$B$6/25.4012)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20760</v>
      </c>
      <c r="B591" s="13" t="n">
        <v>1956</v>
      </c>
      <c r="C591" s="13" t="n">
        <v>11</v>
      </c>
      <c r="D591" s="14" t="n">
        <v>1.21</v>
      </c>
      <c r="E591" s="14">
        <f>IF(D591="","",D591*'参数与说明'!$B$6/25.4012)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20790</v>
      </c>
      <c r="B592" s="17" t="n">
        <v>1956</v>
      </c>
      <c r="C592" s="17" t="n">
        <v>12</v>
      </c>
      <c r="D592" s="18" t="n">
        <v>1.22</v>
      </c>
      <c r="E592" s="18">
        <f>IF(D592="","",D592*'参数与说明'!$B$6/25.4012)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20821</v>
      </c>
      <c r="B593" s="13" t="n">
        <v>1957</v>
      </c>
      <c r="C593" s="13" t="n">
        <v>1</v>
      </c>
      <c r="D593" s="14" t="n">
        <v>1.23</v>
      </c>
      <c r="E593" s="14">
        <f>IF(D593="","",D593*'参数与说明'!$B$6/25.4012)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20852</v>
      </c>
      <c r="B594" s="17" t="n">
        <v>1957</v>
      </c>
      <c r="C594" s="17" t="n">
        <v>2</v>
      </c>
      <c r="D594" s="18" t="n">
        <v>1.19</v>
      </c>
      <c r="E594" s="18">
        <f>IF(D594="","",D594*'参数与说明'!$B$6/25.4012)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20880</v>
      </c>
      <c r="B595" s="13" t="n">
        <v>1957</v>
      </c>
      <c r="C595" s="13" t="n">
        <v>3</v>
      </c>
      <c r="D595" s="14" t="n">
        <v>1.2</v>
      </c>
      <c r="E595" s="14">
        <f>IF(D595="","",D595*'参数与说明'!$B$6/25.4012)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20911</v>
      </c>
      <c r="B596" s="17" t="n">
        <v>1957</v>
      </c>
      <c r="C596" s="17" t="n">
        <v>4</v>
      </c>
      <c r="D596" s="18" t="n">
        <v>1.21</v>
      </c>
      <c r="E596" s="18">
        <f>IF(D596="","",D596*'参数与说明'!$B$6/25.4012)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20941</v>
      </c>
      <c r="B597" s="13" t="n">
        <v>1957</v>
      </c>
      <c r="C597" s="13" t="n">
        <v>5</v>
      </c>
      <c r="D597" s="14" t="n">
        <v>1.23</v>
      </c>
      <c r="E597" s="14">
        <f>IF(D597="","",D597*'参数与说明'!$B$6/25.4012)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20972</v>
      </c>
      <c r="B598" s="17" t="n">
        <v>1957</v>
      </c>
      <c r="C598" s="17" t="n">
        <v>6</v>
      </c>
      <c r="D598" s="18" t="n">
        <v>1.22</v>
      </c>
      <c r="E598" s="18">
        <f>IF(D598="","",D598*'参数与说明'!$B$6/25.4012)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21002</v>
      </c>
      <c r="B599" s="13" t="n">
        <v>1957</v>
      </c>
      <c r="C599" s="13" t="n">
        <v>7</v>
      </c>
      <c r="D599" s="14" t="n">
        <v>1.23</v>
      </c>
      <c r="E599" s="14">
        <f>IF(D599="","",D599*'参数与说明'!$B$6/25.4012)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21033</v>
      </c>
      <c r="B600" s="17" t="n">
        <v>1957</v>
      </c>
      <c r="C600" s="17" t="n">
        <v>8</v>
      </c>
      <c r="D600" s="18" t="n">
        <v>1.23</v>
      </c>
      <c r="E600" s="18">
        <f>IF(D600="","",D600*'参数与说明'!$B$6/25.4012)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21064</v>
      </c>
      <c r="B601" s="13" t="n">
        <v>1957</v>
      </c>
      <c r="C601" s="13" t="n">
        <v>9</v>
      </c>
      <c r="D601" s="14" t="n">
        <v>1.15</v>
      </c>
      <c r="E601" s="14">
        <f>IF(D601="","",D601*'参数与说明'!$B$6/25.4012)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21094</v>
      </c>
      <c r="B602" s="17" t="n">
        <v>1957</v>
      </c>
      <c r="C602" s="17" t="n">
        <v>10</v>
      </c>
      <c r="D602" s="18" t="n">
        <v>1.06</v>
      </c>
      <c r="E602" s="18">
        <f>IF(D602="","",D602*'参数与说明'!$B$6/25.4012)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21125</v>
      </c>
      <c r="B603" s="13" t="n">
        <v>1957</v>
      </c>
      <c r="C603" s="13" t="n">
        <v>11</v>
      </c>
      <c r="D603" s="14" t="n">
        <v>0.985</v>
      </c>
      <c r="E603" s="14">
        <f>IF(D603="","",D603*'参数与说明'!$B$6/25.4012)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21155</v>
      </c>
      <c r="B604" s="17" t="n">
        <v>1957</v>
      </c>
      <c r="C604" s="17" t="n">
        <v>12</v>
      </c>
      <c r="D604" s="18" t="n">
        <v>0.984</v>
      </c>
      <c r="E604" s="18">
        <f>IF(D604="","",D604*'参数与说明'!$B$6/25.4012)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21186</v>
      </c>
      <c r="B605" s="13" t="n">
        <v>1958</v>
      </c>
      <c r="C605" s="13" t="n">
        <v>1</v>
      </c>
      <c r="D605" s="14" t="n">
        <v>0.931</v>
      </c>
      <c r="E605" s="14">
        <f>IF(D605="","",D605*'参数与说明'!$B$6/25.4012)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21217</v>
      </c>
      <c r="B606" s="17" t="n">
        <v>1958</v>
      </c>
      <c r="C606" s="17" t="n">
        <v>2</v>
      </c>
      <c r="D606" s="18" t="n">
        <v>0.958</v>
      </c>
      <c r="E606" s="18">
        <f>IF(D606="","",D606*'参数与说明'!$B$6/25.4012)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21245</v>
      </c>
      <c r="B607" s="13" t="n">
        <v>1958</v>
      </c>
      <c r="C607" s="13" t="n">
        <v>3</v>
      </c>
      <c r="D607" s="14" t="n">
        <v>1</v>
      </c>
      <c r="E607" s="14">
        <f>IF(D607="","",D607*'参数与说明'!$B$6/25.4012)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21276</v>
      </c>
      <c r="B608" s="17" t="n">
        <v>1958</v>
      </c>
      <c r="C608" s="17" t="n">
        <v>4</v>
      </c>
      <c r="D608" s="18" t="n">
        <v>1.12</v>
      </c>
      <c r="E608" s="18">
        <f>IF(D608="","",D608*'参数与说明'!$B$6/25.4012)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21306</v>
      </c>
      <c r="B609" s="13" t="n">
        <v>1958</v>
      </c>
      <c r="C609" s="13" t="n">
        <v>5</v>
      </c>
      <c r="D609" s="14" t="n">
        <v>1.15</v>
      </c>
      <c r="E609" s="14">
        <f>IF(D609="","",D609*'参数与说明'!$B$6/25.4012)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21337</v>
      </c>
      <c r="B610" s="17" t="n">
        <v>1958</v>
      </c>
      <c r="C610" s="17" t="n">
        <v>6</v>
      </c>
      <c r="D610" s="18" t="n">
        <v>1.19</v>
      </c>
      <c r="E610" s="18">
        <f>IF(D610="","",D610*'参数与说明'!$B$6/25.4012)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21367</v>
      </c>
      <c r="B611" s="13" t="n">
        <v>1958</v>
      </c>
      <c r="C611" s="13" t="n">
        <v>7</v>
      </c>
      <c r="D611" s="14" t="n">
        <v>1.18</v>
      </c>
      <c r="E611" s="14">
        <f>IF(D611="","",D611*'参数与说明'!$B$6/25.4012)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21398</v>
      </c>
      <c r="B612" s="17" t="n">
        <v>1958</v>
      </c>
      <c r="C612" s="17" t="n">
        <v>8</v>
      </c>
      <c r="D612" s="18" t="n">
        <v>1.18</v>
      </c>
      <c r="E612" s="18">
        <f>IF(D612="","",D612*'参数与说明'!$B$6/25.4012)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21429</v>
      </c>
      <c r="B613" s="13" t="n">
        <v>1958</v>
      </c>
      <c r="C613" s="13" t="n">
        <v>9</v>
      </c>
      <c r="D613" s="14" t="n">
        <v>1.13</v>
      </c>
      <c r="E613" s="14">
        <f>IF(D613="","",D613*'参数与说明'!$B$6/25.4012)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21459</v>
      </c>
      <c r="B614" s="17" t="n">
        <v>1958</v>
      </c>
      <c r="C614" s="17" t="n">
        <v>10</v>
      </c>
      <c r="D614" s="18" t="n">
        <v>1.04</v>
      </c>
      <c r="E614" s="18">
        <f>IF(D614="","",D614*'参数与说明'!$B$6/25.4012)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21490</v>
      </c>
      <c r="B615" s="13" t="n">
        <v>1958</v>
      </c>
      <c r="C615" s="13" t="n">
        <v>11</v>
      </c>
      <c r="D615" s="14" t="n">
        <v>0.9419999999999999</v>
      </c>
      <c r="E615" s="14">
        <f>IF(D615="","",D615*'参数与说明'!$B$6/25.4012)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21520</v>
      </c>
      <c r="B616" s="17" t="n">
        <v>1958</v>
      </c>
      <c r="C616" s="17" t="n">
        <v>12</v>
      </c>
      <c r="D616" s="18" t="n">
        <v>1.02</v>
      </c>
      <c r="E616" s="18">
        <f>IF(D616="","",D616*'参数与说明'!$B$6/25.4012)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21551</v>
      </c>
      <c r="B617" s="13" t="n">
        <v>1959</v>
      </c>
      <c r="C617" s="13" t="n">
        <v>1</v>
      </c>
      <c r="D617" s="14" t="n">
        <v>1.03</v>
      </c>
      <c r="E617" s="14">
        <f>IF(D617="","",D617*'参数与说明'!$B$6/25.4012)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21582</v>
      </c>
      <c r="B618" s="17" t="n">
        <v>1959</v>
      </c>
      <c r="C618" s="17" t="n">
        <v>2</v>
      </c>
      <c r="D618" s="18" t="n">
        <v>1.04</v>
      </c>
      <c r="E618" s="18">
        <f>IF(D618="","",D618*'参数与说明'!$B$6/25.4012)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21610</v>
      </c>
      <c r="B619" s="13" t="n">
        <v>1959</v>
      </c>
      <c r="C619" s="13" t="n">
        <v>3</v>
      </c>
      <c r="D619" s="14" t="n">
        <v>1.06</v>
      </c>
      <c r="E619" s="14">
        <f>IF(D619="","",D619*'参数与说明'!$B$6/25.4012)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21641</v>
      </c>
      <c r="B620" s="17" t="n">
        <v>1959</v>
      </c>
      <c r="C620" s="17" t="n">
        <v>4</v>
      </c>
      <c r="D620" s="18" t="n">
        <v>1.13</v>
      </c>
      <c r="E620" s="18">
        <f>IF(D620="","",D620*'参数与说明'!$B$6/25.4012)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21671</v>
      </c>
      <c r="B621" s="13" t="n">
        <v>1959</v>
      </c>
      <c r="C621" s="13" t="n">
        <v>5</v>
      </c>
      <c r="D621" s="14" t="n">
        <v>1.16</v>
      </c>
      <c r="E621" s="14">
        <f>IF(D621="","",D621*'参数与说明'!$B$6/25.4012)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21702</v>
      </c>
      <c r="B622" s="17" t="n">
        <v>1959</v>
      </c>
      <c r="C622" s="17" t="n">
        <v>6</v>
      </c>
      <c r="D622" s="18" t="n">
        <v>1.16</v>
      </c>
      <c r="E622" s="18">
        <f>IF(D622="","",D622*'参数与说明'!$B$6/25.4012)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21732</v>
      </c>
      <c r="B623" s="13" t="n">
        <v>1959</v>
      </c>
      <c r="C623" s="13" t="n">
        <v>7</v>
      </c>
      <c r="D623" s="14" t="n">
        <v>1.13</v>
      </c>
      <c r="E623" s="14">
        <f>IF(D623="","",D623*'参数与说明'!$B$6/25.4012)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21763</v>
      </c>
      <c r="B624" s="17" t="n">
        <v>1959</v>
      </c>
      <c r="C624" s="17" t="n">
        <v>8</v>
      </c>
      <c r="D624" s="18" t="n">
        <v>1.13</v>
      </c>
      <c r="E624" s="18">
        <f>IF(D624="","",D624*'参数与说明'!$B$6/25.4012)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21794</v>
      </c>
      <c r="B625" s="13" t="n">
        <v>1959</v>
      </c>
      <c r="C625" s="13" t="n">
        <v>9</v>
      </c>
      <c r="D625" s="14" t="n">
        <v>1.09</v>
      </c>
      <c r="E625" s="14">
        <f>IF(D625="","",D625*'参数与说明'!$B$6/25.4012)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21824</v>
      </c>
      <c r="B626" s="17" t="n">
        <v>1959</v>
      </c>
      <c r="C626" s="17" t="n">
        <v>10</v>
      </c>
      <c r="D626" s="18" t="n">
        <v>0.991</v>
      </c>
      <c r="E626" s="18">
        <f>IF(D626="","",D626*'参数与说明'!$B$6/25.4012)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21855</v>
      </c>
      <c r="B627" s="13" t="n">
        <v>1959</v>
      </c>
      <c r="C627" s="13" t="n">
        <v>11</v>
      </c>
      <c r="D627" s="14" t="n">
        <v>0.988</v>
      </c>
      <c r="E627" s="14">
        <f>IF(D627="","",D627*'参数与说明'!$B$6/25.4012)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21885</v>
      </c>
      <c r="B628" s="17" t="n">
        <v>1959</v>
      </c>
      <c r="C628" s="17" t="n">
        <v>12</v>
      </c>
      <c r="D628" s="18" t="n">
        <v>0.978</v>
      </c>
      <c r="E628" s="18">
        <f>IF(D628="","",D628*'参数与说明'!$B$6/25.4012)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21916</v>
      </c>
      <c r="B629" s="13" t="n">
        <v>1960</v>
      </c>
      <c r="C629" s="13" t="n">
        <v>1</v>
      </c>
      <c r="D629" s="14" t="n">
        <v>0.999</v>
      </c>
      <c r="E629" s="14">
        <f>IF(D629="","",D629*'参数与说明'!$B$6/25.4012)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21947</v>
      </c>
      <c r="B630" s="17" t="n">
        <v>1960</v>
      </c>
      <c r="C630" s="17" t="n">
        <v>2</v>
      </c>
      <c r="D630" s="18" t="n">
        <v>1.01</v>
      </c>
      <c r="E630" s="18">
        <f>IF(D630="","",D630*'参数与说明'!$B$6/25.4012)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21976</v>
      </c>
      <c r="B631" s="13" t="n">
        <v>1960</v>
      </c>
      <c r="C631" s="13" t="n">
        <v>3</v>
      </c>
      <c r="D631" s="14" t="n">
        <v>1.02</v>
      </c>
      <c r="E631" s="14">
        <f>IF(D631="","",D631*'参数与说明'!$B$6/25.4012)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22007</v>
      </c>
      <c r="B632" s="17" t="n">
        <v>1960</v>
      </c>
      <c r="C632" s="17" t="n">
        <v>4</v>
      </c>
      <c r="D632" s="18" t="n">
        <v>1.06</v>
      </c>
      <c r="E632" s="18">
        <f>IF(D632="","",D632*'参数与说明'!$B$6/25.4012)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22037</v>
      </c>
      <c r="B633" s="13" t="n">
        <v>1960</v>
      </c>
      <c r="C633" s="13" t="n">
        <v>5</v>
      </c>
      <c r="D633" s="14" t="n">
        <v>1.08</v>
      </c>
      <c r="E633" s="14">
        <f>IF(D633="","",D633*'参数与说明'!$B$6/25.4012)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22068</v>
      </c>
      <c r="B634" s="17" t="n">
        <v>1960</v>
      </c>
      <c r="C634" s="17" t="n">
        <v>6</v>
      </c>
      <c r="D634" s="18" t="n">
        <v>1.09</v>
      </c>
      <c r="E634" s="18">
        <f>IF(D634="","",D634*'参数与说明'!$B$6/25.4012)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22098</v>
      </c>
      <c r="B635" s="13" t="n">
        <v>1960</v>
      </c>
      <c r="C635" s="13" t="n">
        <v>7</v>
      </c>
      <c r="D635" s="14" t="n">
        <v>1.09</v>
      </c>
      <c r="E635" s="14">
        <f>IF(D635="","",D635*'参数与说明'!$B$6/25.4012)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22129</v>
      </c>
      <c r="B636" s="17" t="n">
        <v>1960</v>
      </c>
      <c r="C636" s="17" t="n">
        <v>8</v>
      </c>
      <c r="D636" s="18" t="n">
        <v>1.07</v>
      </c>
      <c r="E636" s="18">
        <f>IF(D636="","",D636*'参数与说明'!$B$6/25.4012)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22160</v>
      </c>
      <c r="B637" s="13" t="n">
        <v>1960</v>
      </c>
      <c r="C637" s="13" t="n">
        <v>9</v>
      </c>
      <c r="D637" s="14" t="n">
        <v>1.06</v>
      </c>
      <c r="E637" s="14">
        <f>IF(D637="","",D637*'参数与说明'!$B$6/25.4012)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22190</v>
      </c>
      <c r="B638" s="17" t="n">
        <v>1960</v>
      </c>
      <c r="C638" s="17" t="n">
        <v>10</v>
      </c>
      <c r="D638" s="18" t="n">
        <v>0.992</v>
      </c>
      <c r="E638" s="18">
        <f>IF(D638="","",D638*'参数与说明'!$B$6/25.4012)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22221</v>
      </c>
      <c r="B639" s="13" t="n">
        <v>1960</v>
      </c>
      <c r="C639" s="13" t="n">
        <v>11</v>
      </c>
      <c r="D639" s="14" t="n">
        <v>0.902</v>
      </c>
      <c r="E639" s="14">
        <f>IF(D639="","",D639*'参数与说明'!$B$6/25.4012)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22251</v>
      </c>
      <c r="B640" s="17" t="n">
        <v>1960</v>
      </c>
      <c r="C640" s="17" t="n">
        <v>12</v>
      </c>
      <c r="D640" s="18" t="n">
        <v>0.919</v>
      </c>
      <c r="E640" s="18">
        <f>IF(D640="","",D640*'参数与说明'!$B$6/25.4012)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22282</v>
      </c>
      <c r="B641" s="13" t="n">
        <v>1961</v>
      </c>
      <c r="C641" s="13" t="n">
        <v>1</v>
      </c>
      <c r="D641" s="14" t="n">
        <v>0.97</v>
      </c>
      <c r="E641" s="14">
        <f>IF(D641="","",D641*'参数与说明'!$B$6/25.4012)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22313</v>
      </c>
      <c r="B642" s="17" t="n">
        <v>1961</v>
      </c>
      <c r="C642" s="17" t="n">
        <v>2</v>
      </c>
      <c r="D642" s="18" t="n">
        <v>1.01</v>
      </c>
      <c r="E642" s="18">
        <f>IF(D642="","",D642*'参数与说明'!$B$6/25.4012)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22341</v>
      </c>
      <c r="B643" s="13" t="n">
        <v>1961</v>
      </c>
      <c r="C643" s="13" t="n">
        <v>3</v>
      </c>
      <c r="D643" s="14" t="n">
        <v>1.01</v>
      </c>
      <c r="E643" s="14">
        <f>IF(D643="","",D643*'参数与说明'!$B$6/25.4012)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22372</v>
      </c>
      <c r="B644" s="17" t="n">
        <v>1961</v>
      </c>
      <c r="C644" s="17" t="n">
        <v>4</v>
      </c>
      <c r="D644" s="18" t="n">
        <v>0.968</v>
      </c>
      <c r="E644" s="18">
        <f>IF(D644="","",D644*'参数与说明'!$B$6/25.4012)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22402</v>
      </c>
      <c r="B645" s="13" t="n">
        <v>1961</v>
      </c>
      <c r="C645" s="13" t="n">
        <v>5</v>
      </c>
      <c r="D645" s="14" t="n">
        <v>1.02</v>
      </c>
      <c r="E645" s="14">
        <f>IF(D645="","",D645*'参数与说明'!$B$6/25.4012)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22433</v>
      </c>
      <c r="B646" s="17" t="n">
        <v>1961</v>
      </c>
      <c r="C646" s="17" t="n">
        <v>6</v>
      </c>
      <c r="D646" s="18" t="n">
        <v>1.03</v>
      </c>
      <c r="E646" s="18">
        <f>IF(D646="","",D646*'参数与说明'!$B$6/25.4012)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22463</v>
      </c>
      <c r="B647" s="13" t="n">
        <v>1961</v>
      </c>
      <c r="C647" s="13" t="n">
        <v>7</v>
      </c>
      <c r="D647" s="14" t="n">
        <v>1.05</v>
      </c>
      <c r="E647" s="14">
        <f>IF(D647="","",D647*'参数与说明'!$B$6/25.4012)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22494</v>
      </c>
      <c r="B648" s="17" t="n">
        <v>1961</v>
      </c>
      <c r="C648" s="17" t="n">
        <v>8</v>
      </c>
      <c r="D648" s="18" t="n">
        <v>1.04</v>
      </c>
      <c r="E648" s="18">
        <f>IF(D648="","",D648*'参数与说明'!$B$6/25.4012)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22525</v>
      </c>
      <c r="B649" s="13" t="n">
        <v>1961</v>
      </c>
      <c r="C649" s="13" t="n">
        <v>9</v>
      </c>
      <c r="D649" s="14" t="n">
        <v>1.04</v>
      </c>
      <c r="E649" s="14">
        <f>IF(D649="","",D649*'参数与说明'!$B$6/25.4012)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22555</v>
      </c>
      <c r="B650" s="17" t="n">
        <v>1961</v>
      </c>
      <c r="C650" s="17" t="n">
        <v>10</v>
      </c>
      <c r="D650" s="18" t="n">
        <v>1.02</v>
      </c>
      <c r="E650" s="18">
        <f>IF(D650="","",D650*'参数与说明'!$B$6/25.4012)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22586</v>
      </c>
      <c r="B651" s="13" t="n">
        <v>1961</v>
      </c>
      <c r="C651" s="13" t="n">
        <v>11</v>
      </c>
      <c r="D651" s="14" t="n">
        <v>0.992</v>
      </c>
      <c r="E651" s="14">
        <f>IF(D651="","",D651*'参数与说明'!$B$6/25.4012)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22616</v>
      </c>
      <c r="B652" s="17" t="n">
        <v>1961</v>
      </c>
      <c r="C652" s="17" t="n">
        <v>12</v>
      </c>
      <c r="D652" s="18" t="n">
        <v>0.994</v>
      </c>
      <c r="E652" s="18">
        <f>IF(D652="","",D652*'参数与说明'!$B$6/25.4012)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22647</v>
      </c>
      <c r="B653" s="13" t="n">
        <v>1962</v>
      </c>
      <c r="C653" s="13" t="n">
        <v>1</v>
      </c>
      <c r="D653" s="14" t="n">
        <v>0.993</v>
      </c>
      <c r="E653" s="14">
        <f>IF(D653="","",D653*'参数与说明'!$B$6/25.4012)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22678</v>
      </c>
      <c r="B654" s="17" t="n">
        <v>1962</v>
      </c>
      <c r="C654" s="17" t="n">
        <v>2</v>
      </c>
      <c r="D654" s="18" t="n">
        <v>0.996</v>
      </c>
      <c r="E654" s="18">
        <f>IF(D654="","",D654*'参数与说明'!$B$6/25.4012)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22706</v>
      </c>
      <c r="B655" s="13" t="n">
        <v>1962</v>
      </c>
      <c r="C655" s="13" t="n">
        <v>3</v>
      </c>
      <c r="D655" s="14" t="n">
        <v>1</v>
      </c>
      <c r="E655" s="14">
        <f>IF(D655="","",D655*'参数与说明'!$B$6/25.4012)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22737</v>
      </c>
      <c r="B656" s="17" t="n">
        <v>1962</v>
      </c>
      <c r="C656" s="17" t="n">
        <v>4</v>
      </c>
      <c r="D656" s="18" t="n">
        <v>1.02</v>
      </c>
      <c r="E656" s="18">
        <f>IF(D656="","",D656*'参数与说明'!$B$6/25.4012)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22767</v>
      </c>
      <c r="B657" s="13" t="n">
        <v>1962</v>
      </c>
      <c r="C657" s="13" t="n">
        <v>5</v>
      </c>
      <c r="D657" s="14" t="n">
        <v>1.04</v>
      </c>
      <c r="E657" s="14">
        <f>IF(D657="","",D657*'参数与说明'!$B$6/25.4012)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22798</v>
      </c>
      <c r="B658" s="17" t="n">
        <v>1962</v>
      </c>
      <c r="C658" s="17" t="n">
        <v>6</v>
      </c>
      <c r="D658" s="18" t="n">
        <v>1.04</v>
      </c>
      <c r="E658" s="18">
        <f>IF(D658="","",D658*'参数与说明'!$B$6/25.4012)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22828</v>
      </c>
      <c r="B659" s="13" t="n">
        <v>1962</v>
      </c>
      <c r="C659" s="13" t="n">
        <v>7</v>
      </c>
      <c r="D659" s="14" t="n">
        <v>1.05</v>
      </c>
      <c r="E659" s="14">
        <f>IF(D659="","",D659*'参数与说明'!$B$6/25.4012)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22859</v>
      </c>
      <c r="B660" s="17" t="n">
        <v>1962</v>
      </c>
      <c r="C660" s="17" t="n">
        <v>8</v>
      </c>
      <c r="D660" s="18" t="n">
        <v>1.03</v>
      </c>
      <c r="E660" s="18">
        <f>IF(D660="","",D660*'参数与说明'!$B$6/25.4012)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22890</v>
      </c>
      <c r="B661" s="13" t="n">
        <v>1962</v>
      </c>
      <c r="C661" s="13" t="n">
        <v>9</v>
      </c>
      <c r="D661" s="14" t="n">
        <v>1.04</v>
      </c>
      <c r="E661" s="14">
        <f>IF(D661="","",D661*'参数与说明'!$B$6/25.4012)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22920</v>
      </c>
      <c r="B662" s="17" t="n">
        <v>1962</v>
      </c>
      <c r="C662" s="17" t="n">
        <v>10</v>
      </c>
      <c r="D662" s="18" t="n">
        <v>1.03</v>
      </c>
      <c r="E662" s="18">
        <f>IF(D662="","",D662*'参数与说明'!$B$6/25.4012)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22951</v>
      </c>
      <c r="B663" s="13" t="n">
        <v>1962</v>
      </c>
      <c r="C663" s="13" t="n">
        <v>11</v>
      </c>
      <c r="D663" s="14" t="n">
        <v>0.987</v>
      </c>
      <c r="E663" s="14">
        <f>IF(D663="","",D663*'参数与说明'!$B$6/25.4012)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22981</v>
      </c>
      <c r="B664" s="17" t="n">
        <v>1962</v>
      </c>
      <c r="C664" s="17" t="n">
        <v>12</v>
      </c>
      <c r="D664" s="18" t="n">
        <v>1.04</v>
      </c>
      <c r="E664" s="18">
        <f>IF(D664="","",D664*'参数与说明'!$B$6/25.4012)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23012</v>
      </c>
      <c r="B665" s="13" t="n">
        <v>1963</v>
      </c>
      <c r="C665" s="13" t="n">
        <v>1</v>
      </c>
      <c r="D665" s="14" t="n">
        <v>1.07</v>
      </c>
      <c r="E665" s="14">
        <f>IF(D665="","",D665*'参数与说明'!$B$6/25.4012)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23043</v>
      </c>
      <c r="B666" s="17" t="n">
        <v>1963</v>
      </c>
      <c r="C666" s="17" t="n">
        <v>2</v>
      </c>
      <c r="D666" s="18" t="n">
        <v>1.09</v>
      </c>
      <c r="E666" s="18">
        <f>IF(D666="","",D666*'参数与说明'!$B$6/25.4012)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23071</v>
      </c>
      <c r="B667" s="13" t="n">
        <v>1963</v>
      </c>
      <c r="C667" s="13" t="n">
        <v>3</v>
      </c>
      <c r="D667" s="14" t="n">
        <v>1.1</v>
      </c>
      <c r="E667" s="14">
        <f>IF(D667="","",D667*'参数与说明'!$B$6/25.4012)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23102</v>
      </c>
      <c r="B668" s="17" t="n">
        <v>1963</v>
      </c>
      <c r="C668" s="17" t="n">
        <v>4</v>
      </c>
      <c r="D668" s="18" t="n">
        <v>1.1</v>
      </c>
      <c r="E668" s="18">
        <f>IF(D668="","",D668*'参数与说明'!$B$6/25.4012)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23132</v>
      </c>
      <c r="B669" s="13" t="n">
        <v>1963</v>
      </c>
      <c r="C669" s="13" t="n">
        <v>5</v>
      </c>
      <c r="D669" s="14" t="n">
        <v>1.11</v>
      </c>
      <c r="E669" s="14">
        <f>IF(D669="","",D669*'参数与说明'!$B$6/25.4012)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23163</v>
      </c>
      <c r="B670" s="17" t="n">
        <v>1963</v>
      </c>
      <c r="C670" s="17" t="n">
        <v>6</v>
      </c>
      <c r="D670" s="18" t="n">
        <v>1.16</v>
      </c>
      <c r="E670" s="18">
        <f>IF(D670="","",D670*'参数与说明'!$B$6/25.4012)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23193</v>
      </c>
      <c r="B671" s="13" t="n">
        <v>1963</v>
      </c>
      <c r="C671" s="13" t="n">
        <v>7</v>
      </c>
      <c r="D671" s="14" t="n">
        <v>1.19</v>
      </c>
      <c r="E671" s="14">
        <f>IF(D671="","",D671*'参数与说明'!$B$6/25.4012)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23224</v>
      </c>
      <c r="B672" s="17" t="n">
        <v>1963</v>
      </c>
      <c r="C672" s="17" t="n">
        <v>8</v>
      </c>
      <c r="D672" s="18" t="n">
        <v>1.19</v>
      </c>
      <c r="E672" s="18">
        <f>IF(D672="","",D672*'参数与说明'!$B$6/25.4012)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23255</v>
      </c>
      <c r="B673" s="13" t="n">
        <v>1963</v>
      </c>
      <c r="C673" s="13" t="n">
        <v>9</v>
      </c>
      <c r="D673" s="14" t="n">
        <v>1.21</v>
      </c>
      <c r="E673" s="14">
        <f>IF(D673="","",D673*'参数与说明'!$B$6/25.4012)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23285</v>
      </c>
      <c r="B674" s="17" t="n">
        <v>1963</v>
      </c>
      <c r="C674" s="17" t="n">
        <v>10</v>
      </c>
      <c r="D674" s="18" t="n">
        <v>1.11</v>
      </c>
      <c r="E674" s="18">
        <f>IF(D674="","",D674*'参数与说明'!$B$6/25.4012)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23316</v>
      </c>
      <c r="B675" s="13" t="n">
        <v>1963</v>
      </c>
      <c r="C675" s="13" t="n">
        <v>11</v>
      </c>
      <c r="D675" s="14" t="n">
        <v>1.05</v>
      </c>
      <c r="E675" s="14">
        <f>IF(D675="","",D675*'参数与说明'!$B$6/25.4012)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23346</v>
      </c>
      <c r="B676" s="17" t="n">
        <v>1963</v>
      </c>
      <c r="C676" s="17" t="n">
        <v>12</v>
      </c>
      <c r="D676" s="18" t="n">
        <v>1.09</v>
      </c>
      <c r="E676" s="18">
        <f>IF(D676="","",D676*'参数与说明'!$B$6/25.4012)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23377</v>
      </c>
      <c r="B677" s="13" t="n">
        <v>1964</v>
      </c>
      <c r="C677" s="13" t="n">
        <v>1</v>
      </c>
      <c r="D677" s="14" t="n">
        <v>1.12</v>
      </c>
      <c r="E677" s="14">
        <f>IF(D677="","",D677*'参数与说明'!$B$6/25.4012)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23408</v>
      </c>
      <c r="B678" s="17" t="n">
        <v>1964</v>
      </c>
      <c r="C678" s="17" t="n">
        <v>2</v>
      </c>
      <c r="D678" s="18" t="n">
        <v>1.11</v>
      </c>
      <c r="E678" s="18">
        <f>IF(D678="","",D678*'参数与说明'!$B$6/25.4012)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23437</v>
      </c>
      <c r="B679" s="13" t="n">
        <v>1964</v>
      </c>
      <c r="C679" s="13" t="n">
        <v>3</v>
      </c>
      <c r="D679" s="14" t="n">
        <v>1.13</v>
      </c>
      <c r="E679" s="14">
        <f>IF(D679="","",D679*'参数与说明'!$B$6/25.4012)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23468</v>
      </c>
      <c r="B680" s="17" t="n">
        <v>1964</v>
      </c>
      <c r="C680" s="17" t="n">
        <v>4</v>
      </c>
      <c r="D680" s="18" t="n">
        <v>1.15</v>
      </c>
      <c r="E680" s="18">
        <f>IF(D680="","",D680*'参数与说明'!$B$6/25.4012)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23498</v>
      </c>
      <c r="B681" s="13" t="n">
        <v>1964</v>
      </c>
      <c r="C681" s="13" t="n">
        <v>5</v>
      </c>
      <c r="D681" s="14" t="n">
        <v>1.17</v>
      </c>
      <c r="E681" s="14">
        <f>IF(D681="","",D681*'参数与说明'!$B$6/25.4012)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23529</v>
      </c>
      <c r="B682" s="17" t="n">
        <v>1964</v>
      </c>
      <c r="C682" s="17" t="n">
        <v>6</v>
      </c>
      <c r="D682" s="18" t="n">
        <v>1.16</v>
      </c>
      <c r="E682" s="18">
        <f>IF(D682="","",D682*'参数与说明'!$B$6/25.4012)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23559</v>
      </c>
      <c r="B683" s="13" t="n">
        <v>1964</v>
      </c>
      <c r="C683" s="13" t="n">
        <v>7</v>
      </c>
      <c r="D683" s="14" t="n">
        <v>1.12</v>
      </c>
      <c r="E683" s="14">
        <f>IF(D683="","",D683*'参数与说明'!$B$6/25.4012)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23590</v>
      </c>
      <c r="B684" s="17" t="n">
        <v>1964</v>
      </c>
      <c r="C684" s="17" t="n">
        <v>8</v>
      </c>
      <c r="D684" s="18" t="n">
        <v>1.12</v>
      </c>
      <c r="E684" s="18">
        <f>IF(D684="","",D684*'参数与说明'!$B$6/25.4012)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23621</v>
      </c>
      <c r="B685" s="13" t="n">
        <v>1964</v>
      </c>
      <c r="C685" s="13" t="n">
        <v>9</v>
      </c>
      <c r="D685" s="14" t="n">
        <v>1.17</v>
      </c>
      <c r="E685" s="14">
        <f>IF(D685="","",D685*'参数与说明'!$B$6/25.4012)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23651</v>
      </c>
      <c r="B686" s="17" t="n">
        <v>1964</v>
      </c>
      <c r="C686" s="17" t="n">
        <v>10</v>
      </c>
      <c r="D686" s="18" t="n">
        <v>1.13</v>
      </c>
      <c r="E686" s="18">
        <f>IF(D686="","",D686*'参数与说明'!$B$6/25.4012)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23682</v>
      </c>
      <c r="B687" s="13" t="n">
        <v>1964</v>
      </c>
      <c r="C687" s="13" t="n">
        <v>11</v>
      </c>
      <c r="D687" s="14" t="n">
        <v>1.07</v>
      </c>
      <c r="E687" s="14">
        <f>IF(D687="","",D687*'参数与说明'!$B$6/25.4012)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23712</v>
      </c>
      <c r="B688" s="17" t="n">
        <v>1964</v>
      </c>
      <c r="C688" s="17" t="n">
        <v>12</v>
      </c>
      <c r="D688" s="18" t="n">
        <v>1.16</v>
      </c>
      <c r="E688" s="18">
        <f>IF(D688="","",D688*'参数与说明'!$B$6/25.4012)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23743</v>
      </c>
      <c r="B689" s="13" t="n">
        <v>1965</v>
      </c>
      <c r="C689" s="13" t="n">
        <v>1</v>
      </c>
      <c r="D689" s="14" t="n">
        <v>1.18</v>
      </c>
      <c r="E689" s="14">
        <f>IF(D689="","",D689*'参数与说明'!$B$6/25.4012)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23774</v>
      </c>
      <c r="B690" s="17" t="n">
        <v>1965</v>
      </c>
      <c r="C690" s="17" t="n">
        <v>2</v>
      </c>
      <c r="D690" s="18" t="n">
        <v>1.2</v>
      </c>
      <c r="E690" s="18">
        <f>IF(D690="","",D690*'参数与说明'!$B$6/25.4012)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23802</v>
      </c>
      <c r="B691" s="13" t="n">
        <v>1965</v>
      </c>
      <c r="C691" s="13" t="n">
        <v>3</v>
      </c>
      <c r="D691" s="14" t="n">
        <v>1.21</v>
      </c>
      <c r="E691" s="14">
        <f>IF(D691="","",D691*'参数与说明'!$B$6/25.4012)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23833</v>
      </c>
      <c r="B692" s="17" t="n">
        <v>1965</v>
      </c>
      <c r="C692" s="17" t="n">
        <v>4</v>
      </c>
      <c r="D692" s="18" t="n">
        <v>1.23</v>
      </c>
      <c r="E692" s="18">
        <f>IF(D692="","",D692*'参数与说明'!$B$6/25.4012)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23863</v>
      </c>
      <c r="B693" s="13" t="n">
        <v>1965</v>
      </c>
      <c r="C693" s="13" t="n">
        <v>5</v>
      </c>
      <c r="D693" s="14" t="n">
        <v>1.26</v>
      </c>
      <c r="E693" s="14">
        <f>IF(D693="","",D693*'参数与说明'!$B$6/25.4012)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23894</v>
      </c>
      <c r="B694" s="17" t="n">
        <v>1965</v>
      </c>
      <c r="C694" s="17" t="n">
        <v>6</v>
      </c>
      <c r="D694" s="18" t="n">
        <v>1.25</v>
      </c>
      <c r="E694" s="18">
        <f>IF(D694="","",D694*'参数与说明'!$B$6/25.4012)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23924</v>
      </c>
      <c r="B695" s="13" t="n">
        <v>1965</v>
      </c>
      <c r="C695" s="13" t="n">
        <v>7</v>
      </c>
      <c r="D695" s="14" t="n">
        <v>1.22</v>
      </c>
      <c r="E695" s="14">
        <f>IF(D695="","",D695*'参数与说明'!$B$6/25.4012)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23955</v>
      </c>
      <c r="B696" s="17" t="n">
        <v>1965</v>
      </c>
      <c r="C696" s="17" t="n">
        <v>8</v>
      </c>
      <c r="D696" s="18" t="n">
        <v>1.18</v>
      </c>
      <c r="E696" s="18">
        <f>IF(D696="","",D696*'参数与说明'!$B$6/25.4012)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23986</v>
      </c>
      <c r="B697" s="13" t="n">
        <v>1965</v>
      </c>
      <c r="C697" s="13" t="n">
        <v>9</v>
      </c>
      <c r="D697" s="14" t="n">
        <v>1.18</v>
      </c>
      <c r="E697" s="14">
        <f>IF(D697="","",D697*'参数与说明'!$B$6/25.4012)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24016</v>
      </c>
      <c r="B698" s="17" t="n">
        <v>1965</v>
      </c>
      <c r="C698" s="17" t="n">
        <v>10</v>
      </c>
      <c r="D698" s="18" t="n">
        <v>1.1</v>
      </c>
      <c r="E698" s="18">
        <f>IF(D698="","",D698*'参数与说明'!$B$6/25.4012)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24047</v>
      </c>
      <c r="B699" s="13" t="n">
        <v>1965</v>
      </c>
      <c r="C699" s="13" t="n">
        <v>11</v>
      </c>
      <c r="D699" s="14" t="n">
        <v>1.04</v>
      </c>
      <c r="E699" s="14">
        <f>IF(D699="","",D699*'参数与说明'!$B$6/25.4012)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24077</v>
      </c>
      <c r="B700" s="17" t="n">
        <v>1965</v>
      </c>
      <c r="C700" s="17" t="n">
        <v>12</v>
      </c>
      <c r="D700" s="18" t="n">
        <v>1.13</v>
      </c>
      <c r="E700" s="18">
        <f>IF(D700="","",D700*'参数与说明'!$B$6/25.4012)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24108</v>
      </c>
      <c r="B701" s="13" t="n">
        <v>1966</v>
      </c>
      <c r="C701" s="13" t="n">
        <v>1</v>
      </c>
      <c r="D701" s="14" t="n">
        <v>1.19</v>
      </c>
      <c r="E701" s="14">
        <f>IF(D701="","",D701*'参数与说明'!$B$6/25.4012)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24139</v>
      </c>
      <c r="B702" s="17" t="n">
        <v>1966</v>
      </c>
      <c r="C702" s="17" t="n">
        <v>2</v>
      </c>
      <c r="D702" s="18" t="n">
        <v>1.2</v>
      </c>
      <c r="E702" s="18">
        <f>IF(D702="","",D702*'参数与说明'!$B$6/25.4012)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24167</v>
      </c>
      <c r="B703" s="13" t="n">
        <v>1966</v>
      </c>
      <c r="C703" s="13" t="n">
        <v>3</v>
      </c>
      <c r="D703" s="14" t="n">
        <v>1.17</v>
      </c>
      <c r="E703" s="14">
        <f>IF(D703="","",D703*'参数与说明'!$B$6/25.4012)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24198</v>
      </c>
      <c r="B704" s="17" t="n">
        <v>1966</v>
      </c>
      <c r="C704" s="17" t="n">
        <v>4</v>
      </c>
      <c r="D704" s="18" t="n">
        <v>1.19</v>
      </c>
      <c r="E704" s="18">
        <f>IF(D704="","",D704*'参数与说明'!$B$6/25.4012)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24228</v>
      </c>
      <c r="B705" s="13" t="n">
        <v>1966</v>
      </c>
      <c r="C705" s="13" t="n">
        <v>5</v>
      </c>
      <c r="D705" s="14" t="n">
        <v>1.21</v>
      </c>
      <c r="E705" s="14">
        <f>IF(D705="","",D705*'参数与说明'!$B$6/25.4012)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24259</v>
      </c>
      <c r="B706" s="17" t="n">
        <v>1966</v>
      </c>
      <c r="C706" s="17" t="n">
        <v>6</v>
      </c>
      <c r="D706" s="18" t="n">
        <v>1.2</v>
      </c>
      <c r="E706" s="18">
        <f>IF(D706="","",D706*'参数与说明'!$B$6/25.4012)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24289</v>
      </c>
      <c r="B707" s="13" t="n">
        <v>1966</v>
      </c>
      <c r="C707" s="13" t="n">
        <v>7</v>
      </c>
      <c r="D707" s="14" t="n">
        <v>1.27</v>
      </c>
      <c r="E707" s="14">
        <f>IF(D707="","",D707*'参数与说明'!$B$6/25.4012)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24320</v>
      </c>
      <c r="B708" s="17" t="n">
        <v>1966</v>
      </c>
      <c r="C708" s="17" t="n">
        <v>8</v>
      </c>
      <c r="D708" s="18" t="n">
        <v>1.34</v>
      </c>
      <c r="E708" s="18">
        <f>IF(D708="","",D708*'参数与说明'!$B$6/25.4012)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24351</v>
      </c>
      <c r="B709" s="13" t="n">
        <v>1966</v>
      </c>
      <c r="C709" s="13" t="n">
        <v>9</v>
      </c>
      <c r="D709" s="14" t="n">
        <v>1.35</v>
      </c>
      <c r="E709" s="14">
        <f>IF(D709="","",D709*'参数与说明'!$B$6/25.4012)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24381</v>
      </c>
      <c r="B710" s="17" t="n">
        <v>1966</v>
      </c>
      <c r="C710" s="17" t="n">
        <v>10</v>
      </c>
      <c r="D710" s="18" t="n">
        <v>1.29</v>
      </c>
      <c r="E710" s="18">
        <f>IF(D710="","",D710*'参数与说明'!$B$6/25.4012)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24412</v>
      </c>
      <c r="B711" s="13" t="n">
        <v>1966</v>
      </c>
      <c r="C711" s="13" t="n">
        <v>11</v>
      </c>
      <c r="D711" s="14" t="n">
        <v>1.26</v>
      </c>
      <c r="E711" s="14">
        <f>IF(D711="","",D711*'参数与说明'!$B$6/25.4012)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24442</v>
      </c>
      <c r="B712" s="17" t="n">
        <v>1966</v>
      </c>
      <c r="C712" s="17" t="n">
        <v>12</v>
      </c>
      <c r="D712" s="18" t="n">
        <v>1.29</v>
      </c>
      <c r="E712" s="18">
        <f>IF(D712="","",D712*'参数与说明'!$B$6/25.4012)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24473</v>
      </c>
      <c r="B713" s="13" t="n">
        <v>1967</v>
      </c>
      <c r="C713" s="13" t="n">
        <v>1</v>
      </c>
      <c r="D713" s="14" t="n">
        <v>1.28</v>
      </c>
      <c r="E713" s="14">
        <f>IF(D713="","",D713*'参数与说明'!$B$6/25.4012)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24504</v>
      </c>
      <c r="B714" s="17" t="n">
        <v>1967</v>
      </c>
      <c r="C714" s="17" t="n">
        <v>2</v>
      </c>
      <c r="D714" s="18" t="n">
        <v>1.26</v>
      </c>
      <c r="E714" s="18">
        <f>IF(D714="","",D714*'参数与说明'!$B$6/25.4012)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24532</v>
      </c>
      <c r="B715" s="13" t="n">
        <v>1967</v>
      </c>
      <c r="C715" s="13" t="n">
        <v>3</v>
      </c>
      <c r="D715" s="14" t="n">
        <v>1.28</v>
      </c>
      <c r="E715" s="14">
        <f>IF(D715="","",D715*'参数与说明'!$B$6/25.4012)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24563</v>
      </c>
      <c r="B716" s="17" t="n">
        <v>1967</v>
      </c>
      <c r="C716" s="17" t="n">
        <v>4</v>
      </c>
      <c r="D716" s="18" t="n">
        <v>1.26</v>
      </c>
      <c r="E716" s="18">
        <f>IF(D716="","",D716*'参数与说明'!$B$6/25.4012)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24593</v>
      </c>
      <c r="B717" s="13" t="n">
        <v>1967</v>
      </c>
      <c r="C717" s="13" t="n">
        <v>5</v>
      </c>
      <c r="D717" s="14" t="n">
        <v>1.25</v>
      </c>
      <c r="E717" s="14">
        <f>IF(D717="","",D717*'参数与说明'!$B$6/25.4012)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24624</v>
      </c>
      <c r="B718" s="17" t="n">
        <v>1967</v>
      </c>
      <c r="C718" s="17" t="n">
        <v>6</v>
      </c>
      <c r="D718" s="18" t="n">
        <v>1.26</v>
      </c>
      <c r="E718" s="18">
        <f>IF(D718="","",D718*'参数与说明'!$B$6/25.4012)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24654</v>
      </c>
      <c r="B719" s="13" t="n">
        <v>1967</v>
      </c>
      <c r="C719" s="13" t="n">
        <v>7</v>
      </c>
      <c r="D719" s="14" t="n">
        <v>1.21</v>
      </c>
      <c r="E719" s="14">
        <f>IF(D719="","",D719*'参数与说明'!$B$6/25.4012)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24685</v>
      </c>
      <c r="B720" s="17" t="n">
        <v>1967</v>
      </c>
      <c r="C720" s="17" t="n">
        <v>8</v>
      </c>
      <c r="D720" s="18" t="n">
        <v>1.11</v>
      </c>
      <c r="E720" s="18">
        <f>IF(D720="","",D720*'参数与说明'!$B$6/25.4012)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24716</v>
      </c>
      <c r="B721" s="13" t="n">
        <v>1967</v>
      </c>
      <c r="C721" s="13" t="n">
        <v>9</v>
      </c>
      <c r="D721" s="14" t="n">
        <v>1.12</v>
      </c>
      <c r="E721" s="14">
        <f>IF(D721="","",D721*'参数与说明'!$B$6/25.4012)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24746</v>
      </c>
      <c r="B722" s="17" t="n">
        <v>1967</v>
      </c>
      <c r="C722" s="17" t="n">
        <v>10</v>
      </c>
      <c r="D722" s="18" t="n">
        <v>1.04</v>
      </c>
      <c r="E722" s="18">
        <f>IF(D722="","",D722*'参数与说明'!$B$6/25.4012)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24777</v>
      </c>
      <c r="B723" s="13" t="n">
        <v>1967</v>
      </c>
      <c r="C723" s="13" t="n">
        <v>11</v>
      </c>
      <c r="D723" s="14" t="n">
        <v>0.975</v>
      </c>
      <c r="E723" s="14">
        <f>IF(D723="","",D723*'参数与说明'!$B$6/25.4012)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24807</v>
      </c>
      <c r="B724" s="17" t="n">
        <v>1967</v>
      </c>
      <c r="C724" s="17" t="n">
        <v>12</v>
      </c>
      <c r="D724" s="18" t="n">
        <v>1.03</v>
      </c>
      <c r="E724" s="18">
        <f>IF(D724="","",D724*'参数与说明'!$B$6/25.4012)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24838</v>
      </c>
      <c r="B725" s="13" t="n">
        <v>1968</v>
      </c>
      <c r="C725" s="13" t="n">
        <v>1</v>
      </c>
      <c r="D725" s="14" t="n">
        <v>1.04</v>
      </c>
      <c r="E725" s="14">
        <f>IF(D725="","",D725*'参数与说明'!$B$6/25.4012)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24869</v>
      </c>
      <c r="B726" s="17" t="n">
        <v>1968</v>
      </c>
      <c r="C726" s="17" t="n">
        <v>2</v>
      </c>
      <c r="D726" s="18" t="n">
        <v>1.06</v>
      </c>
      <c r="E726" s="18">
        <f>IF(D726="","",D726*'参数与说明'!$B$6/25.4012)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24898</v>
      </c>
      <c r="B727" s="13" t="n">
        <v>1968</v>
      </c>
      <c r="C727" s="13" t="n">
        <v>3</v>
      </c>
      <c r="D727" s="14" t="n">
        <v>1.06</v>
      </c>
      <c r="E727" s="14">
        <f>IF(D727="","",D727*'参数与说明'!$B$6/25.4012)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24929</v>
      </c>
      <c r="B728" s="17" t="n">
        <v>1968</v>
      </c>
      <c r="C728" s="17" t="n">
        <v>4</v>
      </c>
      <c r="D728" s="18" t="n">
        <v>1.06</v>
      </c>
      <c r="E728" s="18">
        <f>IF(D728="","",D728*'参数与说明'!$B$6/25.4012)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24959</v>
      </c>
      <c r="B729" s="13" t="n">
        <v>1968</v>
      </c>
      <c r="C729" s="13" t="n">
        <v>5</v>
      </c>
      <c r="D729" s="14" t="n">
        <v>1.09</v>
      </c>
      <c r="E729" s="14">
        <f>IF(D729="","",D729*'参数与说明'!$B$6/25.4012)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24990</v>
      </c>
      <c r="B730" s="17" t="n">
        <v>1968</v>
      </c>
      <c r="C730" s="17" t="n">
        <v>6</v>
      </c>
      <c r="D730" s="18" t="n">
        <v>1.07</v>
      </c>
      <c r="E730" s="18">
        <f>IF(D730="","",D730*'参数与说明'!$B$6/25.4012)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25020</v>
      </c>
      <c r="B731" s="13" t="n">
        <v>1968</v>
      </c>
      <c r="C731" s="13" t="n">
        <v>7</v>
      </c>
      <c r="D731" s="14" t="n">
        <v>1.04</v>
      </c>
      <c r="E731" s="14">
        <f>IF(D731="","",D731*'参数与说明'!$B$6/25.4012)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25051</v>
      </c>
      <c r="B732" s="17" t="n">
        <v>1968</v>
      </c>
      <c r="C732" s="17" t="n">
        <v>8</v>
      </c>
      <c r="D732" s="18" t="n">
        <v>0.986</v>
      </c>
      <c r="E732" s="18">
        <f>IF(D732="","",D732*'参数与说明'!$B$6/25.4012)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25082</v>
      </c>
      <c r="B733" s="13" t="n">
        <v>1968</v>
      </c>
      <c r="C733" s="13" t="n">
        <v>9</v>
      </c>
      <c r="D733" s="14" t="n">
        <v>1.01</v>
      </c>
      <c r="E733" s="14">
        <f>IF(D733="","",D733*'参数与说明'!$B$6/25.4012)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25112</v>
      </c>
      <c r="B734" s="17" t="n">
        <v>1968</v>
      </c>
      <c r="C734" s="17" t="n">
        <v>10</v>
      </c>
      <c r="D734" s="18" t="n">
        <v>0.962</v>
      </c>
      <c r="E734" s="18">
        <f>IF(D734="","",D734*'参数与说明'!$B$6/25.4012)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25143</v>
      </c>
      <c r="B735" s="13" t="n">
        <v>1968</v>
      </c>
      <c r="C735" s="13" t="n">
        <v>11</v>
      </c>
      <c r="D735" s="14" t="n">
        <v>1.04</v>
      </c>
      <c r="E735" s="14">
        <f>IF(D735="","",D735*'参数与说明'!$B$6/25.4012)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25173</v>
      </c>
      <c r="B736" s="17" t="n">
        <v>1968</v>
      </c>
      <c r="C736" s="17" t="n">
        <v>12</v>
      </c>
      <c r="D736" s="18" t="n">
        <v>1.05</v>
      </c>
      <c r="E736" s="18">
        <f>IF(D736="","",D736*'参数与说明'!$B$6/25.4012)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25204</v>
      </c>
      <c r="B737" s="13" t="n">
        <v>1969</v>
      </c>
      <c r="C737" s="13" t="n">
        <v>1</v>
      </c>
      <c r="D737" s="14" t="n">
        <v>1.08</v>
      </c>
      <c r="E737" s="14">
        <f>IF(D737="","",D737*'参数与说明'!$B$6/25.4012)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25235</v>
      </c>
      <c r="B738" s="17" t="n">
        <v>1969</v>
      </c>
      <c r="C738" s="17" t="n">
        <v>2</v>
      </c>
      <c r="D738" s="18" t="n">
        <v>1.09</v>
      </c>
      <c r="E738" s="18">
        <f>IF(D738="","",D738*'参数与说明'!$B$6/25.4012)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25263</v>
      </c>
      <c r="B739" s="13" t="n">
        <v>1969</v>
      </c>
      <c r="C739" s="13" t="n">
        <v>3</v>
      </c>
      <c r="D739" s="14" t="n">
        <v>1.09</v>
      </c>
      <c r="E739" s="14">
        <f>IF(D739="","",D739*'参数与说明'!$B$6/25.4012)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25294</v>
      </c>
      <c r="B740" s="17" t="n">
        <v>1969</v>
      </c>
      <c r="C740" s="17" t="n">
        <v>4</v>
      </c>
      <c r="D740" s="18" t="n">
        <v>1.12</v>
      </c>
      <c r="E740" s="18">
        <f>IF(D740="","",D740*'参数与说明'!$B$6/25.4012)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25324</v>
      </c>
      <c r="B741" s="13" t="n">
        <v>1969</v>
      </c>
      <c r="C741" s="13" t="n">
        <v>5</v>
      </c>
      <c r="D741" s="14" t="n">
        <v>1.19</v>
      </c>
      <c r="E741" s="14">
        <f>IF(D741="","",D741*'参数与说明'!$B$6/25.4012)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25355</v>
      </c>
      <c r="B742" s="17" t="n">
        <v>1969</v>
      </c>
      <c r="C742" s="17" t="n">
        <v>6</v>
      </c>
      <c r="D742" s="18" t="n">
        <v>1.18</v>
      </c>
      <c r="E742" s="18">
        <f>IF(D742="","",D742*'参数与说明'!$B$6/25.4012)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25385</v>
      </c>
      <c r="B743" s="13" t="n">
        <v>1969</v>
      </c>
      <c r="C743" s="13" t="n">
        <v>7</v>
      </c>
      <c r="D743" s="14" t="n">
        <v>1.18</v>
      </c>
      <c r="E743" s="14">
        <f>IF(D743="","",D743*'参数与说明'!$B$6/25.4012)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25416</v>
      </c>
      <c r="B744" s="17" t="n">
        <v>1969</v>
      </c>
      <c r="C744" s="17" t="n">
        <v>8</v>
      </c>
      <c r="D744" s="18" t="n">
        <v>1.18</v>
      </c>
      <c r="E744" s="18">
        <f>IF(D744="","",D744*'参数与说明'!$B$6/25.4012)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25447</v>
      </c>
      <c r="B745" s="13" t="n">
        <v>1969</v>
      </c>
      <c r="C745" s="13" t="n">
        <v>9</v>
      </c>
      <c r="D745" s="14" t="n">
        <v>1.15</v>
      </c>
      <c r="E745" s="14">
        <f>IF(D745="","",D745*'参数与说明'!$B$6/25.4012)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25477</v>
      </c>
      <c r="B746" s="17" t="n">
        <v>1969</v>
      </c>
      <c r="C746" s="17" t="n">
        <v>10</v>
      </c>
      <c r="D746" s="18" t="n">
        <v>1.12</v>
      </c>
      <c r="E746" s="18">
        <f>IF(D746="","",D746*'参数与说明'!$B$6/25.4012)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25508</v>
      </c>
      <c r="B747" s="13" t="n">
        <v>1969</v>
      </c>
      <c r="C747" s="13" t="n">
        <v>11</v>
      </c>
      <c r="D747" s="14" t="n">
        <v>1.07</v>
      </c>
      <c r="E747" s="14">
        <f>IF(D747="","",D747*'参数与说明'!$B$6/25.4012)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25538</v>
      </c>
      <c r="B748" s="17" t="n">
        <v>1969</v>
      </c>
      <c r="C748" s="17" t="n">
        <v>12</v>
      </c>
      <c r="D748" s="18" t="n">
        <v>1.09</v>
      </c>
      <c r="E748" s="18">
        <f>IF(D748="","",D748*'参数与说明'!$B$6/25.4012)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25569</v>
      </c>
      <c r="B749" s="13" t="n">
        <v>1970</v>
      </c>
      <c r="C749" s="13" t="n">
        <v>1</v>
      </c>
      <c r="D749" s="14" t="n">
        <v>1.12</v>
      </c>
      <c r="E749" s="14">
        <f>IF(D749="","",D749*'参数与说明'!$B$6/25.4012)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25600</v>
      </c>
      <c r="B750" s="17" t="n">
        <v>1970</v>
      </c>
      <c r="C750" s="17" t="n">
        <v>2</v>
      </c>
      <c r="D750" s="18" t="n">
        <v>1.14</v>
      </c>
      <c r="E750" s="18">
        <f>IF(D750="","",D750*'参数与说明'!$B$6/25.4012)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25628</v>
      </c>
      <c r="B751" s="13" t="n">
        <v>1970</v>
      </c>
      <c r="C751" s="13" t="n">
        <v>3</v>
      </c>
      <c r="D751" s="14" t="n">
        <v>1.13</v>
      </c>
      <c r="E751" s="14">
        <f>IF(D751="","",D751*'参数与说明'!$B$6/25.4012)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25659</v>
      </c>
      <c r="B752" s="17" t="n">
        <v>1970</v>
      </c>
      <c r="C752" s="17" t="n">
        <v>4</v>
      </c>
      <c r="D752" s="18" t="n">
        <v>1.15</v>
      </c>
      <c r="E752" s="18">
        <f>IF(D752="","",D752*'参数与说明'!$B$6/25.4012)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25689</v>
      </c>
      <c r="B753" s="13" t="n">
        <v>1970</v>
      </c>
      <c r="C753" s="13" t="n">
        <v>5</v>
      </c>
      <c r="D753" s="14" t="n">
        <v>1.18</v>
      </c>
      <c r="E753" s="14">
        <f>IF(D753="","",D753*'参数与说明'!$B$6/25.4012)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25720</v>
      </c>
      <c r="B754" s="17" t="n">
        <v>1970</v>
      </c>
      <c r="C754" s="17" t="n">
        <v>6</v>
      </c>
      <c r="D754" s="18" t="n">
        <v>1.21</v>
      </c>
      <c r="E754" s="18">
        <f>IF(D754="","",D754*'参数与说明'!$B$6/25.4012)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25750</v>
      </c>
      <c r="B755" s="13" t="n">
        <v>1970</v>
      </c>
      <c r="C755" s="13" t="n">
        <v>7</v>
      </c>
      <c r="D755" s="14" t="n">
        <v>1.24</v>
      </c>
      <c r="E755" s="14">
        <f>IF(D755="","",D755*'参数与说明'!$B$6/25.4012)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25781</v>
      </c>
      <c r="B756" s="17" t="n">
        <v>1970</v>
      </c>
      <c r="C756" s="17" t="n">
        <v>8</v>
      </c>
      <c r="D756" s="18" t="n">
        <v>1.27</v>
      </c>
      <c r="E756" s="18">
        <f>IF(D756="","",D756*'参数与说明'!$B$6/25.4012)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25812</v>
      </c>
      <c r="B757" s="13" t="n">
        <v>1970</v>
      </c>
      <c r="C757" s="13" t="n">
        <v>9</v>
      </c>
      <c r="D757" s="14" t="n">
        <v>1.38</v>
      </c>
      <c r="E757" s="14">
        <f>IF(D757="","",D757*'参数与说明'!$B$6/25.4012)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25842</v>
      </c>
      <c r="B758" s="17" t="n">
        <v>1970</v>
      </c>
      <c r="C758" s="17" t="n">
        <v>10</v>
      </c>
      <c r="D758" s="18" t="n">
        <v>1.34</v>
      </c>
      <c r="E758" s="18">
        <f>IF(D758="","",D758*'参数与说明'!$B$6/25.4012)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25873</v>
      </c>
      <c r="B759" s="13" t="n">
        <v>1970</v>
      </c>
      <c r="C759" s="13" t="n">
        <v>11</v>
      </c>
      <c r="D759" s="14" t="n">
        <v>1.29</v>
      </c>
      <c r="E759" s="14">
        <f>IF(D759="","",D759*'参数与说明'!$B$6/25.4012)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25903</v>
      </c>
      <c r="B760" s="17" t="n">
        <v>1970</v>
      </c>
      <c r="C760" s="17" t="n">
        <v>12</v>
      </c>
      <c r="D760" s="18" t="n">
        <v>1.36</v>
      </c>
      <c r="E760" s="18">
        <f>IF(D760="","",D760*'参数与说明'!$B$6/25.4012)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25934</v>
      </c>
      <c r="B761" s="13" t="n">
        <v>1971</v>
      </c>
      <c r="C761" s="13" t="n">
        <v>1</v>
      </c>
      <c r="D761" s="14" t="n">
        <v>1.42</v>
      </c>
      <c r="E761" s="14">
        <f>IF(D761="","",D761*'参数与说明'!$B$6/25.4012)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25965</v>
      </c>
      <c r="B762" s="17" t="n">
        <v>1971</v>
      </c>
      <c r="C762" s="17" t="n">
        <v>2</v>
      </c>
      <c r="D762" s="18" t="n">
        <v>1.43</v>
      </c>
      <c r="E762" s="18">
        <f>IF(D762="","",D762*'参数与说明'!$B$6/25.4012)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25993</v>
      </c>
      <c r="B763" s="13" t="n">
        <v>1971</v>
      </c>
      <c r="C763" s="13" t="n">
        <v>3</v>
      </c>
      <c r="D763" s="14" t="n">
        <v>1.43</v>
      </c>
      <c r="E763" s="14">
        <f>IF(D763="","",D763*'参数与说明'!$B$6/25.4012)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26024</v>
      </c>
      <c r="B764" s="17" t="n">
        <v>1971</v>
      </c>
      <c r="C764" s="17" t="n">
        <v>4</v>
      </c>
      <c r="D764" s="18" t="n">
        <v>1.41</v>
      </c>
      <c r="E764" s="18">
        <f>IF(D764="","",D764*'参数与说明'!$B$6/25.4012)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26054</v>
      </c>
      <c r="B765" s="13" t="n">
        <v>1971</v>
      </c>
      <c r="C765" s="13" t="n">
        <v>5</v>
      </c>
      <c r="D765" s="14" t="n">
        <v>1.38</v>
      </c>
      <c r="E765" s="14">
        <f>IF(D765="","",D765*'参数与说明'!$B$6/25.4012)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26085</v>
      </c>
      <c r="B766" s="17" t="n">
        <v>1971</v>
      </c>
      <c r="C766" s="17" t="n">
        <v>6</v>
      </c>
      <c r="D766" s="18" t="n">
        <v>1.43</v>
      </c>
      <c r="E766" s="18">
        <f>IF(D766="","",D766*'参数与说明'!$B$6/25.4012)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26115</v>
      </c>
      <c r="B767" s="13" t="n">
        <v>1971</v>
      </c>
      <c r="C767" s="13" t="n">
        <v>7</v>
      </c>
      <c r="D767" s="14" t="n">
        <v>1.36</v>
      </c>
      <c r="E767" s="14">
        <f>IF(D767="","",D767*'参数与说明'!$B$6/25.4012)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26146</v>
      </c>
      <c r="B768" s="17" t="n">
        <v>1971</v>
      </c>
      <c r="C768" s="17" t="n">
        <v>8</v>
      </c>
      <c r="D768" s="18" t="n">
        <v>1.19</v>
      </c>
      <c r="E768" s="18">
        <f>IF(D768="","",D768*'参数与说明'!$B$6/25.4012)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26177</v>
      </c>
      <c r="B769" s="13" t="n">
        <v>1971</v>
      </c>
      <c r="C769" s="13" t="n">
        <v>9</v>
      </c>
      <c r="D769" s="14" t="n">
        <v>1.11</v>
      </c>
      <c r="E769" s="14">
        <f>IF(D769="","",D769*'参数与说明'!$B$6/25.4012)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26207</v>
      </c>
      <c r="B770" s="17" t="n">
        <v>1971</v>
      </c>
      <c r="C770" s="17" t="n">
        <v>10</v>
      </c>
      <c r="D770" s="18" t="n">
        <v>1</v>
      </c>
      <c r="E770" s="18">
        <f>IF(D770="","",D770*'参数与说明'!$B$6/25.4012)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26238</v>
      </c>
      <c r="B771" s="13" t="n">
        <v>1971</v>
      </c>
      <c r="C771" s="13" t="n">
        <v>11</v>
      </c>
      <c r="D771" s="14" t="n">
        <v>0.974</v>
      </c>
      <c r="E771" s="14">
        <f>IF(D771="","",D771*'参数与说明'!$B$6/25.4012)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26268</v>
      </c>
      <c r="B772" s="17" t="n">
        <v>1971</v>
      </c>
      <c r="C772" s="17" t="n">
        <v>12</v>
      </c>
      <c r="D772" s="18" t="n">
        <v>1.08</v>
      </c>
      <c r="E772" s="18">
        <f>IF(D772="","",D772*'参数与说明'!$B$6/25.4012)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26299</v>
      </c>
      <c r="B773" s="13" t="n">
        <v>1972</v>
      </c>
      <c r="C773" s="13" t="n">
        <v>1</v>
      </c>
      <c r="D773" s="14" t="n">
        <v>1.09</v>
      </c>
      <c r="E773" s="14">
        <f>IF(D773="","",D773*'参数与说明'!$B$6/25.4012)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26330</v>
      </c>
      <c r="B774" s="17" t="n">
        <v>1972</v>
      </c>
      <c r="C774" s="17" t="n">
        <v>2</v>
      </c>
      <c r="D774" s="18" t="n">
        <v>1.09</v>
      </c>
      <c r="E774" s="18">
        <f>IF(D774="","",D774*'参数与说明'!$B$6/25.4012)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26359</v>
      </c>
      <c r="B775" s="13" t="n">
        <v>1972</v>
      </c>
      <c r="C775" s="13" t="n">
        <v>3</v>
      </c>
      <c r="D775" s="14" t="n">
        <v>1.1</v>
      </c>
      <c r="E775" s="14">
        <f>IF(D775="","",D775*'参数与说明'!$B$6/25.4012)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26390</v>
      </c>
      <c r="B776" s="17" t="n">
        <v>1972</v>
      </c>
      <c r="C776" s="17" t="n">
        <v>4</v>
      </c>
      <c r="D776" s="18" t="n">
        <v>1.13</v>
      </c>
      <c r="E776" s="18">
        <f>IF(D776="","",D776*'参数与说明'!$B$6/25.4012)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26420</v>
      </c>
      <c r="B777" s="13" t="n">
        <v>1972</v>
      </c>
      <c r="C777" s="13" t="n">
        <v>5</v>
      </c>
      <c r="D777" s="14" t="n">
        <v>1.15</v>
      </c>
      <c r="E777" s="14">
        <f>IF(D777="","",D777*'参数与说明'!$B$6/25.4012)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26451</v>
      </c>
      <c r="B778" s="17" t="n">
        <v>1972</v>
      </c>
      <c r="C778" s="17" t="n">
        <v>6</v>
      </c>
      <c r="D778" s="18" t="n">
        <v>1.13</v>
      </c>
      <c r="E778" s="18">
        <f>IF(D778="","",D778*'参数与说明'!$B$6/25.4012)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26481</v>
      </c>
      <c r="B779" s="13" t="n">
        <v>1972</v>
      </c>
      <c r="C779" s="13" t="n">
        <v>7</v>
      </c>
      <c r="D779" s="14" t="n">
        <v>1.14</v>
      </c>
      <c r="E779" s="14">
        <f>IF(D779="","",D779*'参数与说明'!$B$6/25.4012)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26512</v>
      </c>
      <c r="B780" s="17" t="n">
        <v>1972</v>
      </c>
      <c r="C780" s="17" t="n">
        <v>8</v>
      </c>
      <c r="D780" s="18" t="n">
        <v>1.15</v>
      </c>
      <c r="E780" s="18">
        <f>IF(D780="","",D780*'参数与说明'!$B$6/25.4012)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26543</v>
      </c>
      <c r="B781" s="13" t="n">
        <v>1972</v>
      </c>
      <c r="C781" s="13" t="n">
        <v>9</v>
      </c>
      <c r="D781" s="14" t="n">
        <v>1.22</v>
      </c>
      <c r="E781" s="14">
        <f>IF(D781="","",D781*'参数与说明'!$B$6/25.4012)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26573</v>
      </c>
      <c r="B782" s="17" t="n">
        <v>1972</v>
      </c>
      <c r="C782" s="17" t="n">
        <v>10</v>
      </c>
      <c r="D782" s="18" t="n">
        <v>1.19</v>
      </c>
      <c r="E782" s="18">
        <f>IF(D782="","",D782*'参数与说明'!$B$6/25.4012)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26604</v>
      </c>
      <c r="B783" s="13" t="n">
        <v>1972</v>
      </c>
      <c r="C783" s="13" t="n">
        <v>11</v>
      </c>
      <c r="D783" s="14" t="n">
        <v>1.2</v>
      </c>
      <c r="E783" s="14">
        <f>IF(D783="","",D783*'参数与说明'!$B$6/25.4012)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26634</v>
      </c>
      <c r="B784" s="17" t="n">
        <v>1972</v>
      </c>
      <c r="C784" s="17" t="n">
        <v>12</v>
      </c>
      <c r="D784" s="18" t="n">
        <v>1.42</v>
      </c>
      <c r="E784" s="18">
        <f>IF(D784="","",D784*'参数与说明'!$B$6/25.4012)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26665</v>
      </c>
      <c r="B785" s="13" t="n">
        <v>1973</v>
      </c>
      <c r="C785" s="13" t="n">
        <v>1</v>
      </c>
      <c r="D785" s="14" t="n">
        <v>1.39</v>
      </c>
      <c r="E785" s="14">
        <f>IF(D785="","",D785*'参数与说明'!$B$6/25.4012)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26696</v>
      </c>
      <c r="B786" s="17" t="n">
        <v>1973</v>
      </c>
      <c r="C786" s="17" t="n">
        <v>2</v>
      </c>
      <c r="D786" s="18" t="n">
        <v>1.35</v>
      </c>
      <c r="E786" s="18">
        <f>IF(D786="","",D786*'参数与说明'!$B$6/25.4012)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26724</v>
      </c>
      <c r="B787" s="13" t="n">
        <v>1973</v>
      </c>
      <c r="C787" s="13" t="n">
        <v>3</v>
      </c>
      <c r="D787" s="14" t="n">
        <v>1.37</v>
      </c>
      <c r="E787" s="14">
        <f>IF(D787="","",D787*'参数与说明'!$B$6/25.4012)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26755</v>
      </c>
      <c r="B788" s="17" t="n">
        <v>1973</v>
      </c>
      <c r="C788" s="17" t="n">
        <v>4</v>
      </c>
      <c r="D788" s="18" t="n">
        <v>1.42</v>
      </c>
      <c r="E788" s="18">
        <f>IF(D788="","",D788*'参数与说明'!$B$6/25.4012)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26785</v>
      </c>
      <c r="B789" s="13" t="n">
        <v>1973</v>
      </c>
      <c r="C789" s="13" t="n">
        <v>5</v>
      </c>
      <c r="D789" s="14" t="n">
        <v>1.61</v>
      </c>
      <c r="E789" s="14">
        <f>IF(D789="","",D789*'参数与说明'!$B$6/25.4012)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26816</v>
      </c>
      <c r="B790" s="17" t="n">
        <v>1973</v>
      </c>
      <c r="C790" s="17" t="n">
        <v>6</v>
      </c>
      <c r="D790" s="18" t="n">
        <v>1.99</v>
      </c>
      <c r="E790" s="18">
        <f>IF(D790="","",D790*'参数与说明'!$B$6/25.4012)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26846</v>
      </c>
      <c r="B791" s="13" t="n">
        <v>1973</v>
      </c>
      <c r="C791" s="13" t="n">
        <v>7</v>
      </c>
      <c r="D791" s="14" t="n">
        <v>2.03</v>
      </c>
      <c r="E791" s="14">
        <f>IF(D791="","",D791*'参数与说明'!$B$6/25.4012)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26877</v>
      </c>
      <c r="B792" s="17" t="n">
        <v>1973</v>
      </c>
      <c r="C792" s="17" t="n">
        <v>8</v>
      </c>
      <c r="D792" s="18" t="n">
        <v>2.68</v>
      </c>
      <c r="E792" s="18">
        <f>IF(D792="","",D792*'参数与说明'!$B$6/25.4012)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26908</v>
      </c>
      <c r="B793" s="13" t="n">
        <v>1973</v>
      </c>
      <c r="C793" s="13" t="n">
        <v>9</v>
      </c>
      <c r="D793" s="14" t="n">
        <v>2.15</v>
      </c>
      <c r="E793" s="14">
        <f>IF(D793="","",D793*'参数与说明'!$B$6/25.4012)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26938</v>
      </c>
      <c r="B794" s="17" t="n">
        <v>1973</v>
      </c>
      <c r="C794" s="17" t="n">
        <v>10</v>
      </c>
      <c r="D794" s="18" t="n">
        <v>2.17</v>
      </c>
      <c r="E794" s="18">
        <f>IF(D794="","",D794*'参数与说明'!$B$6/25.4012)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26969</v>
      </c>
      <c r="B795" s="13" t="n">
        <v>1973</v>
      </c>
      <c r="C795" s="13" t="n">
        <v>11</v>
      </c>
      <c r="D795" s="14" t="n">
        <v>2.18</v>
      </c>
      <c r="E795" s="14">
        <f>IF(D795="","",D795*'参数与说明'!$B$6/25.4012)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26999</v>
      </c>
      <c r="B796" s="17" t="n">
        <v>1973</v>
      </c>
      <c r="C796" s="17" t="n">
        <v>12</v>
      </c>
      <c r="D796" s="18" t="n">
        <v>2.39</v>
      </c>
      <c r="E796" s="18">
        <f>IF(D796="","",D796*'参数与说明'!$B$6/25.4012)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27030</v>
      </c>
      <c r="B797" s="13" t="n">
        <v>1974</v>
      </c>
      <c r="C797" s="13" t="n">
        <v>1</v>
      </c>
      <c r="D797" s="14" t="n">
        <v>2.59</v>
      </c>
      <c r="E797" s="14">
        <f>IF(D797="","",D797*'参数与说明'!$B$6/25.4012)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27061</v>
      </c>
      <c r="B798" s="17" t="n">
        <v>1974</v>
      </c>
      <c r="C798" s="17" t="n">
        <v>2</v>
      </c>
      <c r="D798" s="18" t="n">
        <v>2.76</v>
      </c>
      <c r="E798" s="18">
        <f>IF(D798="","",D798*'参数与说明'!$B$6/25.4012)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27089</v>
      </c>
      <c r="B799" s="13" t="n">
        <v>1974</v>
      </c>
      <c r="C799" s="13" t="n">
        <v>3</v>
      </c>
      <c r="D799" s="14" t="n">
        <v>2.68</v>
      </c>
      <c r="E799" s="14">
        <f>IF(D799="","",D799*'参数与说明'!$B$6/25.4012)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27120</v>
      </c>
      <c r="B800" s="17" t="n">
        <v>1974</v>
      </c>
      <c r="C800" s="17" t="n">
        <v>4</v>
      </c>
      <c r="D800" s="18" t="n">
        <v>2.41</v>
      </c>
      <c r="E800" s="18">
        <f>IF(D800="","",D800*'参数与说明'!$B$6/25.4012)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27150</v>
      </c>
      <c r="B801" s="13" t="n">
        <v>1974</v>
      </c>
      <c r="C801" s="13" t="n">
        <v>5</v>
      </c>
      <c r="D801" s="14" t="n">
        <v>2.45</v>
      </c>
      <c r="E801" s="14">
        <f>IF(D801="","",D801*'参数与说明'!$B$6/25.4012)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27181</v>
      </c>
      <c r="B802" s="17" t="n">
        <v>1974</v>
      </c>
      <c r="C802" s="17" t="n">
        <v>6</v>
      </c>
      <c r="D802" s="18" t="n">
        <v>2.57</v>
      </c>
      <c r="E802" s="18">
        <f>IF(D802="","",D802*'参数与说明'!$B$6/25.4012)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27211</v>
      </c>
      <c r="B803" s="13" t="n">
        <v>1974</v>
      </c>
      <c r="C803" s="13" t="n">
        <v>7</v>
      </c>
      <c r="D803" s="14" t="n">
        <v>2.91</v>
      </c>
      <c r="E803" s="14">
        <f>IF(D803="","",D803*'参数与说明'!$B$6/25.4012)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27242</v>
      </c>
      <c r="B804" s="17" t="n">
        <v>1974</v>
      </c>
      <c r="C804" s="17" t="n">
        <v>8</v>
      </c>
      <c r="D804" s="18" t="n">
        <v>3.37</v>
      </c>
      <c r="E804" s="18">
        <f>IF(D804="","",D804*'参数与说明'!$B$6/25.4012)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27273</v>
      </c>
      <c r="B805" s="13" t="n">
        <v>1974</v>
      </c>
      <c r="C805" s="13" t="n">
        <v>9</v>
      </c>
      <c r="D805" s="14" t="n">
        <v>3.3</v>
      </c>
      <c r="E805" s="14">
        <f>IF(D805="","",D805*'参数与说明'!$B$6/25.4012)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27303</v>
      </c>
      <c r="B806" s="17" t="n">
        <v>1974</v>
      </c>
      <c r="C806" s="17" t="n">
        <v>10</v>
      </c>
      <c r="D806" s="18" t="n">
        <v>3.45</v>
      </c>
      <c r="E806" s="18">
        <f>IF(D806="","",D806*'参数与说明'!$B$6/25.4012)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27334</v>
      </c>
      <c r="B807" s="13" t="n">
        <v>1974</v>
      </c>
      <c r="C807" s="13" t="n">
        <v>11</v>
      </c>
      <c r="D807" s="14" t="n">
        <v>3.32</v>
      </c>
      <c r="E807" s="14">
        <f>IF(D807="","",D807*'参数与说明'!$B$6/25.4012)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27364</v>
      </c>
      <c r="B808" s="17" t="n">
        <v>1974</v>
      </c>
      <c r="C808" s="17" t="n">
        <v>12</v>
      </c>
      <c r="D808" s="18" t="n">
        <v>3.27</v>
      </c>
      <c r="E808" s="18">
        <f>IF(D808="","",D808*'参数与说明'!$B$6/25.4012)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27395</v>
      </c>
      <c r="B809" s="13" t="n">
        <v>1975</v>
      </c>
      <c r="C809" s="13" t="n">
        <v>1</v>
      </c>
      <c r="D809" s="14" t="n">
        <v>3.07</v>
      </c>
      <c r="E809" s="14">
        <f>IF(D809="","",D809*'参数与说明'!$B$6/25.4012)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27426</v>
      </c>
      <c r="B810" s="17" t="n">
        <v>1975</v>
      </c>
      <c r="C810" s="17" t="n">
        <v>2</v>
      </c>
      <c r="D810" s="18" t="n">
        <v>2.86</v>
      </c>
      <c r="E810" s="18">
        <f>IF(D810="","",D810*'参数与说明'!$B$6/25.4012)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27454</v>
      </c>
      <c r="B811" s="13" t="n">
        <v>1975</v>
      </c>
      <c r="C811" s="13" t="n">
        <v>3</v>
      </c>
      <c r="D811" s="14" t="n">
        <v>2.67</v>
      </c>
      <c r="E811" s="14">
        <f>IF(D811="","",D811*'参数与说明'!$B$6/25.4012)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27485</v>
      </c>
      <c r="B812" s="17" t="n">
        <v>1975</v>
      </c>
      <c r="C812" s="17" t="n">
        <v>4</v>
      </c>
      <c r="D812" s="18" t="n">
        <v>2.68</v>
      </c>
      <c r="E812" s="18">
        <f>IF(D812="","",D812*'参数与说明'!$B$6/25.4012)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27515</v>
      </c>
      <c r="B813" s="13" t="n">
        <v>1975</v>
      </c>
      <c r="C813" s="13" t="n">
        <v>5</v>
      </c>
      <c r="D813" s="14" t="n">
        <v>2.66</v>
      </c>
      <c r="E813" s="14">
        <f>IF(D813="","",D813*'参数与说明'!$B$6/25.4012)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27546</v>
      </c>
      <c r="B814" s="17" t="n">
        <v>1975</v>
      </c>
      <c r="C814" s="17" t="n">
        <v>6</v>
      </c>
      <c r="D814" s="18" t="n">
        <v>2.68</v>
      </c>
      <c r="E814" s="18">
        <f>IF(D814="","",D814*'参数与说明'!$B$6/25.4012)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27576</v>
      </c>
      <c r="B815" s="13" t="n">
        <v>1975</v>
      </c>
      <c r="C815" s="13" t="n">
        <v>7</v>
      </c>
      <c r="D815" s="14" t="n">
        <v>2.72</v>
      </c>
      <c r="E815" s="14">
        <f>IF(D815="","",D815*'参数与说明'!$B$6/25.4012)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27607</v>
      </c>
      <c r="B816" s="17" t="n">
        <v>1975</v>
      </c>
      <c r="C816" s="17" t="n">
        <v>8</v>
      </c>
      <c r="D816" s="18" t="n">
        <v>2.95</v>
      </c>
      <c r="E816" s="18">
        <f>IF(D816="","",D816*'参数与说明'!$B$6/25.4012)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27638</v>
      </c>
      <c r="B817" s="13" t="n">
        <v>1975</v>
      </c>
      <c r="C817" s="13" t="n">
        <v>9</v>
      </c>
      <c r="D817" s="14" t="n">
        <v>2.76</v>
      </c>
      <c r="E817" s="14">
        <f>IF(D817="","",D817*'参数与说明'!$B$6/25.4012)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27668</v>
      </c>
      <c r="B818" s="17" t="n">
        <v>1975</v>
      </c>
      <c r="C818" s="17" t="n">
        <v>10</v>
      </c>
      <c r="D818" s="18" t="n">
        <v>2.62</v>
      </c>
      <c r="E818" s="18">
        <f>IF(D818="","",D818*'参数与说明'!$B$6/25.4012)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27699</v>
      </c>
      <c r="B819" s="13" t="n">
        <v>1975</v>
      </c>
      <c r="C819" s="13" t="n">
        <v>11</v>
      </c>
      <c r="D819" s="14" t="n">
        <v>2.33</v>
      </c>
      <c r="E819" s="14">
        <f>IF(D819="","",D819*'参数与说明'!$B$6/25.4012)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27729</v>
      </c>
      <c r="B820" s="17" t="n">
        <v>1975</v>
      </c>
      <c r="C820" s="17" t="n">
        <v>12</v>
      </c>
      <c r="D820" s="18" t="n">
        <v>2.37</v>
      </c>
      <c r="E820" s="18">
        <f>IF(D820="","",D820*'参数与说明'!$B$6/25.4012)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27760</v>
      </c>
      <c r="B821" s="13" t="n">
        <v>1976</v>
      </c>
      <c r="C821" s="13" t="n">
        <v>1</v>
      </c>
      <c r="D821" s="14" t="n">
        <v>2.44</v>
      </c>
      <c r="E821" s="14">
        <f>IF(D821="","",D821*'参数与说明'!$B$6/25.4012)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27791</v>
      </c>
      <c r="B822" s="17" t="n">
        <v>1976</v>
      </c>
      <c r="C822" s="17" t="n">
        <v>2</v>
      </c>
      <c r="D822" s="18" t="n">
        <v>2.48</v>
      </c>
      <c r="E822" s="18">
        <f>IF(D822="","",D822*'参数与说明'!$B$6/25.4012)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27820</v>
      </c>
      <c r="B823" s="13" t="n">
        <v>1976</v>
      </c>
      <c r="C823" s="13" t="n">
        <v>3</v>
      </c>
      <c r="D823" s="14" t="n">
        <v>2.5</v>
      </c>
      <c r="E823" s="14">
        <f>IF(D823="","",D823*'参数与说明'!$B$6/25.4012)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27851</v>
      </c>
      <c r="B824" s="17" t="n">
        <v>1976</v>
      </c>
      <c r="C824" s="17" t="n">
        <v>4</v>
      </c>
      <c r="D824" s="18" t="n">
        <v>2.46</v>
      </c>
      <c r="E824" s="18">
        <f>IF(D824="","",D824*'参数与说明'!$B$6/25.4012)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27881</v>
      </c>
      <c r="B825" s="13" t="n">
        <v>1976</v>
      </c>
      <c r="C825" s="13" t="n">
        <v>5</v>
      </c>
      <c r="D825" s="14" t="n">
        <v>2.61</v>
      </c>
      <c r="E825" s="14">
        <f>IF(D825="","",D825*'参数与说明'!$B$6/25.4012)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27912</v>
      </c>
      <c r="B826" s="17" t="n">
        <v>1976</v>
      </c>
      <c r="C826" s="17" t="n">
        <v>6</v>
      </c>
      <c r="D826" s="18" t="n">
        <v>2.74</v>
      </c>
      <c r="E826" s="18">
        <f>IF(D826="","",D826*'参数与说明'!$B$6/25.4012)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27942</v>
      </c>
      <c r="B827" s="13" t="n">
        <v>1976</v>
      </c>
      <c r="C827" s="13" t="n">
        <v>7</v>
      </c>
      <c r="D827" s="14" t="n">
        <v>2.82</v>
      </c>
      <c r="E827" s="14">
        <f>IF(D827="","",D827*'参数与说明'!$B$6/25.4012)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27973</v>
      </c>
      <c r="B828" s="17" t="n">
        <v>1976</v>
      </c>
      <c r="C828" s="17" t="n">
        <v>8</v>
      </c>
      <c r="D828" s="18" t="n">
        <v>2.64</v>
      </c>
      <c r="E828" s="18">
        <f>IF(D828="","",D828*'参数与说明'!$B$6/25.4012)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28004</v>
      </c>
      <c r="B829" s="13" t="n">
        <v>1976</v>
      </c>
      <c r="C829" s="13" t="n">
        <v>9</v>
      </c>
      <c r="D829" s="14" t="n">
        <v>2.6</v>
      </c>
      <c r="E829" s="14">
        <f>IF(D829="","",D829*'参数与说明'!$B$6/25.4012)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28034</v>
      </c>
      <c r="B830" s="17" t="n">
        <v>1976</v>
      </c>
      <c r="C830" s="17" t="n">
        <v>10</v>
      </c>
      <c r="D830" s="18" t="n">
        <v>2.33</v>
      </c>
      <c r="E830" s="18">
        <f>IF(D830="","",D830*'参数与说明'!$B$6/25.4012)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28065</v>
      </c>
      <c r="B831" s="13" t="n">
        <v>1976</v>
      </c>
      <c r="C831" s="13" t="n">
        <v>11</v>
      </c>
      <c r="D831" s="14" t="n">
        <v>2.02</v>
      </c>
      <c r="E831" s="14">
        <f>IF(D831="","",D831*'参数与说明'!$B$6/25.4012)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28095</v>
      </c>
      <c r="B832" s="17" t="n">
        <v>1976</v>
      </c>
      <c r="C832" s="17" t="n">
        <v>12</v>
      </c>
      <c r="D832" s="18" t="n">
        <v>2.24</v>
      </c>
      <c r="E832" s="18">
        <f>IF(D832="","",D832*'参数与说明'!$B$6/25.4012)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28126</v>
      </c>
      <c r="B833" s="13" t="n">
        <v>1977</v>
      </c>
      <c r="C833" s="13" t="n">
        <v>1</v>
      </c>
      <c r="D833" s="14" t="n">
        <v>2.34</v>
      </c>
      <c r="E833" s="14">
        <f>IF(D833="","",D833*'参数与说明'!$B$6/25.4012)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28157</v>
      </c>
      <c r="B834" s="17" t="n">
        <v>1977</v>
      </c>
      <c r="C834" s="17" t="n">
        <v>2</v>
      </c>
      <c r="D834" s="18" t="n">
        <v>2.34</v>
      </c>
      <c r="E834" s="18">
        <f>IF(D834="","",D834*'参数与说明'!$B$6/25.4012)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28185</v>
      </c>
      <c r="B835" s="13" t="n">
        <v>1977</v>
      </c>
      <c r="C835" s="13" t="n">
        <v>3</v>
      </c>
      <c r="D835" s="14" t="n">
        <v>2.35</v>
      </c>
      <c r="E835" s="14">
        <f>IF(D835="","",D835*'参数与说明'!$B$6/25.4012)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28216</v>
      </c>
      <c r="B836" s="17" t="n">
        <v>1977</v>
      </c>
      <c r="C836" s="17" t="n">
        <v>4</v>
      </c>
      <c r="D836" s="18" t="n">
        <v>2.31</v>
      </c>
      <c r="E836" s="18">
        <f>IF(D836="","",D836*'参数与说明'!$B$6/25.4012)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28246</v>
      </c>
      <c r="B837" s="13" t="n">
        <v>1977</v>
      </c>
      <c r="C837" s="13" t="n">
        <v>5</v>
      </c>
      <c r="D837" s="14" t="n">
        <v>2.25</v>
      </c>
      <c r="E837" s="14">
        <f>IF(D837="","",D837*'参数与说明'!$B$6/25.4012)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28277</v>
      </c>
      <c r="B838" s="17" t="n">
        <v>1977</v>
      </c>
      <c r="C838" s="17" t="n">
        <v>6</v>
      </c>
      <c r="D838" s="18" t="n">
        <v>2.12</v>
      </c>
      <c r="E838" s="18">
        <f>IF(D838="","",D838*'参数与说明'!$B$6/25.4012)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28307</v>
      </c>
      <c r="B839" s="13" t="n">
        <v>1977</v>
      </c>
      <c r="C839" s="13" t="n">
        <v>7</v>
      </c>
      <c r="D839" s="14" t="n">
        <v>1.88</v>
      </c>
      <c r="E839" s="14">
        <f>IF(D839="","",D839*'参数与说明'!$B$6/25.4012)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28338</v>
      </c>
      <c r="B840" s="17" t="n">
        <v>1977</v>
      </c>
      <c r="C840" s="17" t="n">
        <v>8</v>
      </c>
      <c r="D840" s="18" t="n">
        <v>1.63</v>
      </c>
      <c r="E840" s="18">
        <f>IF(D840="","",D840*'参数与说明'!$B$6/25.4012)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28369</v>
      </c>
      <c r="B841" s="13" t="n">
        <v>1977</v>
      </c>
      <c r="C841" s="13" t="n">
        <v>9</v>
      </c>
      <c r="D841" s="14" t="n">
        <v>1.6</v>
      </c>
      <c r="E841" s="14">
        <f>IF(D841="","",D841*'参数与说明'!$B$6/25.4012)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28399</v>
      </c>
      <c r="B842" s="17" t="n">
        <v>1977</v>
      </c>
      <c r="C842" s="17" t="n">
        <v>10</v>
      </c>
      <c r="D842" s="18" t="n">
        <v>1.67</v>
      </c>
      <c r="E842" s="18">
        <f>IF(D842="","",D842*'参数与说明'!$B$6/25.4012)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28430</v>
      </c>
      <c r="B843" s="13" t="n">
        <v>1977</v>
      </c>
      <c r="C843" s="13" t="n">
        <v>11</v>
      </c>
      <c r="D843" s="14" t="n">
        <v>1.88</v>
      </c>
      <c r="E843" s="14">
        <f>IF(D843="","",D843*'参数与说明'!$B$6/25.4012)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28460</v>
      </c>
      <c r="B844" s="17" t="n">
        <v>1977</v>
      </c>
      <c r="C844" s="17" t="n">
        <v>12</v>
      </c>
      <c r="D844" s="18" t="n">
        <v>1.97</v>
      </c>
      <c r="E844" s="18">
        <f>IF(D844="","",D844*'参数与说明'!$B$6/25.4012)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28491</v>
      </c>
      <c r="B845" s="13" t="n">
        <v>1978</v>
      </c>
      <c r="C845" s="13" t="n">
        <v>1</v>
      </c>
      <c r="D845" s="14" t="n">
        <v>2</v>
      </c>
      <c r="E845" s="14">
        <f>IF(D845="","",D845*'参数与说明'!$B$6/25.4012)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28522</v>
      </c>
      <c r="B846" s="17" t="n">
        <v>1978</v>
      </c>
      <c r="C846" s="17" t="n">
        <v>2</v>
      </c>
      <c r="D846" s="18" t="n">
        <v>2.03</v>
      </c>
      <c r="E846" s="18">
        <f>IF(D846="","",D846*'参数与说明'!$B$6/25.4012)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28550</v>
      </c>
      <c r="B847" s="13" t="n">
        <v>1978</v>
      </c>
      <c r="C847" s="13" t="n">
        <v>3</v>
      </c>
      <c r="D847" s="14" t="n">
        <v>2.15</v>
      </c>
      <c r="E847" s="14">
        <f>IF(D847="","",D847*'参数与说明'!$B$6/25.4012)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28581</v>
      </c>
      <c r="B848" s="17" t="n">
        <v>1978</v>
      </c>
      <c r="C848" s="17" t="n">
        <v>4</v>
      </c>
      <c r="D848" s="18" t="n">
        <v>2.24</v>
      </c>
      <c r="E848" s="18">
        <f>IF(D848="","",D848*'参数与说明'!$B$6/25.4012)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28611</v>
      </c>
      <c r="B849" s="13" t="n">
        <v>1978</v>
      </c>
      <c r="C849" s="13" t="n">
        <v>5</v>
      </c>
      <c r="D849" s="14" t="n">
        <v>2.29</v>
      </c>
      <c r="E849" s="14">
        <f>IF(D849="","",D849*'参数与说明'!$B$6/25.4012)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28642</v>
      </c>
      <c r="B850" s="17" t="n">
        <v>1978</v>
      </c>
      <c r="C850" s="17" t="n">
        <v>6</v>
      </c>
      <c r="D850" s="18" t="n">
        <v>2.28</v>
      </c>
      <c r="E850" s="18">
        <f>IF(D850="","",D850*'参数与说明'!$B$6/25.4012)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28672</v>
      </c>
      <c r="B851" s="13" t="n">
        <v>1978</v>
      </c>
      <c r="C851" s="13" t="n">
        <v>7</v>
      </c>
      <c r="D851" s="14" t="n">
        <v>2.16</v>
      </c>
      <c r="E851" s="14">
        <f>IF(D851="","",D851*'参数与说明'!$B$6/25.4012)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28703</v>
      </c>
      <c r="B852" s="17" t="n">
        <v>1978</v>
      </c>
      <c r="C852" s="17" t="n">
        <v>8</v>
      </c>
      <c r="D852" s="18" t="n">
        <v>2.01</v>
      </c>
      <c r="E852" s="18">
        <f>IF(D852="","",D852*'参数与说明'!$B$6/25.4012)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28734</v>
      </c>
      <c r="B853" s="13" t="n">
        <v>1978</v>
      </c>
      <c r="C853" s="13" t="n">
        <v>9</v>
      </c>
      <c r="D853" s="14" t="n">
        <v>1.98</v>
      </c>
      <c r="E853" s="14">
        <f>IF(D853="","",D853*'参数与说明'!$B$6/25.4012)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28764</v>
      </c>
      <c r="B854" s="17" t="n">
        <v>1978</v>
      </c>
      <c r="C854" s="17" t="n">
        <v>10</v>
      </c>
      <c r="D854" s="18" t="n">
        <v>1.97</v>
      </c>
      <c r="E854" s="18">
        <f>IF(D854="","",D854*'参数与说明'!$B$6/25.4012)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28795</v>
      </c>
      <c r="B855" s="13" t="n">
        <v>1978</v>
      </c>
      <c r="C855" s="13" t="n">
        <v>11</v>
      </c>
      <c r="D855" s="14" t="n">
        <v>2.02</v>
      </c>
      <c r="E855" s="14">
        <f>IF(D855="","",D855*'参数与说明'!$B$6/25.4012)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28825</v>
      </c>
      <c r="B856" s="17" t="n">
        <v>1978</v>
      </c>
      <c r="C856" s="17" t="n">
        <v>12</v>
      </c>
      <c r="D856" s="18" t="n">
        <v>2.09</v>
      </c>
      <c r="E856" s="18">
        <f>IF(D856="","",D856*'参数与说明'!$B$6/25.4012)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28856</v>
      </c>
      <c r="B857" s="13" t="n">
        <v>1979</v>
      </c>
      <c r="C857" s="13" t="n">
        <v>1</v>
      </c>
      <c r="D857" s="14" t="n">
        <v>2.11</v>
      </c>
      <c r="E857" s="14">
        <f>IF(D857="","",D857*'参数与说明'!$B$6/25.4012)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28887</v>
      </c>
      <c r="B858" s="17" t="n">
        <v>1979</v>
      </c>
      <c r="C858" s="17" t="n">
        <v>2</v>
      </c>
      <c r="D858" s="18" t="n">
        <v>2.18</v>
      </c>
      <c r="E858" s="18">
        <f>IF(D858="","",D858*'参数与说明'!$B$6/25.4012)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28915</v>
      </c>
      <c r="B859" s="13" t="n">
        <v>1979</v>
      </c>
      <c r="C859" s="13" t="n">
        <v>3</v>
      </c>
      <c r="D859" s="14" t="n">
        <v>2.22</v>
      </c>
      <c r="E859" s="14">
        <f>IF(D859="","",D859*'参数与说明'!$B$6/25.4012)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28946</v>
      </c>
      <c r="B860" s="17" t="n">
        <v>1979</v>
      </c>
      <c r="C860" s="17" t="n">
        <v>4</v>
      </c>
      <c r="D860" s="18" t="n">
        <v>2.27</v>
      </c>
      <c r="E860" s="18">
        <f>IF(D860="","",D860*'参数与说明'!$B$6/25.4012)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28976</v>
      </c>
      <c r="B861" s="13" t="n">
        <v>1979</v>
      </c>
      <c r="C861" s="13" t="n">
        <v>5</v>
      </c>
      <c r="D861" s="14" t="n">
        <v>2.35</v>
      </c>
      <c r="E861" s="14">
        <f>IF(D861="","",D861*'参数与说明'!$B$6/25.4012)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29007</v>
      </c>
      <c r="B862" s="17" t="n">
        <v>1979</v>
      </c>
      <c r="C862" s="17" t="n">
        <v>6</v>
      </c>
      <c r="D862" s="18" t="n">
        <v>2.49</v>
      </c>
      <c r="E862" s="18">
        <f>IF(D862="","",D862*'参数与说明'!$B$6/25.4012)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29037</v>
      </c>
      <c r="B863" s="13" t="n">
        <v>1979</v>
      </c>
      <c r="C863" s="13" t="n">
        <v>7</v>
      </c>
      <c r="D863" s="14" t="n">
        <v>2.64</v>
      </c>
      <c r="E863" s="14">
        <f>IF(D863="","",D863*'参数与说明'!$B$6/25.4012)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29068</v>
      </c>
      <c r="B864" s="17" t="n">
        <v>1979</v>
      </c>
      <c r="C864" s="17" t="n">
        <v>8</v>
      </c>
      <c r="D864" s="18" t="n">
        <v>2.54</v>
      </c>
      <c r="E864" s="18">
        <f>IF(D864="","",D864*'参数与说明'!$B$6/25.4012)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29099</v>
      </c>
      <c r="B865" s="13" t="n">
        <v>1979</v>
      </c>
      <c r="C865" s="13" t="n">
        <v>9</v>
      </c>
      <c r="D865" s="14" t="n">
        <v>2.51</v>
      </c>
      <c r="E865" s="14">
        <f>IF(D865="","",D865*'参数与说明'!$B$6/25.4012)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29129</v>
      </c>
      <c r="B866" s="17" t="n">
        <v>1979</v>
      </c>
      <c r="C866" s="17" t="n">
        <v>10</v>
      </c>
      <c r="D866" s="18" t="n">
        <v>2.41</v>
      </c>
      <c r="E866" s="18">
        <f>IF(D866="","",D866*'参数与说明'!$B$6/25.4012)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29160</v>
      </c>
      <c r="B867" s="13" t="n">
        <v>1979</v>
      </c>
      <c r="C867" s="13" t="n">
        <v>11</v>
      </c>
      <c r="D867" s="14" t="n">
        <v>2.27</v>
      </c>
      <c r="E867" s="14">
        <f>IF(D867="","",D867*'参数与说明'!$B$6/25.4012)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29190</v>
      </c>
      <c r="B868" s="17" t="n">
        <v>1979</v>
      </c>
      <c r="C868" s="17" t="n">
        <v>12</v>
      </c>
      <c r="D868" s="18" t="n">
        <v>2.38</v>
      </c>
      <c r="E868" s="18">
        <f>IF(D868="","",D868*'参数与说明'!$B$6/25.4012)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29221</v>
      </c>
      <c r="B869" s="13" t="n">
        <v>1980</v>
      </c>
      <c r="C869" s="13" t="n">
        <v>1</v>
      </c>
      <c r="D869" s="14" t="n">
        <v>2.45</v>
      </c>
      <c r="E869" s="14">
        <f>IF(D869="","",D869*'参数与说明'!$B$6/25.4012)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29252</v>
      </c>
      <c r="B870" s="17" t="n">
        <v>1980</v>
      </c>
      <c r="C870" s="17" t="n">
        <v>2</v>
      </c>
      <c r="D870" s="18" t="n">
        <v>2.39</v>
      </c>
      <c r="E870" s="18">
        <f>IF(D870="","",D870*'参数与说明'!$B$6/25.4012)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29281</v>
      </c>
      <c r="B871" s="13" t="n">
        <v>1980</v>
      </c>
      <c r="C871" s="13" t="n">
        <v>3</v>
      </c>
      <c r="D871" s="14" t="n">
        <v>2.4</v>
      </c>
      <c r="E871" s="14">
        <f>IF(D871="","",D871*'参数与说明'!$B$6/25.4012)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29312</v>
      </c>
      <c r="B872" s="17" t="n">
        <v>1980</v>
      </c>
      <c r="C872" s="17" t="n">
        <v>4</v>
      </c>
      <c r="D872" s="18" t="n">
        <v>2.36</v>
      </c>
      <c r="E872" s="18">
        <f>IF(D872="","",D872*'参数与说明'!$B$6/25.4012)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29342</v>
      </c>
      <c r="B873" s="13" t="n">
        <v>1980</v>
      </c>
      <c r="C873" s="13" t="n">
        <v>5</v>
      </c>
      <c r="D873" s="14" t="n">
        <v>2.42</v>
      </c>
      <c r="E873" s="14">
        <f>IF(D873="","",D873*'参数与说明'!$B$6/25.4012)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29373</v>
      </c>
      <c r="B874" s="17" t="n">
        <v>1980</v>
      </c>
      <c r="C874" s="17" t="n">
        <v>6</v>
      </c>
      <c r="D874" s="18" t="n">
        <v>2.49</v>
      </c>
      <c r="E874" s="18">
        <f>IF(D874="","",D874*'参数与说明'!$B$6/25.4012)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29403</v>
      </c>
      <c r="B875" s="13" t="n">
        <v>1980</v>
      </c>
      <c r="C875" s="13" t="n">
        <v>7</v>
      </c>
      <c r="D875" s="14" t="n">
        <v>2.73</v>
      </c>
      <c r="E875" s="14">
        <f>IF(D875="","",D875*'参数与说明'!$B$6/25.4012)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29434</v>
      </c>
      <c r="B876" s="17" t="n">
        <v>1980</v>
      </c>
      <c r="C876" s="17" t="n">
        <v>8</v>
      </c>
      <c r="D876" s="18" t="n">
        <v>2.92</v>
      </c>
      <c r="E876" s="18">
        <f>IF(D876="","",D876*'参数与说明'!$B$6/25.4012)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29465</v>
      </c>
      <c r="B877" s="13" t="n">
        <v>1980</v>
      </c>
      <c r="C877" s="13" t="n">
        <v>9</v>
      </c>
      <c r="D877" s="14" t="n">
        <v>3.01</v>
      </c>
      <c r="E877" s="14">
        <f>IF(D877="","",D877*'参数与说明'!$B$6/25.4012)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29495</v>
      </c>
      <c r="B878" s="17" t="n">
        <v>1980</v>
      </c>
      <c r="C878" s="17" t="n">
        <v>10</v>
      </c>
      <c r="D878" s="18" t="n">
        <v>2.99</v>
      </c>
      <c r="E878" s="18">
        <f>IF(D878="","",D878*'参数与说明'!$B$6/25.4012)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29526</v>
      </c>
      <c r="B879" s="13" t="n">
        <v>1980</v>
      </c>
      <c r="C879" s="13" t="n">
        <v>11</v>
      </c>
      <c r="D879" s="14" t="n">
        <v>3.1</v>
      </c>
      <c r="E879" s="14">
        <f>IF(D879="","",D879*'参数与说明'!$B$6/25.4012)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29556</v>
      </c>
      <c r="B880" s="17" t="n">
        <v>1980</v>
      </c>
      <c r="C880" s="17" t="n">
        <v>12</v>
      </c>
      <c r="D880" s="18" t="n">
        <v>3.19</v>
      </c>
      <c r="E880" s="18">
        <f>IF(D880="","",D880*'参数与说明'!$B$6/25.4012)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29587</v>
      </c>
      <c r="B881" s="13" t="n">
        <v>1981</v>
      </c>
      <c r="C881" s="13" t="n">
        <v>1</v>
      </c>
      <c r="D881" s="14" t="n">
        <v>3.19</v>
      </c>
      <c r="E881" s="14">
        <f>IF(D881="","",D881*'参数与说明'!$B$6/25.4012)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29618</v>
      </c>
      <c r="B882" s="17" t="n">
        <v>1981</v>
      </c>
      <c r="C882" s="17" t="n">
        <v>2</v>
      </c>
      <c r="D882" s="18" t="n">
        <v>3.22</v>
      </c>
      <c r="E882" s="18">
        <f>IF(D882="","",D882*'参数与说明'!$B$6/25.4012)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29646</v>
      </c>
      <c r="B883" s="13" t="n">
        <v>1981</v>
      </c>
      <c r="C883" s="13" t="n">
        <v>3</v>
      </c>
      <c r="D883" s="14" t="n">
        <v>3.25</v>
      </c>
      <c r="E883" s="14">
        <f>IF(D883="","",D883*'参数与说明'!$B$6/25.4012)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29677</v>
      </c>
      <c r="B884" s="17" t="n">
        <v>1981</v>
      </c>
      <c r="C884" s="17" t="n">
        <v>4</v>
      </c>
      <c r="D884" s="18" t="n">
        <v>3.24</v>
      </c>
      <c r="E884" s="18">
        <f>IF(D884="","",D884*'参数与说明'!$B$6/25.4012)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29707</v>
      </c>
      <c r="B885" s="13" t="n">
        <v>1981</v>
      </c>
      <c r="C885" s="13" t="n">
        <v>5</v>
      </c>
      <c r="D885" s="14" t="n">
        <v>3.24</v>
      </c>
      <c r="E885" s="14">
        <f>IF(D885="","",D885*'参数与说明'!$B$6/25.4012)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29738</v>
      </c>
      <c r="B886" s="17" t="n">
        <v>1981</v>
      </c>
      <c r="C886" s="17" t="n">
        <v>6</v>
      </c>
      <c r="D886" s="18" t="n">
        <v>3.17</v>
      </c>
      <c r="E886" s="18">
        <f>IF(D886="","",D886*'参数与说明'!$B$6/25.4012)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29768</v>
      </c>
      <c r="B887" s="13" t="n">
        <v>1981</v>
      </c>
      <c r="C887" s="13" t="n">
        <v>7</v>
      </c>
      <c r="D887" s="14" t="n">
        <v>3.14</v>
      </c>
      <c r="E887" s="14">
        <f>IF(D887="","",D887*'参数与说明'!$B$6/25.4012)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29799</v>
      </c>
      <c r="B888" s="17" t="n">
        <v>1981</v>
      </c>
      <c r="C888" s="17" t="n">
        <v>8</v>
      </c>
      <c r="D888" s="18" t="n">
        <v>2.87</v>
      </c>
      <c r="E888" s="18">
        <f>IF(D888="","",D888*'参数与说明'!$B$6/25.4012)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29830</v>
      </c>
      <c r="B889" s="13" t="n">
        <v>1981</v>
      </c>
      <c r="C889" s="13" t="n">
        <v>9</v>
      </c>
      <c r="D889" s="14" t="n">
        <v>2.55</v>
      </c>
      <c r="E889" s="14">
        <f>IF(D889="","",D889*'参数与说明'!$B$6/25.4012)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29860</v>
      </c>
      <c r="B890" s="17" t="n">
        <v>1981</v>
      </c>
      <c r="C890" s="17" t="n">
        <v>10</v>
      </c>
      <c r="D890" s="18" t="n">
        <v>2.45</v>
      </c>
      <c r="E890" s="18">
        <f>IF(D890="","",D890*'参数与说明'!$B$6/25.4012)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29891</v>
      </c>
      <c r="B891" s="13" t="n">
        <v>1981</v>
      </c>
      <c r="C891" s="13" t="n">
        <v>11</v>
      </c>
      <c r="D891" s="14" t="n">
        <v>2.34</v>
      </c>
      <c r="E891" s="14">
        <f>IF(D891="","",D891*'参数与说明'!$B$6/25.4012)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29921</v>
      </c>
      <c r="B892" s="17" t="n">
        <v>1981</v>
      </c>
      <c r="C892" s="17" t="n">
        <v>12</v>
      </c>
      <c r="D892" s="18" t="n">
        <v>2.39</v>
      </c>
      <c r="E892" s="18">
        <f>IF(D892="","",D892*'参数与说明'!$B$6/25.4012)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29952</v>
      </c>
      <c r="B893" s="13" t="n">
        <v>1982</v>
      </c>
      <c r="C893" s="13" t="n">
        <v>1</v>
      </c>
      <c r="D893" s="14" t="n">
        <v>2.54</v>
      </c>
      <c r="E893" s="14">
        <f>IF(D893="","",D893*'参数与说明'!$B$6/25.4012)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29983</v>
      </c>
      <c r="B894" s="17" t="n">
        <v>1982</v>
      </c>
      <c r="C894" s="17" t="n">
        <v>2</v>
      </c>
      <c r="D894" s="18" t="n">
        <v>2.44</v>
      </c>
      <c r="E894" s="18">
        <f>IF(D894="","",D894*'参数与说明'!$B$6/25.4012)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30011</v>
      </c>
      <c r="B895" s="13" t="n">
        <v>1982</v>
      </c>
      <c r="C895" s="13" t="n">
        <v>3</v>
      </c>
      <c r="D895" s="14" t="n">
        <v>2.46</v>
      </c>
      <c r="E895" s="14">
        <f>IF(D895="","",D895*'参数与说明'!$B$6/25.4012)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30042</v>
      </c>
      <c r="B896" s="17" t="n">
        <v>1982</v>
      </c>
      <c r="C896" s="17" t="n">
        <v>4</v>
      </c>
      <c r="D896" s="18" t="n">
        <v>2.55</v>
      </c>
      <c r="E896" s="18">
        <f>IF(D896="","",D896*'参数与说明'!$B$6/25.4012)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30072</v>
      </c>
      <c r="B897" s="13" t="n">
        <v>1982</v>
      </c>
      <c r="C897" s="13" t="n">
        <v>5</v>
      </c>
      <c r="D897" s="14" t="n">
        <v>2.6</v>
      </c>
      <c r="E897" s="14">
        <f>IF(D897="","",D897*'参数与说明'!$B$6/25.4012)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30103</v>
      </c>
      <c r="B898" s="17" t="n">
        <v>1982</v>
      </c>
      <c r="C898" s="17" t="n">
        <v>6</v>
      </c>
      <c r="D898" s="18" t="n">
        <v>2.57</v>
      </c>
      <c r="E898" s="18">
        <f>IF(D898="","",D898*'参数与说明'!$B$6/25.4012)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30133</v>
      </c>
      <c r="B899" s="13" t="n">
        <v>1982</v>
      </c>
      <c r="C899" s="13" t="n">
        <v>7</v>
      </c>
      <c r="D899" s="14" t="n">
        <v>2.5</v>
      </c>
      <c r="E899" s="14">
        <f>IF(D899="","",D899*'参数与说明'!$B$6/25.4012)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30164</v>
      </c>
      <c r="B900" s="17" t="n">
        <v>1982</v>
      </c>
      <c r="C900" s="17" t="n">
        <v>8</v>
      </c>
      <c r="D900" s="18" t="n">
        <v>2.3</v>
      </c>
      <c r="E900" s="18">
        <f>IF(D900="","",D900*'参数与说明'!$B$6/25.4012)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30195</v>
      </c>
      <c r="B901" s="13" t="n">
        <v>1982</v>
      </c>
      <c r="C901" s="13" t="n">
        <v>9</v>
      </c>
      <c r="D901" s="14" t="n">
        <v>2.15</v>
      </c>
      <c r="E901" s="14">
        <f>IF(D901="","",D901*'参数与说明'!$B$6/25.4012)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30225</v>
      </c>
      <c r="B902" s="17" t="n">
        <v>1982</v>
      </c>
      <c r="C902" s="17" t="n">
        <v>10</v>
      </c>
      <c r="D902" s="18" t="n">
        <v>1.98</v>
      </c>
      <c r="E902" s="18">
        <f>IF(D902="","",D902*'参数与说明'!$B$6/25.4012)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30256</v>
      </c>
      <c r="B903" s="13" t="n">
        <v>1982</v>
      </c>
      <c r="C903" s="13" t="n">
        <v>11</v>
      </c>
      <c r="D903" s="14" t="n">
        <v>2.13</v>
      </c>
      <c r="E903" s="14">
        <f>IF(D903="","",D903*'参数与说明'!$B$6/25.4012)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30286</v>
      </c>
      <c r="B904" s="17" t="n">
        <v>1982</v>
      </c>
      <c r="C904" s="17" t="n">
        <v>12</v>
      </c>
      <c r="D904" s="18" t="n">
        <v>2.26</v>
      </c>
      <c r="E904" s="18">
        <f>IF(D904="","",D904*'参数与说明'!$B$6/25.4012)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30317</v>
      </c>
      <c r="B905" s="13" t="n">
        <v>1983</v>
      </c>
      <c r="C905" s="13" t="n">
        <v>1</v>
      </c>
      <c r="D905" s="14" t="n">
        <v>2.36</v>
      </c>
      <c r="E905" s="14">
        <f>IF(D905="","",D905*'参数与说明'!$B$6/25.4012)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30348</v>
      </c>
      <c r="B906" s="17" t="n">
        <v>1983</v>
      </c>
      <c r="C906" s="17" t="n">
        <v>2</v>
      </c>
      <c r="D906" s="18" t="n">
        <v>2.56</v>
      </c>
      <c r="E906" s="18">
        <f>IF(D906="","",D906*'参数与说明'!$B$6/25.4012)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30376</v>
      </c>
      <c r="B907" s="13" t="n">
        <v>1983</v>
      </c>
      <c r="C907" s="13" t="n">
        <v>3</v>
      </c>
      <c r="D907" s="14" t="n">
        <v>2.71</v>
      </c>
      <c r="E907" s="14">
        <f>IF(D907="","",D907*'参数与说明'!$B$6/25.4012)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30407</v>
      </c>
      <c r="B908" s="17" t="n">
        <v>1983</v>
      </c>
      <c r="C908" s="17" t="n">
        <v>4</v>
      </c>
      <c r="D908" s="18" t="n">
        <v>2.95</v>
      </c>
      <c r="E908" s="18">
        <f>IF(D908="","",D908*'参数与说明'!$B$6/25.4012)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30437</v>
      </c>
      <c r="B909" s="13" t="n">
        <v>1983</v>
      </c>
      <c r="C909" s="13" t="n">
        <v>5</v>
      </c>
      <c r="D909" s="14" t="n">
        <v>3.03</v>
      </c>
      <c r="E909" s="14">
        <f>IF(D909="","",D909*'参数与说明'!$B$6/25.4012)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30468</v>
      </c>
      <c r="B910" s="17" t="n">
        <v>1983</v>
      </c>
      <c r="C910" s="17" t="n">
        <v>6</v>
      </c>
      <c r="D910" s="18" t="n">
        <v>3.04</v>
      </c>
      <c r="E910" s="18">
        <f>IF(D910="","",D910*'参数与说明'!$B$6/25.4012)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30498</v>
      </c>
      <c r="B911" s="13" t="n">
        <v>1983</v>
      </c>
      <c r="C911" s="13" t="n">
        <v>7</v>
      </c>
      <c r="D911" s="14" t="n">
        <v>3.13</v>
      </c>
      <c r="E911" s="14">
        <f>IF(D911="","",D911*'参数与说明'!$B$6/25.4012)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30529</v>
      </c>
      <c r="B912" s="17" t="n">
        <v>1983</v>
      </c>
      <c r="C912" s="17" t="n">
        <v>8</v>
      </c>
      <c r="D912" s="18" t="n">
        <v>3.35</v>
      </c>
      <c r="E912" s="18">
        <f>IF(D912="","",D912*'参数与说明'!$B$6/25.4012)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30560</v>
      </c>
      <c r="B913" s="13" t="n">
        <v>1983</v>
      </c>
      <c r="C913" s="13" t="n">
        <v>9</v>
      </c>
      <c r="D913" s="14" t="n">
        <v>3.32</v>
      </c>
      <c r="E913" s="14">
        <f>IF(D913="","",D913*'参数与说明'!$B$6/25.4012)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30590</v>
      </c>
      <c r="B914" s="17" t="n">
        <v>1983</v>
      </c>
      <c r="C914" s="17" t="n">
        <v>10</v>
      </c>
      <c r="D914" s="18" t="n">
        <v>3.15</v>
      </c>
      <c r="E914" s="18">
        <f>IF(D914="","",D914*'参数与说明'!$B$6/25.4012)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30621</v>
      </c>
      <c r="B915" s="13" t="n">
        <v>1983</v>
      </c>
      <c r="C915" s="13" t="n">
        <v>11</v>
      </c>
      <c r="D915" s="14" t="n">
        <v>3.17</v>
      </c>
      <c r="E915" s="14">
        <f>IF(D915="","",D915*'参数与说明'!$B$6/25.4012)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30651</v>
      </c>
      <c r="B916" s="17" t="n">
        <v>1983</v>
      </c>
      <c r="C916" s="17" t="n">
        <v>12</v>
      </c>
      <c r="D916" s="18" t="n">
        <v>3.15</v>
      </c>
      <c r="E916" s="18">
        <f>IF(D916="","",D916*'参数与说明'!$B$6/25.4012)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30682</v>
      </c>
      <c r="B917" s="13" t="n">
        <v>1984</v>
      </c>
      <c r="C917" s="13" t="n">
        <v>1</v>
      </c>
      <c r="D917" s="14" t="n">
        <v>3.15</v>
      </c>
      <c r="E917" s="14">
        <f>IF(D917="","",D917*'参数与说明'!$B$6/25.4012)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30713</v>
      </c>
      <c r="B918" s="17" t="n">
        <v>1984</v>
      </c>
      <c r="C918" s="17" t="n">
        <v>2</v>
      </c>
      <c r="D918" s="18" t="n">
        <v>3.11</v>
      </c>
      <c r="E918" s="18">
        <f>IF(D918="","",D918*'参数与说明'!$B$6/25.4012)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30742</v>
      </c>
      <c r="B919" s="13" t="n">
        <v>1984</v>
      </c>
      <c r="C919" s="13" t="n">
        <v>3</v>
      </c>
      <c r="D919" s="14" t="n">
        <v>3.21</v>
      </c>
      <c r="E919" s="14">
        <f>IF(D919="","",D919*'参数与说明'!$B$6/25.4012)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30773</v>
      </c>
      <c r="B920" s="17" t="n">
        <v>1984</v>
      </c>
      <c r="C920" s="17" t="n">
        <v>4</v>
      </c>
      <c r="D920" s="18" t="n">
        <v>3.32</v>
      </c>
      <c r="E920" s="18">
        <f>IF(D920="","",D920*'参数与说明'!$B$6/25.4012)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30803</v>
      </c>
      <c r="B921" s="13" t="n">
        <v>1984</v>
      </c>
      <c r="C921" s="13" t="n">
        <v>5</v>
      </c>
      <c r="D921" s="14" t="n">
        <v>3.34</v>
      </c>
      <c r="E921" s="14">
        <f>IF(D921="","",D921*'参数与说明'!$B$6/25.4012)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30834</v>
      </c>
      <c r="B922" s="17" t="n">
        <v>1984</v>
      </c>
      <c r="C922" s="17" t="n">
        <v>6</v>
      </c>
      <c r="D922" s="18" t="n">
        <v>3.36</v>
      </c>
      <c r="E922" s="18">
        <f>IF(D922="","",D922*'参数与说明'!$B$6/25.4012)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30864</v>
      </c>
      <c r="B923" s="13" t="n">
        <v>1984</v>
      </c>
      <c r="C923" s="13" t="n">
        <v>7</v>
      </c>
      <c r="D923" s="14" t="n">
        <v>3.3</v>
      </c>
      <c r="E923" s="14">
        <f>IF(D923="","",D923*'参数与说明'!$B$6/25.4012)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30895</v>
      </c>
      <c r="B924" s="17" t="n">
        <v>1984</v>
      </c>
      <c r="C924" s="17" t="n">
        <v>8</v>
      </c>
      <c r="D924" s="18" t="n">
        <v>3.12</v>
      </c>
      <c r="E924" s="18">
        <f>IF(D924="","",D924*'参数与说明'!$B$6/25.4012)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30926</v>
      </c>
      <c r="B925" s="13" t="n">
        <v>1984</v>
      </c>
      <c r="C925" s="13" t="n">
        <v>9</v>
      </c>
      <c r="D925" s="14" t="n">
        <v>2.9</v>
      </c>
      <c r="E925" s="14">
        <f>IF(D925="","",D925*'参数与说明'!$B$6/25.4012)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30956</v>
      </c>
      <c r="B926" s="17" t="n">
        <v>1984</v>
      </c>
      <c r="C926" s="17" t="n">
        <v>10</v>
      </c>
      <c r="D926" s="18" t="n">
        <v>2.65</v>
      </c>
      <c r="E926" s="18">
        <f>IF(D926="","",D926*'参数与说明'!$B$6/25.4012)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30987</v>
      </c>
      <c r="B927" s="13" t="n">
        <v>1984</v>
      </c>
      <c r="C927" s="13" t="n">
        <v>11</v>
      </c>
      <c r="D927" s="14" t="n">
        <v>2.55</v>
      </c>
      <c r="E927" s="14">
        <f>IF(D927="","",D927*'参数与说明'!$B$6/25.4012)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31017</v>
      </c>
      <c r="B928" s="17" t="n">
        <v>1984</v>
      </c>
      <c r="C928" s="17" t="n">
        <v>12</v>
      </c>
      <c r="D928" s="18" t="n">
        <v>2.56</v>
      </c>
      <c r="E928" s="18">
        <f>IF(D928="","",D928*'参数与说明'!$B$6/25.4012)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31048</v>
      </c>
      <c r="B929" s="13" t="n">
        <v>1985</v>
      </c>
      <c r="C929" s="13" t="n">
        <v>1</v>
      </c>
      <c r="D929" s="14" t="n">
        <v>2.64</v>
      </c>
      <c r="E929" s="14">
        <f>IF(D929="","",D929*'参数与说明'!$B$6/25.4012)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31079</v>
      </c>
      <c r="B930" s="17" t="n">
        <v>1985</v>
      </c>
      <c r="C930" s="17" t="n">
        <v>2</v>
      </c>
      <c r="D930" s="18" t="n">
        <v>2.62</v>
      </c>
      <c r="E930" s="18">
        <f>IF(D930="","",D930*'参数与说明'!$B$6/25.4012)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31107</v>
      </c>
      <c r="B931" s="13" t="n">
        <v>1985</v>
      </c>
      <c r="C931" s="13" t="n">
        <v>3</v>
      </c>
      <c r="D931" s="14" t="n">
        <v>2.67</v>
      </c>
      <c r="E931" s="14">
        <f>IF(D931="","",D931*'参数与说明'!$B$6/25.4012)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31138</v>
      </c>
      <c r="B932" s="17" t="n">
        <v>1985</v>
      </c>
      <c r="C932" s="17" t="n">
        <v>4</v>
      </c>
      <c r="D932" s="18" t="n">
        <v>2.7</v>
      </c>
      <c r="E932" s="18">
        <f>IF(D932="","",D932*'参数与说明'!$B$6/25.4012)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31168</v>
      </c>
      <c r="B933" s="13" t="n">
        <v>1985</v>
      </c>
      <c r="C933" s="13" t="n">
        <v>5</v>
      </c>
      <c r="D933" s="14" t="n">
        <v>2.68</v>
      </c>
      <c r="E933" s="14">
        <f>IF(D933="","",D933*'参数与说明'!$B$6/25.4012)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31199</v>
      </c>
      <c r="B934" s="17" t="n">
        <v>1985</v>
      </c>
      <c r="C934" s="17" t="n">
        <v>6</v>
      </c>
      <c r="D934" s="18" t="n">
        <v>2.64</v>
      </c>
      <c r="E934" s="18">
        <f>IF(D934="","",D934*'参数与说明'!$B$6/25.4012)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31229</v>
      </c>
      <c r="B935" s="13" t="n">
        <v>1985</v>
      </c>
      <c r="C935" s="13" t="n">
        <v>7</v>
      </c>
      <c r="D935" s="14" t="n">
        <v>2.6</v>
      </c>
      <c r="E935" s="14">
        <f>IF(D935="","",D935*'参数与说明'!$B$6/25.4012)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31260</v>
      </c>
      <c r="B936" s="17" t="n">
        <v>1985</v>
      </c>
      <c r="C936" s="17" t="n">
        <v>8</v>
      </c>
      <c r="D936" s="18" t="n">
        <v>2.44</v>
      </c>
      <c r="E936" s="18">
        <f>IF(D936="","",D936*'参数与说明'!$B$6/25.4012)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31291</v>
      </c>
      <c r="B937" s="13" t="n">
        <v>1985</v>
      </c>
      <c r="C937" s="13" t="n">
        <v>9</v>
      </c>
      <c r="D937" s="14" t="n">
        <v>2.29</v>
      </c>
      <c r="E937" s="14">
        <f>IF(D937="","",D937*'参数与说明'!$B$6/25.4012)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31321</v>
      </c>
      <c r="B938" s="17" t="n">
        <v>1985</v>
      </c>
      <c r="C938" s="17" t="n">
        <v>10</v>
      </c>
      <c r="D938" s="18" t="n">
        <v>2.11</v>
      </c>
      <c r="E938" s="18">
        <f>IF(D938="","",D938*'参数与说明'!$B$6/25.4012)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31352</v>
      </c>
      <c r="B939" s="13" t="n">
        <v>1985</v>
      </c>
      <c r="C939" s="13" t="n">
        <v>11</v>
      </c>
      <c r="D939" s="14" t="n">
        <v>2.21</v>
      </c>
      <c r="E939" s="14">
        <f>IF(D939="","",D939*'参数与说明'!$B$6/25.4012)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31382</v>
      </c>
      <c r="B940" s="17" t="n">
        <v>1985</v>
      </c>
      <c r="C940" s="17" t="n">
        <v>12</v>
      </c>
      <c r="D940" s="18" t="n">
        <v>2.29</v>
      </c>
      <c r="E940" s="18">
        <f>IF(D940="","",D940*'参数与说明'!$B$6/25.4012)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31413</v>
      </c>
      <c r="B941" s="13" t="n">
        <v>1986</v>
      </c>
      <c r="C941" s="13" t="n">
        <v>1</v>
      </c>
      <c r="D941" s="14" t="n">
        <v>2.33</v>
      </c>
      <c r="E941" s="14">
        <f>IF(D941="","",D941*'参数与说明'!$B$6/25.4012)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31444</v>
      </c>
      <c r="B942" s="17" t="n">
        <v>1986</v>
      </c>
      <c r="C942" s="17" t="n">
        <v>2</v>
      </c>
      <c r="D942" s="18" t="n">
        <v>2.32</v>
      </c>
      <c r="E942" s="18">
        <f>IF(D942="","",D942*'参数与说明'!$B$6/25.4012)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31472</v>
      </c>
      <c r="B943" s="13" t="n">
        <v>1986</v>
      </c>
      <c r="C943" s="13" t="n">
        <v>3</v>
      </c>
      <c r="D943" s="14" t="n">
        <v>2.29</v>
      </c>
      <c r="E943" s="14">
        <f>IF(D943="","",D943*'参数与说明'!$B$6/25.4012)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31503</v>
      </c>
      <c r="B944" s="17" t="n">
        <v>1986</v>
      </c>
      <c r="C944" s="17" t="n">
        <v>4</v>
      </c>
      <c r="D944" s="18" t="n">
        <v>2.3</v>
      </c>
      <c r="E944" s="18">
        <f>IF(D944="","",D944*'参数与说明'!$B$6/25.4012)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31533</v>
      </c>
      <c r="B945" s="13" t="n">
        <v>1986</v>
      </c>
      <c r="C945" s="13" t="n">
        <v>5</v>
      </c>
      <c r="D945" s="14" t="n">
        <v>2.39</v>
      </c>
      <c r="E945" s="14">
        <f>IF(D945="","",D945*'参数与说明'!$B$6/25.4012)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31564</v>
      </c>
      <c r="B946" s="17" t="n">
        <v>1986</v>
      </c>
      <c r="C946" s="17" t="n">
        <v>6</v>
      </c>
      <c r="D946" s="18" t="n">
        <v>2.32</v>
      </c>
      <c r="E946" s="18">
        <f>IF(D946="","",D946*'参数与说明'!$B$6/25.4012)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31594</v>
      </c>
      <c r="B947" s="13" t="n">
        <v>1986</v>
      </c>
      <c r="C947" s="13" t="n">
        <v>7</v>
      </c>
      <c r="D947" s="14" t="n">
        <v>2</v>
      </c>
      <c r="E947" s="14">
        <f>IF(D947="","",D947*'参数与说明'!$B$6/25.4012)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31625</v>
      </c>
      <c r="B948" s="17" t="n">
        <v>1986</v>
      </c>
      <c r="C948" s="17" t="n">
        <v>8</v>
      </c>
      <c r="D948" s="18" t="n">
        <v>1.73</v>
      </c>
      <c r="E948" s="18">
        <f>IF(D948="","",D948*'参数与说明'!$B$6/25.4012)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31656</v>
      </c>
      <c r="B949" s="13" t="n">
        <v>1986</v>
      </c>
      <c r="C949" s="13" t="n">
        <v>9</v>
      </c>
      <c r="D949" s="14" t="n">
        <v>1.45</v>
      </c>
      <c r="E949" s="14">
        <f>IF(D949="","",D949*'参数与说明'!$B$6/25.4012)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31686</v>
      </c>
      <c r="B950" s="17" t="n">
        <v>1986</v>
      </c>
      <c r="C950" s="17" t="n">
        <v>10</v>
      </c>
      <c r="D950" s="18" t="n">
        <v>1.4</v>
      </c>
      <c r="E950" s="18">
        <f>IF(D950="","",D950*'参数与说明'!$B$6/25.4012)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31717</v>
      </c>
      <c r="B951" s="13" t="n">
        <v>1986</v>
      </c>
      <c r="C951" s="13" t="n">
        <v>11</v>
      </c>
      <c r="D951" s="14" t="n">
        <v>1.47</v>
      </c>
      <c r="E951" s="14">
        <f>IF(D951="","",D951*'参数与说明'!$B$6/25.4012)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31747</v>
      </c>
      <c r="B952" s="17" t="n">
        <v>1986</v>
      </c>
      <c r="C952" s="17" t="n">
        <v>12</v>
      </c>
      <c r="D952" s="18" t="n">
        <v>1.5</v>
      </c>
      <c r="E952" s="18">
        <f>IF(D952="","",D952*'参数与说明'!$B$6/25.4012)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31778</v>
      </c>
      <c r="B953" s="13" t="n">
        <v>1987</v>
      </c>
      <c r="C953" s="13" t="n">
        <v>1</v>
      </c>
      <c r="D953" s="14" t="n">
        <v>1.48</v>
      </c>
      <c r="E953" s="14">
        <f>IF(D953="","",D953*'参数与说明'!$B$6/25.4012)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31809</v>
      </c>
      <c r="B954" s="17" t="n">
        <v>1987</v>
      </c>
      <c r="C954" s="17" t="n">
        <v>2</v>
      </c>
      <c r="D954" s="18" t="n">
        <v>1.42</v>
      </c>
      <c r="E954" s="18">
        <f>IF(D954="","",D954*'参数与说明'!$B$6/25.4012)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31837</v>
      </c>
      <c r="B955" s="13" t="n">
        <v>1987</v>
      </c>
      <c r="C955" s="13" t="n">
        <v>3</v>
      </c>
      <c r="D955" s="14" t="n">
        <v>1.47</v>
      </c>
      <c r="E955" s="14">
        <f>IF(D955="","",D955*'参数与说明'!$B$6/25.4012)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31868</v>
      </c>
      <c r="B956" s="17" t="n">
        <v>1987</v>
      </c>
      <c r="C956" s="17" t="n">
        <v>4</v>
      </c>
      <c r="D956" s="18" t="n">
        <v>1.52</v>
      </c>
      <c r="E956" s="18">
        <f>IF(D956="","",D956*'参数与说明'!$B$6/25.4012)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31898</v>
      </c>
      <c r="B957" s="13" t="n">
        <v>1987</v>
      </c>
      <c r="C957" s="13" t="n">
        <v>5</v>
      </c>
      <c r="D957" s="14" t="n">
        <v>1.66</v>
      </c>
      <c r="E957" s="14">
        <f>IF(D957="","",D957*'参数与说明'!$B$6/25.4012)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31929</v>
      </c>
      <c r="B958" s="17" t="n">
        <v>1987</v>
      </c>
      <c r="C958" s="17" t="n">
        <v>6</v>
      </c>
      <c r="D958" s="18" t="n">
        <v>1.69</v>
      </c>
      <c r="E958" s="18">
        <f>IF(D958="","",D958*'参数与说明'!$B$6/25.4012)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31959</v>
      </c>
      <c r="B959" s="13" t="n">
        <v>1987</v>
      </c>
      <c r="C959" s="13" t="n">
        <v>7</v>
      </c>
      <c r="D959" s="14" t="n">
        <v>1.6</v>
      </c>
      <c r="E959" s="14">
        <f>IF(D959="","",D959*'参数与说明'!$B$6/25.4012)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31990</v>
      </c>
      <c r="B960" s="17" t="n">
        <v>1987</v>
      </c>
      <c r="C960" s="17" t="n">
        <v>8</v>
      </c>
      <c r="D960" s="18" t="n">
        <v>1.47</v>
      </c>
      <c r="E960" s="18">
        <f>IF(D960="","",D960*'参数与说明'!$B$6/25.4012)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32021</v>
      </c>
      <c r="B961" s="13" t="n">
        <v>1987</v>
      </c>
      <c r="C961" s="13" t="n">
        <v>9</v>
      </c>
      <c r="D961" s="14" t="n">
        <v>1.49</v>
      </c>
      <c r="E961" s="14">
        <f>IF(D961="","",D961*'参数与说明'!$B$6/25.4012)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32051</v>
      </c>
      <c r="B962" s="17" t="n">
        <v>1987</v>
      </c>
      <c r="C962" s="17" t="n">
        <v>10</v>
      </c>
      <c r="D962" s="18" t="n">
        <v>1.55</v>
      </c>
      <c r="E962" s="18">
        <f>IF(D962="","",D962*'参数与说明'!$B$6/25.4012)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32082</v>
      </c>
      <c r="B963" s="13" t="n">
        <v>1987</v>
      </c>
      <c r="C963" s="13" t="n">
        <v>11</v>
      </c>
      <c r="D963" s="14" t="n">
        <v>1.61</v>
      </c>
      <c r="E963" s="14">
        <f>IF(D963="","",D963*'参数与说明'!$B$6/25.4012)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32112</v>
      </c>
      <c r="B964" s="17" t="n">
        <v>1987</v>
      </c>
      <c r="C964" s="17" t="n">
        <v>12</v>
      </c>
      <c r="D964" s="18" t="n">
        <v>1.72</v>
      </c>
      <c r="E964" s="18">
        <f>IF(D964="","",D964*'参数与说明'!$B$6/25.4012)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32143</v>
      </c>
      <c r="B965" s="13" t="n">
        <v>1988</v>
      </c>
      <c r="C965" s="13" t="n">
        <v>1</v>
      </c>
      <c r="D965" s="14" t="n">
        <v>1.77</v>
      </c>
      <c r="E965" s="14">
        <f>IF(D965="","",D965*'参数与说明'!$B$6/25.4012)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32174</v>
      </c>
      <c r="B966" s="17" t="n">
        <v>1988</v>
      </c>
      <c r="C966" s="17" t="n">
        <v>2</v>
      </c>
      <c r="D966" s="18" t="n">
        <v>1.83</v>
      </c>
      <c r="E966" s="18">
        <f>IF(D966="","",D966*'参数与说明'!$B$6/25.4012)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32203</v>
      </c>
      <c r="B967" s="13" t="n">
        <v>1988</v>
      </c>
      <c r="C967" s="13" t="n">
        <v>3</v>
      </c>
      <c r="D967" s="14" t="n">
        <v>1.86</v>
      </c>
      <c r="E967" s="14">
        <f>IF(D967="","",D967*'参数与说明'!$B$6/25.4012)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32234</v>
      </c>
      <c r="B968" s="17" t="n">
        <v>1988</v>
      </c>
      <c r="C968" s="17" t="n">
        <v>4</v>
      </c>
      <c r="D968" s="18" t="n">
        <v>1.88</v>
      </c>
      <c r="E968" s="18">
        <f>IF(D968="","",D968*'参数与说明'!$B$6/25.4012)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32264</v>
      </c>
      <c r="B969" s="13" t="n">
        <v>1988</v>
      </c>
      <c r="C969" s="13" t="n">
        <v>5</v>
      </c>
      <c r="D969" s="14" t="n">
        <v>1.94</v>
      </c>
      <c r="E969" s="14">
        <f>IF(D969="","",D969*'参数与说明'!$B$6/25.4012)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32295</v>
      </c>
      <c r="B970" s="17" t="n">
        <v>1988</v>
      </c>
      <c r="C970" s="17" t="n">
        <v>6</v>
      </c>
      <c r="D970" s="18" t="n">
        <v>2.41</v>
      </c>
      <c r="E970" s="18">
        <f>IF(D970="","",D970*'参数与说明'!$B$6/25.4012)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32325</v>
      </c>
      <c r="B971" s="13" t="n">
        <v>1988</v>
      </c>
      <c r="C971" s="13" t="n">
        <v>7</v>
      </c>
      <c r="D971" s="14" t="n">
        <v>2.72</v>
      </c>
      <c r="E971" s="14">
        <f>IF(D971="","",D971*'参数与说明'!$B$6/25.4012)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32356</v>
      </c>
      <c r="B972" s="17" t="n">
        <v>1988</v>
      </c>
      <c r="C972" s="17" t="n">
        <v>8</v>
      </c>
      <c r="D972" s="18" t="n">
        <v>2.65</v>
      </c>
      <c r="E972" s="18">
        <f>IF(D972="","",D972*'参数与说明'!$B$6/25.4012)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32387</v>
      </c>
      <c r="B973" s="13" t="n">
        <v>1988</v>
      </c>
      <c r="C973" s="13" t="n">
        <v>9</v>
      </c>
      <c r="D973" s="14" t="n">
        <v>2.6</v>
      </c>
      <c r="E973" s="14">
        <f>IF(D973="","",D973*'参数与说明'!$B$6/25.4012)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32417</v>
      </c>
      <c r="B974" s="17" t="n">
        <v>1988</v>
      </c>
      <c r="C974" s="17" t="n">
        <v>10</v>
      </c>
      <c r="D974" s="18" t="n">
        <v>2.58</v>
      </c>
      <c r="E974" s="18">
        <f>IF(D974="","",D974*'参数与说明'!$B$6/25.4012)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32448</v>
      </c>
      <c r="B975" s="13" t="n">
        <v>1988</v>
      </c>
      <c r="C975" s="13" t="n">
        <v>11</v>
      </c>
      <c r="D975" s="14" t="n">
        <v>2.51</v>
      </c>
      <c r="E975" s="14">
        <f>IF(D975="","",D975*'参数与说明'!$B$6/25.4012)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32478</v>
      </c>
      <c r="B976" s="17" t="n">
        <v>1988</v>
      </c>
      <c r="C976" s="17" t="n">
        <v>12</v>
      </c>
      <c r="D976" s="18" t="n">
        <v>2.53</v>
      </c>
      <c r="E976" s="18">
        <f>IF(D976="","",D976*'参数与说明'!$B$6/25.4012)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32509</v>
      </c>
      <c r="B977" s="13" t="n">
        <v>1989</v>
      </c>
      <c r="C977" s="13" t="n">
        <v>1</v>
      </c>
      <c r="D977" s="14" t="n">
        <v>2.6</v>
      </c>
      <c r="E977" s="14">
        <f>IF(D977="","",D977*'参数与说明'!$B$6/25.4012)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32540</v>
      </c>
      <c r="B978" s="17" t="n">
        <v>1989</v>
      </c>
      <c r="C978" s="17" t="n">
        <v>2</v>
      </c>
      <c r="D978" s="18" t="n">
        <v>2.59</v>
      </c>
      <c r="E978" s="18">
        <f>IF(D978="","",D978*'参数与说明'!$B$6/25.4012)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32568</v>
      </c>
      <c r="B979" s="13" t="n">
        <v>1989</v>
      </c>
      <c r="C979" s="13" t="n">
        <v>3</v>
      </c>
      <c r="D979" s="14" t="n">
        <v>2.6</v>
      </c>
      <c r="E979" s="14">
        <f>IF(D979="","",D979*'参数与说明'!$B$6/25.4012)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32599</v>
      </c>
      <c r="B980" s="17" t="n">
        <v>1989</v>
      </c>
      <c r="C980" s="17" t="n">
        <v>4</v>
      </c>
      <c r="D980" s="18" t="n">
        <v>2.56</v>
      </c>
      <c r="E980" s="18">
        <f>IF(D980="","",D980*'参数与说明'!$B$6/25.4012)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32629</v>
      </c>
      <c r="B981" s="13" t="n">
        <v>1989</v>
      </c>
      <c r="C981" s="13" t="n">
        <v>5</v>
      </c>
      <c r="D981" s="14" t="n">
        <v>2.58</v>
      </c>
      <c r="E981" s="14">
        <f>IF(D981="","",D981*'参数与说明'!$B$6/25.4012)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32660</v>
      </c>
      <c r="B982" s="17" t="n">
        <v>1989</v>
      </c>
      <c r="C982" s="17" t="n">
        <v>6</v>
      </c>
      <c r="D982" s="18" t="n">
        <v>2.52</v>
      </c>
      <c r="E982" s="18">
        <f>IF(D982="","",D982*'参数与说明'!$B$6/25.4012)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32690</v>
      </c>
      <c r="B983" s="13" t="n">
        <v>1989</v>
      </c>
      <c r="C983" s="13" t="n">
        <v>7</v>
      </c>
      <c r="D983" s="14" t="n">
        <v>2.47</v>
      </c>
      <c r="E983" s="14">
        <f>IF(D983="","",D983*'参数与说明'!$B$6/25.4012)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32721</v>
      </c>
      <c r="B984" s="17" t="n">
        <v>1989</v>
      </c>
      <c r="C984" s="17" t="n">
        <v>8</v>
      </c>
      <c r="D984" s="18" t="n">
        <v>2.27</v>
      </c>
      <c r="E984" s="18">
        <f>IF(D984="","",D984*'参数与说明'!$B$6/25.4012)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32752</v>
      </c>
      <c r="B985" s="13" t="n">
        <v>1989</v>
      </c>
      <c r="C985" s="13" t="n">
        <v>9</v>
      </c>
      <c r="D985" s="14" t="n">
        <v>2.29</v>
      </c>
      <c r="E985" s="14">
        <f>IF(D985="","",D985*'参数与说明'!$B$6/25.4012)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32782</v>
      </c>
      <c r="B986" s="17" t="n">
        <v>1989</v>
      </c>
      <c r="C986" s="17" t="n">
        <v>10</v>
      </c>
      <c r="D986" s="18" t="n">
        <v>2.22</v>
      </c>
      <c r="E986" s="18">
        <f>IF(D986="","",D986*'参数与说明'!$B$6/25.4012)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32813</v>
      </c>
      <c r="B987" s="13" t="n">
        <v>1989</v>
      </c>
      <c r="C987" s="13" t="n">
        <v>11</v>
      </c>
      <c r="D987" s="14" t="n">
        <v>2.24</v>
      </c>
      <c r="E987" s="14">
        <f>IF(D987="","",D987*'参数与说明'!$B$6/25.4012)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32843</v>
      </c>
      <c r="B988" s="17" t="n">
        <v>1989</v>
      </c>
      <c r="C988" s="17" t="n">
        <v>12</v>
      </c>
      <c r="D988" s="18" t="n">
        <v>2.27</v>
      </c>
      <c r="E988" s="18">
        <f>IF(D988="","",D988*'参数与说明'!$B$6/25.4012)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32874</v>
      </c>
      <c r="B989" s="13" t="n">
        <v>1990</v>
      </c>
      <c r="C989" s="13" t="n">
        <v>1</v>
      </c>
      <c r="D989" s="14" t="n">
        <v>2.31</v>
      </c>
      <c r="E989" s="14">
        <f>IF(D989="","",D989*'参数与说明'!$B$6/25.4012)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32905</v>
      </c>
      <c r="B990" s="17" t="n">
        <v>1990</v>
      </c>
      <c r="C990" s="17" t="n">
        <v>2</v>
      </c>
      <c r="D990" s="18" t="n">
        <v>2.32</v>
      </c>
      <c r="E990" s="18">
        <f>IF(D990="","",D990*'参数与说明'!$B$6/25.4012)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32933</v>
      </c>
      <c r="B991" s="13" t="n">
        <v>1990</v>
      </c>
      <c r="C991" s="13" t="n">
        <v>3</v>
      </c>
      <c r="D991" s="14" t="n">
        <v>2.37</v>
      </c>
      <c r="E991" s="14">
        <f>IF(D991="","",D991*'参数与说明'!$B$6/25.4012)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32964</v>
      </c>
      <c r="B992" s="17" t="n">
        <v>1990</v>
      </c>
      <c r="C992" s="17" t="n">
        <v>4</v>
      </c>
      <c r="D992" s="18" t="n">
        <v>2.51</v>
      </c>
      <c r="E992" s="18">
        <f>IF(D992="","",D992*'参数与说明'!$B$6/25.4012)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32994</v>
      </c>
      <c r="B993" s="13" t="n">
        <v>1990</v>
      </c>
      <c r="C993" s="13" t="n">
        <v>5</v>
      </c>
      <c r="D993" s="14" t="n">
        <v>2.62</v>
      </c>
      <c r="E993" s="14">
        <f>IF(D993="","",D993*'参数与说明'!$B$6/25.4012)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33025</v>
      </c>
      <c r="B994" s="17" t="n">
        <v>1990</v>
      </c>
      <c r="C994" s="17" t="n">
        <v>6</v>
      </c>
      <c r="D994" s="18" t="n">
        <v>2.63</v>
      </c>
      <c r="E994" s="18">
        <f>IF(D994="","",D994*'参数与说明'!$B$6/25.4012)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33055</v>
      </c>
      <c r="B995" s="13" t="n">
        <v>1990</v>
      </c>
      <c r="C995" s="13" t="n">
        <v>7</v>
      </c>
      <c r="D995" s="14" t="n">
        <v>2.62</v>
      </c>
      <c r="E995" s="14">
        <f>IF(D995="","",D995*'参数与说明'!$B$6/25.4012)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33086</v>
      </c>
      <c r="B996" s="17" t="n">
        <v>1990</v>
      </c>
      <c r="C996" s="17" t="n">
        <v>8</v>
      </c>
      <c r="D996" s="18" t="n">
        <v>2.51</v>
      </c>
      <c r="E996" s="18">
        <f>IF(D996="","",D996*'参数与说明'!$B$6/25.4012)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33117</v>
      </c>
      <c r="B997" s="13" t="n">
        <v>1990</v>
      </c>
      <c r="C997" s="13" t="n">
        <v>9</v>
      </c>
      <c r="D997" s="14" t="n">
        <v>2.32</v>
      </c>
      <c r="E997" s="14">
        <f>IF(D997="","",D997*'参数与说明'!$B$6/25.4012)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33147</v>
      </c>
      <c r="B998" s="17" t="n">
        <v>1990</v>
      </c>
      <c r="C998" s="17" t="n">
        <v>10</v>
      </c>
      <c r="D998" s="18" t="n">
        <v>2.19</v>
      </c>
      <c r="E998" s="18">
        <f>IF(D998="","",D998*'参数与说明'!$B$6/25.4012)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33178</v>
      </c>
      <c r="B999" s="13" t="n">
        <v>1990</v>
      </c>
      <c r="C999" s="13" t="n">
        <v>11</v>
      </c>
      <c r="D999" s="14" t="n">
        <v>2.16</v>
      </c>
      <c r="E999" s="14">
        <f>IF(D999="","",D999*'参数与说明'!$B$6/25.4012)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33208</v>
      </c>
      <c r="B1000" s="17" t="n">
        <v>1990</v>
      </c>
      <c r="C1000" s="17" t="n">
        <v>12</v>
      </c>
      <c r="D1000" s="18" t="n">
        <v>2.22</v>
      </c>
      <c r="E1000" s="18">
        <f>IF(D1000="","",D1000*'参数与说明'!$B$6/25.4012)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33239</v>
      </c>
      <c r="B1001" s="13" t="n">
        <v>1991</v>
      </c>
      <c r="C1001" s="13" t="n">
        <v>1</v>
      </c>
      <c r="D1001" s="14" t="n">
        <v>2.27</v>
      </c>
      <c r="E1001" s="14">
        <f>IF(D1001="","",D1001*'参数与说明'!$B$6/25.4012)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33270</v>
      </c>
      <c r="B1002" s="17" t="n">
        <v>1991</v>
      </c>
      <c r="C1002" s="17" t="n">
        <v>2</v>
      </c>
      <c r="D1002" s="18" t="n">
        <v>2.32</v>
      </c>
      <c r="E1002" s="18">
        <f>IF(D1002="","",D1002*'参数与说明'!$B$6/25.4012)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33298</v>
      </c>
      <c r="B1003" s="13" t="n">
        <v>1991</v>
      </c>
      <c r="C1003" s="13" t="n">
        <v>3</v>
      </c>
      <c r="D1003" s="14" t="n">
        <v>2.39</v>
      </c>
      <c r="E1003" s="14">
        <f>IF(D1003="","",D1003*'参数与说明'!$B$6/25.4012)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33329</v>
      </c>
      <c r="B1004" s="17" t="n">
        <v>1991</v>
      </c>
      <c r="C1004" s="17" t="n">
        <v>4</v>
      </c>
      <c r="D1004" s="18" t="n">
        <v>2.42</v>
      </c>
      <c r="E1004" s="18">
        <f>IF(D1004="","",D1004*'参数与说明'!$B$6/25.4012)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33359</v>
      </c>
      <c r="B1005" s="13" t="n">
        <v>1991</v>
      </c>
      <c r="C1005" s="13" t="n">
        <v>5</v>
      </c>
      <c r="D1005" s="14" t="n">
        <v>2.38</v>
      </c>
      <c r="E1005" s="14">
        <f>IF(D1005="","",D1005*'参数与说明'!$B$6/25.4012)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33390</v>
      </c>
      <c r="B1006" s="17" t="n">
        <v>1991</v>
      </c>
      <c r="C1006" s="17" t="n">
        <v>6</v>
      </c>
      <c r="D1006" s="18" t="n">
        <v>2.31</v>
      </c>
      <c r="E1006" s="18">
        <f>IF(D1006="","",D1006*'参数与说明'!$B$6/25.4012)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33420</v>
      </c>
      <c r="B1007" s="13" t="n">
        <v>1991</v>
      </c>
      <c r="C1007" s="13" t="n">
        <v>7</v>
      </c>
      <c r="D1007" s="14" t="n">
        <v>2.27</v>
      </c>
      <c r="E1007" s="14">
        <f>IF(D1007="","",D1007*'参数与说明'!$B$6/25.4012)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33451</v>
      </c>
      <c r="B1008" s="17" t="n">
        <v>1991</v>
      </c>
      <c r="C1008" s="17" t="n">
        <v>8</v>
      </c>
      <c r="D1008" s="18" t="n">
        <v>2.33</v>
      </c>
      <c r="E1008" s="18">
        <f>IF(D1008="","",D1008*'参数与说明'!$B$6/25.4012)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33482</v>
      </c>
      <c r="B1009" s="13" t="n">
        <v>1991</v>
      </c>
      <c r="C1009" s="13" t="n">
        <v>9</v>
      </c>
      <c r="D1009" s="14" t="n">
        <v>2.33</v>
      </c>
      <c r="E1009" s="14">
        <f>IF(D1009="","",D1009*'参数与说明'!$B$6/25.4012)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33512</v>
      </c>
      <c r="B1010" s="17" t="n">
        <v>1991</v>
      </c>
      <c r="C1010" s="17" t="n">
        <v>10</v>
      </c>
      <c r="D1010" s="18" t="n">
        <v>2.31</v>
      </c>
      <c r="E1010" s="18">
        <f>IF(D1010="","",D1010*'参数与说明'!$B$6/25.4012)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33543</v>
      </c>
      <c r="B1011" s="13" t="n">
        <v>1991</v>
      </c>
      <c r="C1011" s="13" t="n">
        <v>11</v>
      </c>
      <c r="D1011" s="14" t="n">
        <v>2.29</v>
      </c>
      <c r="E1011" s="14">
        <f>IF(D1011="","",D1011*'参数与说明'!$B$6/25.4012)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33573</v>
      </c>
      <c r="B1012" s="17" t="n">
        <v>1991</v>
      </c>
      <c r="C1012" s="17" t="n">
        <v>12</v>
      </c>
      <c r="D1012" s="18" t="n">
        <v>2.33</v>
      </c>
      <c r="E1012" s="18">
        <f>IF(D1012="","",D1012*'参数与说明'!$B$6/25.4012)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33604</v>
      </c>
      <c r="B1013" s="13" t="n">
        <v>1992</v>
      </c>
      <c r="C1013" s="13" t="n">
        <v>1</v>
      </c>
      <c r="D1013" s="14" t="n">
        <v>2.4</v>
      </c>
      <c r="E1013" s="14">
        <f>IF(D1013="","",D1013*'参数与说明'!$B$6/25.4012)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33635</v>
      </c>
      <c r="B1014" s="17" t="n">
        <v>1992</v>
      </c>
      <c r="C1014" s="17" t="n">
        <v>2</v>
      </c>
      <c r="D1014" s="18" t="n">
        <v>2.46</v>
      </c>
      <c r="E1014" s="18">
        <f>IF(D1014="","",D1014*'参数与说明'!$B$6/25.4012)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33664</v>
      </c>
      <c r="B1015" s="13" t="n">
        <v>1992</v>
      </c>
      <c r="C1015" s="13" t="n">
        <v>3</v>
      </c>
      <c r="D1015" s="14" t="n">
        <v>2.49</v>
      </c>
      <c r="E1015" s="14">
        <f>IF(D1015="","",D1015*'参数与说明'!$B$6/25.4012)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33695</v>
      </c>
      <c r="B1016" s="17" t="n">
        <v>1992</v>
      </c>
      <c r="C1016" s="17" t="n">
        <v>4</v>
      </c>
      <c r="D1016" s="18" t="n">
        <v>2.48</v>
      </c>
      <c r="E1016" s="18">
        <f>IF(D1016="","",D1016*'参数与说明'!$B$6/25.4012)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33725</v>
      </c>
      <c r="B1017" s="13" t="n">
        <v>1992</v>
      </c>
      <c r="C1017" s="13" t="n">
        <v>5</v>
      </c>
      <c r="D1017" s="14" t="n">
        <v>2.49</v>
      </c>
      <c r="E1017" s="14">
        <f>IF(D1017="","",D1017*'参数与说明'!$B$6/25.4012)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33756</v>
      </c>
      <c r="B1018" s="17" t="n">
        <v>1992</v>
      </c>
      <c r="C1018" s="17" t="n">
        <v>6</v>
      </c>
      <c r="D1018" s="18" t="n">
        <v>2.47</v>
      </c>
      <c r="E1018" s="18">
        <f>IF(D1018="","",D1018*'参数与说明'!$B$6/25.4012)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33786</v>
      </c>
      <c r="B1019" s="13" t="n">
        <v>1992</v>
      </c>
      <c r="C1019" s="13" t="n">
        <v>7</v>
      </c>
      <c r="D1019" s="14" t="n">
        <v>2.33</v>
      </c>
      <c r="E1019" s="14">
        <f>IF(D1019="","",D1019*'参数与说明'!$B$6/25.4012)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33817</v>
      </c>
      <c r="B1020" s="17" t="n">
        <v>1992</v>
      </c>
      <c r="C1020" s="17" t="n">
        <v>8</v>
      </c>
      <c r="D1020" s="18" t="n">
        <v>2.15</v>
      </c>
      <c r="E1020" s="18">
        <f>IF(D1020="","",D1020*'参数与说明'!$B$6/25.4012)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33848</v>
      </c>
      <c r="B1021" s="13" t="n">
        <v>1992</v>
      </c>
      <c r="C1021" s="13" t="n">
        <v>9</v>
      </c>
      <c r="D1021" s="14" t="n">
        <v>2.16</v>
      </c>
      <c r="E1021" s="14">
        <f>IF(D1021="","",D1021*'参数与说明'!$B$6/25.4012)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33878</v>
      </c>
      <c r="B1022" s="17" t="n">
        <v>1992</v>
      </c>
      <c r="C1022" s="17" t="n">
        <v>10</v>
      </c>
      <c r="D1022" s="18" t="n">
        <v>2.05</v>
      </c>
      <c r="E1022" s="18">
        <f>IF(D1022="","",D1022*'参数与说明'!$B$6/25.4012)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33909</v>
      </c>
      <c r="B1023" s="13" t="n">
        <v>1992</v>
      </c>
      <c r="C1023" s="13" t="n">
        <v>11</v>
      </c>
      <c r="D1023" s="14" t="n">
        <v>1.98</v>
      </c>
      <c r="E1023" s="14">
        <f>IF(D1023="","",D1023*'参数与说明'!$B$6/25.4012)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33939</v>
      </c>
      <c r="B1024" s="17" t="n">
        <v>1992</v>
      </c>
      <c r="C1024" s="17" t="n">
        <v>12</v>
      </c>
      <c r="D1024" s="18" t="n">
        <v>1.97</v>
      </c>
      <c r="E1024" s="18">
        <f>IF(D1024="","",D1024*'参数与说明'!$B$6/25.4012)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33970</v>
      </c>
      <c r="B1025" s="13" t="n">
        <v>1993</v>
      </c>
      <c r="C1025" s="13" t="n">
        <v>1</v>
      </c>
      <c r="D1025" s="14" t="n">
        <v>2.03</v>
      </c>
      <c r="E1025" s="14">
        <f>IF(D1025="","",D1025*'参数与说明'!$B$6/25.4012)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34001</v>
      </c>
      <c r="B1026" s="17" t="n">
        <v>1993</v>
      </c>
      <c r="C1026" s="17" t="n">
        <v>2</v>
      </c>
      <c r="D1026" s="18" t="n">
        <v>2</v>
      </c>
      <c r="E1026" s="18">
        <f>IF(D1026="","",D1026*'参数与说明'!$B$6/25.4012)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34029</v>
      </c>
      <c r="B1027" s="13" t="n">
        <v>1993</v>
      </c>
      <c r="C1027" s="13" t="n">
        <v>3</v>
      </c>
      <c r="D1027" s="14" t="n">
        <v>2.1</v>
      </c>
      <c r="E1027" s="14">
        <f>IF(D1027="","",D1027*'参数与说明'!$B$6/25.4012)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34060</v>
      </c>
      <c r="B1028" s="17" t="n">
        <v>1993</v>
      </c>
      <c r="C1028" s="17" t="n">
        <v>4</v>
      </c>
      <c r="D1028" s="18" t="n">
        <v>2.16</v>
      </c>
      <c r="E1028" s="18">
        <f>IF(D1028="","",D1028*'参数与说明'!$B$6/25.4012)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34090</v>
      </c>
      <c r="B1029" s="13" t="n">
        <v>1993</v>
      </c>
      <c r="C1029" s="13" t="n">
        <v>5</v>
      </c>
      <c r="D1029" s="14" t="n">
        <v>2.14</v>
      </c>
      <c r="E1029" s="14">
        <f>IF(D1029="","",D1029*'参数与说明'!$B$6/25.4012)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34121</v>
      </c>
      <c r="B1030" s="17" t="n">
        <v>1993</v>
      </c>
      <c r="C1030" s="17" t="n">
        <v>6</v>
      </c>
      <c r="D1030" s="18" t="n">
        <v>2.09</v>
      </c>
      <c r="E1030" s="18">
        <f>IF(D1030="","",D1030*'参数与说明'!$B$6/25.4012)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34151</v>
      </c>
      <c r="B1031" s="13" t="n">
        <v>1993</v>
      </c>
      <c r="C1031" s="13" t="n">
        <v>7</v>
      </c>
      <c r="D1031" s="14" t="n">
        <v>2.22</v>
      </c>
      <c r="E1031" s="14">
        <f>IF(D1031="","",D1031*'参数与说明'!$B$6/25.4012)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34182</v>
      </c>
      <c r="B1032" s="17" t="n">
        <v>1993</v>
      </c>
      <c r="C1032" s="17" t="n">
        <v>8</v>
      </c>
      <c r="D1032" s="18" t="n">
        <v>2.25</v>
      </c>
      <c r="E1032" s="18">
        <f>IF(D1032="","",D1032*'参数与说明'!$B$6/25.4012)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34213</v>
      </c>
      <c r="B1033" s="13" t="n">
        <v>1993</v>
      </c>
      <c r="C1033" s="13" t="n">
        <v>9</v>
      </c>
      <c r="D1033" s="14" t="n">
        <v>2.21</v>
      </c>
      <c r="E1033" s="14">
        <f>IF(D1033="","",D1033*'参数与说明'!$B$6/25.4012)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34243</v>
      </c>
      <c r="B1034" s="17" t="n">
        <v>1993</v>
      </c>
      <c r="C1034" s="17" t="n">
        <v>10</v>
      </c>
      <c r="D1034" s="18" t="n">
        <v>2.28</v>
      </c>
      <c r="E1034" s="18">
        <f>IF(D1034="","",D1034*'参数与说明'!$B$6/25.4012)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34274</v>
      </c>
      <c r="B1035" s="13" t="n">
        <v>1993</v>
      </c>
      <c r="C1035" s="13" t="n">
        <v>11</v>
      </c>
      <c r="D1035" s="14" t="n">
        <v>2.45</v>
      </c>
      <c r="E1035" s="14">
        <f>IF(D1035="","",D1035*'参数与说明'!$B$6/25.4012)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34304</v>
      </c>
      <c r="B1036" s="17" t="n">
        <v>1993</v>
      </c>
      <c r="C1036" s="17" t="n">
        <v>12</v>
      </c>
      <c r="D1036" s="18" t="n">
        <v>2.67</v>
      </c>
      <c r="E1036" s="18">
        <f>IF(D1036="","",D1036*'参数与说明'!$B$6/25.4012)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34335</v>
      </c>
      <c r="B1037" s="13" t="n">
        <v>1994</v>
      </c>
      <c r="C1037" s="13" t="n">
        <v>1</v>
      </c>
      <c r="D1037" s="14" t="n">
        <v>2.7</v>
      </c>
      <c r="E1037" s="14">
        <f>IF(D1037="","",D1037*'参数与说明'!$B$6/25.4012)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34366</v>
      </c>
      <c r="B1038" s="17" t="n">
        <v>1994</v>
      </c>
      <c r="C1038" s="17" t="n">
        <v>2</v>
      </c>
      <c r="D1038" s="18" t="n">
        <v>2.79</v>
      </c>
      <c r="E1038" s="18">
        <f>IF(D1038="","",D1038*'参数与说明'!$B$6/25.4012)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34394</v>
      </c>
      <c r="B1039" s="13" t="n">
        <v>1994</v>
      </c>
      <c r="C1039" s="13" t="n">
        <v>3</v>
      </c>
      <c r="D1039" s="14" t="n">
        <v>2.74</v>
      </c>
      <c r="E1039" s="14">
        <f>IF(D1039="","",D1039*'参数与说明'!$B$6/25.4012)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34425</v>
      </c>
      <c r="B1040" s="17" t="n">
        <v>1994</v>
      </c>
      <c r="C1040" s="17" t="n">
        <v>4</v>
      </c>
      <c r="D1040" s="18" t="n">
        <v>2.65</v>
      </c>
      <c r="E1040" s="18">
        <f>IF(D1040="","",D1040*'参数与说明'!$B$6/25.4012)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34455</v>
      </c>
      <c r="B1041" s="13" t="n">
        <v>1994</v>
      </c>
      <c r="C1041" s="13" t="n">
        <v>5</v>
      </c>
      <c r="D1041" s="14" t="n">
        <v>2.6</v>
      </c>
      <c r="E1041" s="14">
        <f>IF(D1041="","",D1041*'参数与说明'!$B$6/25.4012)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34486</v>
      </c>
      <c r="B1042" s="17" t="n">
        <v>1994</v>
      </c>
      <c r="C1042" s="17" t="n">
        <v>6</v>
      </c>
      <c r="D1042" s="18" t="n">
        <v>2.61</v>
      </c>
      <c r="E1042" s="18">
        <f>IF(D1042="","",D1042*'参数与说明'!$B$6/25.4012)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34516</v>
      </c>
      <c r="B1043" s="13" t="n">
        <v>1994</v>
      </c>
      <c r="C1043" s="13" t="n">
        <v>7</v>
      </c>
      <c r="D1043" s="14" t="n">
        <v>2.29</v>
      </c>
      <c r="E1043" s="14">
        <f>IF(D1043="","",D1043*'参数与说明'!$B$6/25.4012)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34547</v>
      </c>
      <c r="B1044" s="17" t="n">
        <v>1994</v>
      </c>
      <c r="C1044" s="17" t="n">
        <v>8</v>
      </c>
      <c r="D1044" s="18" t="n">
        <v>2.16</v>
      </c>
      <c r="E1044" s="18">
        <f>IF(D1044="","",D1044*'参数与说明'!$B$6/25.4012)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34578</v>
      </c>
      <c r="B1045" s="13" t="n">
        <v>1994</v>
      </c>
      <c r="C1045" s="13" t="n">
        <v>9</v>
      </c>
      <c r="D1045" s="14" t="n">
        <v>2.19</v>
      </c>
      <c r="E1045" s="14">
        <f>IF(D1045="","",D1045*'参数与说明'!$B$6/25.4012)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34608</v>
      </c>
      <c r="B1046" s="17" t="n">
        <v>1994</v>
      </c>
      <c r="C1046" s="17" t="n">
        <v>10</v>
      </c>
      <c r="D1046" s="18" t="n">
        <v>2.06</v>
      </c>
      <c r="E1046" s="18">
        <f>IF(D1046="","",D1046*'参数与说明'!$B$6/25.4012)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34639</v>
      </c>
      <c r="B1047" s="13" t="n">
        <v>1994</v>
      </c>
      <c r="C1047" s="13" t="n">
        <v>11</v>
      </c>
      <c r="D1047" s="14" t="n">
        <v>1.99</v>
      </c>
      <c r="E1047" s="14">
        <f>IF(D1047="","",D1047*'参数与说明'!$B$6/25.4012)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34669</v>
      </c>
      <c r="B1048" s="17" t="n">
        <v>1994</v>
      </c>
      <c r="C1048" s="17" t="n">
        <v>12</v>
      </c>
      <c r="D1048" s="18" t="n">
        <v>2.13</v>
      </c>
      <c r="E1048" s="18">
        <f>IF(D1048="","",D1048*'参数与说明'!$B$6/25.4012)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34700</v>
      </c>
      <c r="B1049" s="13" t="n">
        <v>1995</v>
      </c>
      <c r="C1049" s="13" t="n">
        <v>1</v>
      </c>
      <c r="D1049" s="14" t="n">
        <v>2.19</v>
      </c>
      <c r="E1049" s="14">
        <f>IF(D1049="","",D1049*'参数与说明'!$B$6/25.4012)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34731</v>
      </c>
      <c r="B1050" s="17" t="n">
        <v>1995</v>
      </c>
      <c r="C1050" s="17" t="n">
        <v>2</v>
      </c>
      <c r="D1050" s="18" t="n">
        <v>2.23</v>
      </c>
      <c r="E1050" s="18">
        <f>IF(D1050="","",D1050*'参数与说明'!$B$6/25.4012)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34759</v>
      </c>
      <c r="B1051" s="13" t="n">
        <v>1995</v>
      </c>
      <c r="C1051" s="13" t="n">
        <v>3</v>
      </c>
      <c r="D1051" s="14" t="n">
        <v>2.3</v>
      </c>
      <c r="E1051" s="14">
        <f>IF(D1051="","",D1051*'参数与说明'!$B$6/25.4012)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34790</v>
      </c>
      <c r="B1052" s="17" t="n">
        <v>1995</v>
      </c>
      <c r="C1052" s="17" t="n">
        <v>4</v>
      </c>
      <c r="D1052" s="18" t="n">
        <v>2.36</v>
      </c>
      <c r="E1052" s="18">
        <f>IF(D1052="","",D1052*'参数与说明'!$B$6/25.4012)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34820</v>
      </c>
      <c r="B1053" s="13" t="n">
        <v>1995</v>
      </c>
      <c r="C1053" s="13" t="n">
        <v>5</v>
      </c>
      <c r="D1053" s="14" t="n">
        <v>2.42</v>
      </c>
      <c r="E1053" s="14">
        <f>IF(D1053="","",D1053*'参数与说明'!$B$6/25.4012)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34851</v>
      </c>
      <c r="B1054" s="17" t="n">
        <v>1995</v>
      </c>
      <c r="C1054" s="17" t="n">
        <v>6</v>
      </c>
      <c r="D1054" s="18" t="n">
        <v>2.51</v>
      </c>
      <c r="E1054" s="18">
        <f>IF(D1054="","",D1054*'参数与说明'!$B$6/25.4012)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34881</v>
      </c>
      <c r="B1055" s="13" t="n">
        <v>1995</v>
      </c>
      <c r="C1055" s="13" t="n">
        <v>7</v>
      </c>
      <c r="D1055" s="14" t="n">
        <v>2.63</v>
      </c>
      <c r="E1055" s="14">
        <f>IF(D1055="","",D1055*'参数与说明'!$B$6/25.4012)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34912</v>
      </c>
      <c r="B1056" s="17" t="n">
        <v>1995</v>
      </c>
      <c r="C1056" s="17" t="n">
        <v>8</v>
      </c>
      <c r="D1056" s="18" t="n">
        <v>2.63</v>
      </c>
      <c r="E1056" s="18">
        <f>IF(D1056="","",D1056*'参数与说明'!$B$6/25.4012)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34943</v>
      </c>
      <c r="B1057" s="13" t="n">
        <v>1995</v>
      </c>
      <c r="C1057" s="13" t="n">
        <v>9</v>
      </c>
      <c r="D1057" s="14" t="n">
        <v>2.69</v>
      </c>
      <c r="E1057" s="14">
        <f>IF(D1057="","",D1057*'参数与说明'!$B$6/25.4012)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34973</v>
      </c>
      <c r="B1058" s="17" t="n">
        <v>1995</v>
      </c>
      <c r="C1058" s="17" t="n">
        <v>10</v>
      </c>
      <c r="D1058" s="18" t="n">
        <v>2.79</v>
      </c>
      <c r="E1058" s="18">
        <f>IF(D1058="","",D1058*'参数与说明'!$B$6/25.4012)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35004</v>
      </c>
      <c r="B1059" s="13" t="n">
        <v>1995</v>
      </c>
      <c r="C1059" s="13" t="n">
        <v>11</v>
      </c>
      <c r="D1059" s="14" t="n">
        <v>2.87</v>
      </c>
      <c r="E1059" s="14">
        <f>IF(D1059="","",D1059*'参数与说明'!$B$6/25.4012)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35034</v>
      </c>
      <c r="B1060" s="17" t="n">
        <v>1995</v>
      </c>
      <c r="C1060" s="17" t="n">
        <v>12</v>
      </c>
      <c r="D1060" s="18" t="n">
        <v>3.07</v>
      </c>
      <c r="E1060" s="18">
        <f>IF(D1060="","",D1060*'参数与说明'!$B$6/25.4012)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35065</v>
      </c>
      <c r="B1061" s="13" t="n">
        <v>1996</v>
      </c>
      <c r="C1061" s="13" t="n">
        <v>1</v>
      </c>
      <c r="D1061" s="14" t="n">
        <v>3.09</v>
      </c>
      <c r="E1061" s="14">
        <f>IF(D1061="","",D1061*'参数与说明'!$B$6/25.4012)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35096</v>
      </c>
      <c r="B1062" s="17" t="n">
        <v>1996</v>
      </c>
      <c r="C1062" s="17" t="n">
        <v>2</v>
      </c>
      <c r="D1062" s="18" t="n">
        <v>3.37</v>
      </c>
      <c r="E1062" s="18">
        <f>IF(D1062="","",D1062*'参数与说明'!$B$6/25.4012)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35125</v>
      </c>
      <c r="B1063" s="13" t="n">
        <v>1996</v>
      </c>
      <c r="C1063" s="13" t="n">
        <v>3</v>
      </c>
      <c r="D1063" s="14" t="n">
        <v>3.51</v>
      </c>
      <c r="E1063" s="14">
        <f>IF(D1063="","",D1063*'参数与说明'!$B$6/25.4012)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35156</v>
      </c>
      <c r="B1064" s="17" t="n">
        <v>1996</v>
      </c>
      <c r="C1064" s="17" t="n">
        <v>4</v>
      </c>
      <c r="D1064" s="18" t="n">
        <v>3.85</v>
      </c>
      <c r="E1064" s="18">
        <f>IF(D1064="","",D1064*'参数与说明'!$B$6/25.4012)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35186</v>
      </c>
      <c r="B1065" s="13" t="n">
        <v>1996</v>
      </c>
      <c r="C1065" s="13" t="n">
        <v>5</v>
      </c>
      <c r="D1065" s="14" t="n">
        <v>4.14</v>
      </c>
      <c r="E1065" s="14">
        <f>IF(D1065="","",D1065*'参数与说明'!$B$6/25.4012)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35217</v>
      </c>
      <c r="B1066" s="17" t="n">
        <v>1996</v>
      </c>
      <c r="C1066" s="17" t="n">
        <v>6</v>
      </c>
      <c r="D1066" s="18" t="n">
        <v>4.2</v>
      </c>
      <c r="E1066" s="18">
        <f>IF(D1066="","",D1066*'参数与说明'!$B$6/25.4012)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35247</v>
      </c>
      <c r="B1067" s="13" t="n">
        <v>1996</v>
      </c>
      <c r="C1067" s="13" t="n">
        <v>7</v>
      </c>
      <c r="D1067" s="14" t="n">
        <v>4.43</v>
      </c>
      <c r="E1067" s="14">
        <f>IF(D1067="","",D1067*'参数与说明'!$B$6/25.4012)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35278</v>
      </c>
      <c r="B1068" s="17" t="n">
        <v>1996</v>
      </c>
      <c r="C1068" s="17" t="n">
        <v>8</v>
      </c>
      <c r="D1068" s="18" t="n">
        <v>4.3</v>
      </c>
      <c r="E1068" s="18">
        <f>IF(D1068="","",D1068*'参数与说明'!$B$6/25.4012)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35309</v>
      </c>
      <c r="B1069" s="13" t="n">
        <v>1996</v>
      </c>
      <c r="C1069" s="13" t="n">
        <v>9</v>
      </c>
      <c r="D1069" s="14" t="n">
        <v>3.56</v>
      </c>
      <c r="E1069" s="14">
        <f>IF(D1069="","",D1069*'参数与说明'!$B$6/25.4012)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35339</v>
      </c>
      <c r="B1070" s="17" t="n">
        <v>1996</v>
      </c>
      <c r="C1070" s="17" t="n">
        <v>10</v>
      </c>
      <c r="D1070" s="18" t="n">
        <v>2.88</v>
      </c>
      <c r="E1070" s="18">
        <f>IF(D1070="","",D1070*'参数与说明'!$B$6/25.4012)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35370</v>
      </c>
      <c r="B1071" s="13" t="n">
        <v>1996</v>
      </c>
      <c r="C1071" s="13" t="n">
        <v>11</v>
      </c>
      <c r="D1071" s="14" t="n">
        <v>2.66</v>
      </c>
      <c r="E1071" s="14">
        <f>IF(D1071="","",D1071*'参数与说明'!$B$6/25.4012)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35400</v>
      </c>
      <c r="B1072" s="17" t="n">
        <v>1996</v>
      </c>
      <c r="C1072" s="17" t="n">
        <v>12</v>
      </c>
      <c r="D1072" s="18" t="n">
        <v>2.63</v>
      </c>
      <c r="E1072" s="18">
        <f>IF(D1072="","",D1072*'参数与说明'!$B$6/25.4012)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35431</v>
      </c>
      <c r="B1073" s="13" t="n">
        <v>1997</v>
      </c>
      <c r="C1073" s="13" t="n">
        <v>1</v>
      </c>
      <c r="D1073" s="14" t="n">
        <v>2.69</v>
      </c>
      <c r="E1073" s="14">
        <f>IF(D1073="","",D1073*'参数与说明'!$B$6/25.4012)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35462</v>
      </c>
      <c r="B1074" s="17" t="n">
        <v>1997</v>
      </c>
      <c r="C1074" s="17" t="n">
        <v>2</v>
      </c>
      <c r="D1074" s="18" t="n">
        <v>2.65</v>
      </c>
      <c r="E1074" s="18">
        <f>IF(D1074="","",D1074*'参数与说明'!$B$6/25.4012)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35490</v>
      </c>
      <c r="B1075" s="13" t="n">
        <v>1997</v>
      </c>
      <c r="C1075" s="13" t="n">
        <v>3</v>
      </c>
      <c r="D1075" s="14" t="n">
        <v>2.79</v>
      </c>
      <c r="E1075" s="14">
        <f>IF(D1075="","",D1075*'参数与说明'!$B$6/25.4012)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35521</v>
      </c>
      <c r="B1076" s="17" t="n">
        <v>1997</v>
      </c>
      <c r="C1076" s="17" t="n">
        <v>4</v>
      </c>
      <c r="D1076" s="18" t="n">
        <v>2.8</v>
      </c>
      <c r="E1076" s="18">
        <f>IF(D1076="","",D1076*'参数与说明'!$B$6/25.4012)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35551</v>
      </c>
      <c r="B1077" s="13" t="n">
        <v>1997</v>
      </c>
      <c r="C1077" s="13" t="n">
        <v>5</v>
      </c>
      <c r="D1077" s="14" t="n">
        <v>2.69</v>
      </c>
      <c r="E1077" s="14">
        <f>IF(D1077="","",D1077*'参数与说明'!$B$6/25.4012)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35582</v>
      </c>
      <c r="B1078" s="17" t="n">
        <v>1997</v>
      </c>
      <c r="C1078" s="17" t="n">
        <v>6</v>
      </c>
      <c r="D1078" s="18" t="n">
        <v>2.56</v>
      </c>
      <c r="E1078" s="18">
        <f>IF(D1078="","",D1078*'参数与说明'!$B$6/25.4012)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35612</v>
      </c>
      <c r="B1079" s="13" t="n">
        <v>1997</v>
      </c>
      <c r="C1079" s="13" t="n">
        <v>7</v>
      </c>
      <c r="D1079" s="14" t="n">
        <v>2.42</v>
      </c>
      <c r="E1079" s="14">
        <f>IF(D1079="","",D1079*'参数与说明'!$B$6/25.4012)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35643</v>
      </c>
      <c r="B1080" s="17" t="n">
        <v>1997</v>
      </c>
      <c r="C1080" s="17" t="n">
        <v>8</v>
      </c>
      <c r="D1080" s="18" t="n">
        <v>2.5</v>
      </c>
      <c r="E1080" s="18">
        <f>IF(D1080="","",D1080*'参数与说明'!$B$6/25.4012)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35674</v>
      </c>
      <c r="B1081" s="13" t="n">
        <v>1997</v>
      </c>
      <c r="C1081" s="13" t="n">
        <v>9</v>
      </c>
      <c r="D1081" s="14" t="n">
        <v>2.52</v>
      </c>
      <c r="E1081" s="14">
        <f>IF(D1081="","",D1081*'参数与说明'!$B$6/25.4012)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35704</v>
      </c>
      <c r="B1082" s="17" t="n">
        <v>1997</v>
      </c>
      <c r="C1082" s="17" t="n">
        <v>10</v>
      </c>
      <c r="D1082" s="18" t="n">
        <v>2.54</v>
      </c>
      <c r="E1082" s="18">
        <f>IF(D1082="","",D1082*'参数与说明'!$B$6/25.4012)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35735</v>
      </c>
      <c r="B1083" s="13" t="n">
        <v>1997</v>
      </c>
      <c r="C1083" s="13" t="n">
        <v>11</v>
      </c>
      <c r="D1083" s="14" t="n">
        <v>2.51</v>
      </c>
      <c r="E1083" s="14">
        <f>IF(D1083="","",D1083*'参数与说明'!$B$6/25.4012)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35765</v>
      </c>
      <c r="B1084" s="17" t="n">
        <v>1997</v>
      </c>
      <c r="C1084" s="17" t="n">
        <v>12</v>
      </c>
      <c r="D1084" s="18" t="n">
        <v>2.52</v>
      </c>
      <c r="E1084" s="18">
        <f>IF(D1084="","",D1084*'参数与说明'!$B$6/25.4012)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35796</v>
      </c>
      <c r="B1085" s="13" t="n">
        <v>1998</v>
      </c>
      <c r="C1085" s="13" t="n">
        <v>1</v>
      </c>
      <c r="D1085" s="14" t="n">
        <v>2.56</v>
      </c>
      <c r="E1085" s="14">
        <f>IF(D1085="","",D1085*'参数与说明'!$B$6/25.4012)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35827</v>
      </c>
      <c r="B1086" s="17" t="n">
        <v>1998</v>
      </c>
      <c r="C1086" s="17" t="n">
        <v>2</v>
      </c>
      <c r="D1086" s="18" t="n">
        <v>2.55</v>
      </c>
      <c r="E1086" s="18">
        <f>IF(D1086="","",D1086*'参数与说明'!$B$6/25.4012)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35855</v>
      </c>
      <c r="B1087" s="13" t="n">
        <v>1998</v>
      </c>
      <c r="C1087" s="13" t="n">
        <v>3</v>
      </c>
      <c r="D1087" s="14" t="n">
        <v>2.55</v>
      </c>
      <c r="E1087" s="14">
        <f>IF(D1087="","",D1087*'参数与说明'!$B$6/25.4012)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35886</v>
      </c>
      <c r="B1088" s="17" t="n">
        <v>1998</v>
      </c>
      <c r="C1088" s="17" t="n">
        <v>4</v>
      </c>
      <c r="D1088" s="18" t="n">
        <v>2.41</v>
      </c>
      <c r="E1088" s="18">
        <f>IF(D1088="","",D1088*'参数与说明'!$B$6/25.4012)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35916</v>
      </c>
      <c r="B1089" s="13" t="n">
        <v>1998</v>
      </c>
      <c r="C1089" s="13" t="n">
        <v>5</v>
      </c>
      <c r="D1089" s="14" t="n">
        <v>2.34</v>
      </c>
      <c r="E1089" s="14">
        <f>IF(D1089="","",D1089*'参数与说明'!$B$6/25.4012)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35947</v>
      </c>
      <c r="B1090" s="17" t="n">
        <v>1998</v>
      </c>
      <c r="C1090" s="17" t="n">
        <v>6</v>
      </c>
      <c r="D1090" s="18" t="n">
        <v>2.28</v>
      </c>
      <c r="E1090" s="18">
        <f>IF(D1090="","",D1090*'参数与说明'!$B$6/25.4012)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35977</v>
      </c>
      <c r="B1091" s="13" t="n">
        <v>1998</v>
      </c>
      <c r="C1091" s="13" t="n">
        <v>7</v>
      </c>
      <c r="D1091" s="14" t="n">
        <v>2.19</v>
      </c>
      <c r="E1091" s="14">
        <f>IF(D1091="","",D1091*'参数与说明'!$B$6/25.4012)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36008</v>
      </c>
      <c r="B1092" s="17" t="n">
        <v>1998</v>
      </c>
      <c r="C1092" s="17" t="n">
        <v>8</v>
      </c>
      <c r="D1092" s="18" t="n">
        <v>1.89</v>
      </c>
      <c r="E1092" s="18">
        <f>IF(D1092="","",D1092*'参数与说明'!$B$6/25.4012)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36039</v>
      </c>
      <c r="B1093" s="13" t="n">
        <v>1998</v>
      </c>
      <c r="C1093" s="13" t="n">
        <v>9</v>
      </c>
      <c r="D1093" s="14" t="n">
        <v>1.84</v>
      </c>
      <c r="E1093" s="14">
        <f>IF(D1093="","",D1093*'参数与说明'!$B$6/25.4012)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36069</v>
      </c>
      <c r="B1094" s="17" t="n">
        <v>1998</v>
      </c>
      <c r="C1094" s="17" t="n">
        <v>10</v>
      </c>
      <c r="D1094" s="18" t="n">
        <v>1.91</v>
      </c>
      <c r="E1094" s="18">
        <f>IF(D1094="","",D1094*'参数与说明'!$B$6/25.4012)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36100</v>
      </c>
      <c r="B1095" s="13" t="n">
        <v>1998</v>
      </c>
      <c r="C1095" s="13" t="n">
        <v>11</v>
      </c>
      <c r="D1095" s="14" t="n">
        <v>1.93</v>
      </c>
      <c r="E1095" s="14">
        <f>IF(D1095="","",D1095*'参数与说明'!$B$6/25.4012)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36130</v>
      </c>
      <c r="B1096" s="17" t="n">
        <v>1998</v>
      </c>
      <c r="C1096" s="17" t="n">
        <v>12</v>
      </c>
      <c r="D1096" s="18" t="n">
        <v>2</v>
      </c>
      <c r="E1096" s="18">
        <f>IF(D1096="","",D1096*'参数与说明'!$B$6/25.4012)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36161</v>
      </c>
      <c r="B1097" s="13" t="n">
        <v>1999</v>
      </c>
      <c r="C1097" s="13" t="n">
        <v>1</v>
      </c>
      <c r="D1097" s="14" t="n">
        <v>2.06</v>
      </c>
      <c r="E1097" s="14">
        <f>IF(D1097="","",D1097*'参数与说明'!$B$6/25.4012)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36192</v>
      </c>
      <c r="B1098" s="17" t="n">
        <v>1999</v>
      </c>
      <c r="C1098" s="17" t="n">
        <v>2</v>
      </c>
      <c r="D1098" s="18" t="n">
        <v>2.05</v>
      </c>
      <c r="E1098" s="18">
        <f>IF(D1098="","",D1098*'参数与说明'!$B$6/25.4012)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36220</v>
      </c>
      <c r="B1099" s="13" t="n">
        <v>1999</v>
      </c>
      <c r="C1099" s="13" t="n">
        <v>3</v>
      </c>
      <c r="D1099" s="14" t="n">
        <v>2.06</v>
      </c>
      <c r="E1099" s="14">
        <f>IF(D1099="","",D1099*'参数与说明'!$B$6/25.4012)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36251</v>
      </c>
      <c r="B1100" s="17" t="n">
        <v>1999</v>
      </c>
      <c r="C1100" s="17" t="n">
        <v>4</v>
      </c>
      <c r="D1100" s="18" t="n">
        <v>2.04</v>
      </c>
      <c r="E1100" s="18">
        <f>IF(D1100="","",D1100*'参数与说明'!$B$6/25.4012)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36281</v>
      </c>
      <c r="B1101" s="13" t="n">
        <v>1999</v>
      </c>
      <c r="C1101" s="13" t="n">
        <v>5</v>
      </c>
      <c r="D1101" s="14" t="n">
        <v>1.99</v>
      </c>
      <c r="E1101" s="14">
        <f>IF(D1101="","",D1101*'参数与说明'!$B$6/25.4012)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36312</v>
      </c>
      <c r="B1102" s="17" t="n">
        <v>1999</v>
      </c>
      <c r="C1102" s="17" t="n">
        <v>6</v>
      </c>
      <c r="D1102" s="18" t="n">
        <v>1.97</v>
      </c>
      <c r="E1102" s="18">
        <f>IF(D1102="","",D1102*'参数与说明'!$B$6/25.4012)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36342</v>
      </c>
      <c r="B1103" s="13" t="n">
        <v>1999</v>
      </c>
      <c r="C1103" s="13" t="n">
        <v>7</v>
      </c>
      <c r="D1103" s="14" t="n">
        <v>1.74</v>
      </c>
      <c r="E1103" s="14">
        <f>IF(D1103="","",D1103*'参数与说明'!$B$6/25.4012)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36373</v>
      </c>
      <c r="B1104" s="17" t="n">
        <v>1999</v>
      </c>
      <c r="C1104" s="17" t="n">
        <v>8</v>
      </c>
      <c r="D1104" s="18" t="n">
        <v>1.75</v>
      </c>
      <c r="E1104" s="18">
        <f>IF(D1104="","",D1104*'参数与说明'!$B$6/25.4012)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36404</v>
      </c>
      <c r="B1105" s="13" t="n">
        <v>1999</v>
      </c>
      <c r="C1105" s="13" t="n">
        <v>9</v>
      </c>
      <c r="D1105" s="14" t="n">
        <v>1.75</v>
      </c>
      <c r="E1105" s="14">
        <f>IF(D1105="","",D1105*'参数与说明'!$B$6/25.4012)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36434</v>
      </c>
      <c r="B1106" s="17" t="n">
        <v>1999</v>
      </c>
      <c r="C1106" s="17" t="n">
        <v>10</v>
      </c>
      <c r="D1106" s="18" t="n">
        <v>1.69</v>
      </c>
      <c r="E1106" s="18">
        <f>IF(D1106="","",D1106*'参数与说明'!$B$6/25.4012)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36465</v>
      </c>
      <c r="B1107" s="13" t="n">
        <v>1999</v>
      </c>
      <c r="C1107" s="13" t="n">
        <v>11</v>
      </c>
      <c r="D1107" s="14" t="n">
        <v>1.7</v>
      </c>
      <c r="E1107" s="14">
        <f>IF(D1107="","",D1107*'参数与说明'!$B$6/25.4012)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36495</v>
      </c>
      <c r="B1108" s="17" t="n">
        <v>1999</v>
      </c>
      <c r="C1108" s="17" t="n">
        <v>12</v>
      </c>
      <c r="D1108" s="18" t="n">
        <v>1.82</v>
      </c>
      <c r="E1108" s="18">
        <f>IF(D1108="","",D1108*'参数与说明'!$B$6/25.4012)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36526</v>
      </c>
      <c r="B1109" s="13" t="n">
        <v>2000</v>
      </c>
      <c r="C1109" s="13" t="n">
        <v>1</v>
      </c>
      <c r="D1109" s="14" t="n">
        <v>1.91</v>
      </c>
      <c r="E1109" s="14">
        <f>IF(D1109="","",D1109*'参数与说明'!$B$6/25.4012)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36557</v>
      </c>
      <c r="B1110" s="17" t="n">
        <v>2000</v>
      </c>
      <c r="C1110" s="17" t="n">
        <v>2</v>
      </c>
      <c r="D1110" s="18" t="n">
        <v>1.98</v>
      </c>
      <c r="E1110" s="18">
        <f>IF(D1110="","",D1110*'参数与说明'!$B$6/25.4012)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36586</v>
      </c>
      <c r="B1111" s="13" t="n">
        <v>2000</v>
      </c>
      <c r="C1111" s="13" t="n">
        <v>3</v>
      </c>
      <c r="D1111" s="14" t="n">
        <v>2.03</v>
      </c>
      <c r="E1111" s="14">
        <f>IF(D1111="","",D1111*'参数与说明'!$B$6/25.4012)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36617</v>
      </c>
      <c r="B1112" s="17" t="n">
        <v>2000</v>
      </c>
      <c r="C1112" s="17" t="n">
        <v>4</v>
      </c>
      <c r="D1112" s="18" t="n">
        <v>2.03</v>
      </c>
      <c r="E1112" s="18">
        <f>IF(D1112="","",D1112*'参数与说明'!$B$6/25.4012)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36647</v>
      </c>
      <c r="B1113" s="13" t="n">
        <v>2000</v>
      </c>
      <c r="C1113" s="13" t="n">
        <v>5</v>
      </c>
      <c r="D1113" s="14" t="n">
        <v>2.11</v>
      </c>
      <c r="E1113" s="14">
        <f>IF(D1113="","",D1113*'参数与说明'!$B$6/25.4012)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36678</v>
      </c>
      <c r="B1114" s="17" t="n">
        <v>2000</v>
      </c>
      <c r="C1114" s="17" t="n">
        <v>6</v>
      </c>
      <c r="D1114" s="18" t="n">
        <v>1.91</v>
      </c>
      <c r="E1114" s="18">
        <f>IF(D1114="","",D1114*'参数与说明'!$B$6/25.4012)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36708</v>
      </c>
      <c r="B1115" s="13" t="n">
        <v>2000</v>
      </c>
      <c r="C1115" s="13" t="n">
        <v>7</v>
      </c>
      <c r="D1115" s="14" t="n">
        <v>1.64</v>
      </c>
      <c r="E1115" s="14">
        <f>IF(D1115="","",D1115*'参数与说明'!$B$6/25.4012)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36739</v>
      </c>
      <c r="B1116" s="17" t="n">
        <v>2000</v>
      </c>
      <c r="C1116" s="17" t="n">
        <v>8</v>
      </c>
      <c r="D1116" s="18" t="n">
        <v>1.52</v>
      </c>
      <c r="E1116" s="18">
        <f>IF(D1116="","",D1116*'参数与说明'!$B$6/25.4012)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36770</v>
      </c>
      <c r="B1117" s="13" t="n">
        <v>2000</v>
      </c>
      <c r="C1117" s="13" t="n">
        <v>9</v>
      </c>
      <c r="D1117" s="14" t="n">
        <v>1.61</v>
      </c>
      <c r="E1117" s="14">
        <f>IF(D1117="","",D1117*'参数与说明'!$B$6/25.4012)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36800</v>
      </c>
      <c r="B1118" s="17" t="n">
        <v>2000</v>
      </c>
      <c r="C1118" s="17" t="n">
        <v>10</v>
      </c>
      <c r="D1118" s="18" t="n">
        <v>1.74</v>
      </c>
      <c r="E1118" s="18">
        <f>IF(D1118="","",D1118*'参数与说明'!$B$6/25.4012)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36831</v>
      </c>
      <c r="B1119" s="13" t="n">
        <v>2000</v>
      </c>
      <c r="C1119" s="13" t="n">
        <v>11</v>
      </c>
      <c r="D1119" s="14" t="n">
        <v>1.86</v>
      </c>
      <c r="E1119" s="14">
        <f>IF(D1119="","",D1119*'参数与说明'!$B$6/25.4012)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36861</v>
      </c>
      <c r="B1120" s="17" t="n">
        <v>2000</v>
      </c>
      <c r="C1120" s="17" t="n">
        <v>12</v>
      </c>
      <c r="D1120" s="18" t="n">
        <v>1.97</v>
      </c>
      <c r="E1120" s="18">
        <f>IF(D1120="","",D1120*'参数与说明'!$B$6/25.4012)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36892</v>
      </c>
      <c r="B1121" s="13" t="n">
        <v>2001</v>
      </c>
      <c r="C1121" s="13" t="n">
        <v>1</v>
      </c>
      <c r="D1121" s="14" t="n">
        <v>1.98</v>
      </c>
      <c r="E1121" s="14">
        <f>IF(D1121="","",D1121*'参数与说明'!$B$6/25.4012)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36923</v>
      </c>
      <c r="B1122" s="17" t="n">
        <v>2001</v>
      </c>
      <c r="C1122" s="17" t="n">
        <v>2</v>
      </c>
      <c r="D1122" s="18" t="n">
        <v>1.96</v>
      </c>
      <c r="E1122" s="18">
        <f>IF(D1122="","",D1122*'参数与说明'!$B$6/25.4012)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36951</v>
      </c>
      <c r="B1123" s="13" t="n">
        <v>2001</v>
      </c>
      <c r="C1123" s="13" t="n">
        <v>3</v>
      </c>
      <c r="D1123" s="14" t="n">
        <v>1.96</v>
      </c>
      <c r="E1123" s="14">
        <f>IF(D1123="","",D1123*'参数与说明'!$B$6/25.4012)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36982</v>
      </c>
      <c r="B1124" s="17" t="n">
        <v>2001</v>
      </c>
      <c r="C1124" s="17" t="n">
        <v>4</v>
      </c>
      <c r="D1124" s="18" t="n">
        <v>1.89</v>
      </c>
      <c r="E1124" s="18">
        <f>IF(D1124="","",D1124*'参数与说明'!$B$6/25.4012)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37012</v>
      </c>
      <c r="B1125" s="13" t="n">
        <v>2001</v>
      </c>
      <c r="C1125" s="13" t="n">
        <v>5</v>
      </c>
      <c r="D1125" s="14" t="n">
        <v>1.82</v>
      </c>
      <c r="E1125" s="14">
        <f>IF(D1125="","",D1125*'参数与说明'!$B$6/25.4012)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37043</v>
      </c>
      <c r="B1126" s="17" t="n">
        <v>2001</v>
      </c>
      <c r="C1126" s="17" t="n">
        <v>6</v>
      </c>
      <c r="D1126" s="18" t="n">
        <v>1.76</v>
      </c>
      <c r="E1126" s="18">
        <f>IF(D1126="","",D1126*'参数与说明'!$B$6/25.4012)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37073</v>
      </c>
      <c r="B1127" s="13" t="n">
        <v>2001</v>
      </c>
      <c r="C1127" s="13" t="n">
        <v>7</v>
      </c>
      <c r="D1127" s="14" t="n">
        <v>1.87</v>
      </c>
      <c r="E1127" s="14">
        <f>IF(D1127="","",D1127*'参数与说明'!$B$6/25.4012)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37104</v>
      </c>
      <c r="B1128" s="17" t="n">
        <v>2001</v>
      </c>
      <c r="C1128" s="17" t="n">
        <v>8</v>
      </c>
      <c r="D1128" s="18" t="n">
        <v>1.9</v>
      </c>
      <c r="E1128" s="18">
        <f>IF(D1128="","",D1128*'参数与说明'!$B$6/25.4012)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37135</v>
      </c>
      <c r="B1129" s="13" t="n">
        <v>2001</v>
      </c>
      <c r="C1129" s="13" t="n">
        <v>9</v>
      </c>
      <c r="D1129" s="14" t="n">
        <v>1.91</v>
      </c>
      <c r="E1129" s="14">
        <f>IF(D1129="","",D1129*'参数与说明'!$B$6/25.4012)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37165</v>
      </c>
      <c r="B1130" s="17" t="n">
        <v>2001</v>
      </c>
      <c r="C1130" s="17" t="n">
        <v>10</v>
      </c>
      <c r="D1130" s="18" t="n">
        <v>1.84</v>
      </c>
      <c r="E1130" s="18">
        <f>IF(D1130="","",D1130*'参数与说明'!$B$6/25.4012)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37196</v>
      </c>
      <c r="B1131" s="13" t="n">
        <v>2001</v>
      </c>
      <c r="C1131" s="13" t="n">
        <v>11</v>
      </c>
      <c r="D1131" s="14" t="n">
        <v>1.85</v>
      </c>
      <c r="E1131" s="14">
        <f>IF(D1131="","",D1131*'参数与说明'!$B$6/25.4012)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37226</v>
      </c>
      <c r="B1132" s="17" t="n">
        <v>2001</v>
      </c>
      <c r="C1132" s="17" t="n">
        <v>12</v>
      </c>
      <c r="D1132" s="18" t="n">
        <v>1.98</v>
      </c>
      <c r="E1132" s="18">
        <f>IF(D1132="","",D1132*'参数与说明'!$B$6/25.4012)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37257</v>
      </c>
      <c r="B1133" s="13" t="n">
        <v>2002</v>
      </c>
      <c r="C1133" s="13" t="n">
        <v>1</v>
      </c>
      <c r="D1133" s="14" t="n">
        <v>1.97</v>
      </c>
      <c r="E1133" s="14">
        <f>IF(D1133="","",D1133*'参数与说明'!$B$6/25.4012)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37288</v>
      </c>
      <c r="B1134" s="17" t="n">
        <v>2002</v>
      </c>
      <c r="C1134" s="17" t="n">
        <v>2</v>
      </c>
      <c r="D1134" s="18" t="n">
        <v>1.93</v>
      </c>
      <c r="E1134" s="18">
        <f>IF(D1134="","",D1134*'参数与说明'!$B$6/25.4012)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37316</v>
      </c>
      <c r="B1135" s="13" t="n">
        <v>2002</v>
      </c>
      <c r="C1135" s="13" t="n">
        <v>3</v>
      </c>
      <c r="D1135" s="14" t="n">
        <v>1.94</v>
      </c>
      <c r="E1135" s="14">
        <f>IF(D1135="","",D1135*'参数与说明'!$B$6/25.4012)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37347</v>
      </c>
      <c r="B1136" s="17" t="n">
        <v>2002</v>
      </c>
      <c r="C1136" s="17" t="n">
        <v>4</v>
      </c>
      <c r="D1136" s="18" t="n">
        <v>1.91</v>
      </c>
      <c r="E1136" s="18">
        <f>IF(D1136="","",D1136*'参数与说明'!$B$6/25.4012)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37377</v>
      </c>
      <c r="B1137" s="13" t="n">
        <v>2002</v>
      </c>
      <c r="C1137" s="13" t="n">
        <v>5</v>
      </c>
      <c r="D1137" s="14" t="n">
        <v>1.93</v>
      </c>
      <c r="E1137" s="14">
        <f>IF(D1137="","",D1137*'参数与说明'!$B$6/25.4012)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37408</v>
      </c>
      <c r="B1138" s="17" t="n">
        <v>2002</v>
      </c>
      <c r="C1138" s="17" t="n">
        <v>6</v>
      </c>
      <c r="D1138" s="18" t="n">
        <v>1.97</v>
      </c>
      <c r="E1138" s="18">
        <f>IF(D1138="","",D1138*'参数与说明'!$B$6/25.4012)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37438</v>
      </c>
      <c r="B1139" s="13" t="n">
        <v>2002</v>
      </c>
      <c r="C1139" s="13" t="n">
        <v>7</v>
      </c>
      <c r="D1139" s="14" t="n">
        <v>2.13</v>
      </c>
      <c r="E1139" s="14">
        <f>IF(D1139="","",D1139*'参数与说明'!$B$6/25.4012)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37469</v>
      </c>
      <c r="B1140" s="17" t="n">
        <v>2002</v>
      </c>
      <c r="C1140" s="17" t="n">
        <v>8</v>
      </c>
      <c r="D1140" s="18" t="n">
        <v>2.38</v>
      </c>
      <c r="E1140" s="18">
        <f>IF(D1140="","",D1140*'参数与说明'!$B$6/25.4012)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37500</v>
      </c>
      <c r="B1141" s="13" t="n">
        <v>2002</v>
      </c>
      <c r="C1141" s="13" t="n">
        <v>9</v>
      </c>
      <c r="D1141" s="14" t="n">
        <v>2.47</v>
      </c>
      <c r="E1141" s="14">
        <f>IF(D1141="","",D1141*'参数与说明'!$B$6/25.4012)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37530</v>
      </c>
      <c r="B1142" s="17" t="n">
        <v>2002</v>
      </c>
      <c r="C1142" s="17" t="n">
        <v>10</v>
      </c>
      <c r="D1142" s="18" t="n">
        <v>2.34</v>
      </c>
      <c r="E1142" s="18">
        <f>IF(D1142="","",D1142*'参数与说明'!$B$6/25.4012)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37561</v>
      </c>
      <c r="B1143" s="13" t="n">
        <v>2002</v>
      </c>
      <c r="C1143" s="13" t="n">
        <v>11</v>
      </c>
      <c r="D1143" s="14" t="n">
        <v>2.28</v>
      </c>
      <c r="E1143" s="14">
        <f>IF(D1143="","",D1143*'参数与说明'!$B$6/25.4012)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37591</v>
      </c>
      <c r="B1144" s="17" t="n">
        <v>2002</v>
      </c>
      <c r="C1144" s="17" t="n">
        <v>12</v>
      </c>
      <c r="D1144" s="18" t="n">
        <v>2.32</v>
      </c>
      <c r="E1144" s="18">
        <f>IF(D1144="","",D1144*'参数与说明'!$B$6/25.4012)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37622</v>
      </c>
      <c r="B1145" s="13" t="n">
        <v>2003</v>
      </c>
      <c r="C1145" s="13" t="n">
        <v>1</v>
      </c>
      <c r="D1145" s="14" t="n">
        <v>2.33</v>
      </c>
      <c r="E1145" s="14">
        <f>IF(D1145="","",D1145*'参数与说明'!$B$6/25.4012)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37653</v>
      </c>
      <c r="B1146" s="17" t="n">
        <v>2003</v>
      </c>
      <c r="C1146" s="17" t="n">
        <v>2</v>
      </c>
      <c r="D1146" s="18" t="n">
        <v>2.34</v>
      </c>
      <c r="E1146" s="18">
        <f>IF(D1146="","",D1146*'参数与说明'!$B$6/25.4012)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37681</v>
      </c>
      <c r="B1147" s="13" t="n">
        <v>2003</v>
      </c>
      <c r="C1147" s="13" t="n">
        <v>3</v>
      </c>
      <c r="D1147" s="14" t="n">
        <v>2.33</v>
      </c>
      <c r="E1147" s="14">
        <f>IF(D1147="","",D1147*'参数与说明'!$B$6/25.4012)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37712</v>
      </c>
      <c r="B1148" s="17" t="n">
        <v>2003</v>
      </c>
      <c r="C1148" s="17" t="n">
        <v>4</v>
      </c>
      <c r="D1148" s="18" t="n">
        <v>2.34</v>
      </c>
      <c r="E1148" s="18">
        <f>IF(D1148="","",D1148*'参数与说明'!$B$6/25.4012)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37742</v>
      </c>
      <c r="B1149" s="13" t="n">
        <v>2003</v>
      </c>
      <c r="C1149" s="13" t="n">
        <v>5</v>
      </c>
      <c r="D1149" s="14" t="n">
        <v>2.38</v>
      </c>
      <c r="E1149" s="14">
        <f>IF(D1149="","",D1149*'参数与说明'!$B$6/25.4012)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37773</v>
      </c>
      <c r="B1150" s="17" t="n">
        <v>2003</v>
      </c>
      <c r="C1150" s="17" t="n">
        <v>6</v>
      </c>
      <c r="D1150" s="18" t="n">
        <v>2.34</v>
      </c>
      <c r="E1150" s="18">
        <f>IF(D1150="","",D1150*'参数与说明'!$B$6/25.4012)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37803</v>
      </c>
      <c r="B1151" s="13" t="n">
        <v>2003</v>
      </c>
      <c r="C1151" s="13" t="n">
        <v>7</v>
      </c>
      <c r="D1151" s="14" t="n">
        <v>2.17</v>
      </c>
      <c r="E1151" s="14">
        <f>IF(D1151="","",D1151*'参数与说明'!$B$6/25.4012)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37834</v>
      </c>
      <c r="B1152" s="17" t="n">
        <v>2003</v>
      </c>
      <c r="C1152" s="17" t="n">
        <v>8</v>
      </c>
      <c r="D1152" s="18" t="n">
        <v>2.15</v>
      </c>
      <c r="E1152" s="18">
        <f>IF(D1152="","",D1152*'参数与说明'!$B$6/25.4012)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37865</v>
      </c>
      <c r="B1153" s="13" t="n">
        <v>2003</v>
      </c>
      <c r="C1153" s="13" t="n">
        <v>9</v>
      </c>
      <c r="D1153" s="14" t="n">
        <v>2.2</v>
      </c>
      <c r="E1153" s="14">
        <f>IF(D1153="","",D1153*'参数与说明'!$B$6/25.4012)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37895</v>
      </c>
      <c r="B1154" s="17" t="n">
        <v>2003</v>
      </c>
      <c r="C1154" s="17" t="n">
        <v>10</v>
      </c>
      <c r="D1154" s="18" t="n">
        <v>2.12</v>
      </c>
      <c r="E1154" s="18">
        <f>IF(D1154="","",D1154*'参数与说明'!$B$6/25.4012)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37926</v>
      </c>
      <c r="B1155" s="13" t="n">
        <v>2003</v>
      </c>
      <c r="C1155" s="13" t="n">
        <v>11</v>
      </c>
      <c r="D1155" s="14" t="n">
        <v>2.2</v>
      </c>
      <c r="E1155" s="14">
        <f>IF(D1155="","",D1155*'参数与说明'!$B$6/25.4012)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37956</v>
      </c>
      <c r="B1156" s="17" t="n">
        <v>2003</v>
      </c>
      <c r="C1156" s="17" t="n">
        <v>12</v>
      </c>
      <c r="D1156" s="18" t="n">
        <v>2.31</v>
      </c>
      <c r="E1156" s="18">
        <f>IF(D1156="","",D1156*'参数与说明'!$B$6/25.4012)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37987</v>
      </c>
      <c r="B1157" s="13" t="n">
        <v>2004</v>
      </c>
      <c r="C1157" s="13" t="n">
        <v>1</v>
      </c>
      <c r="D1157" s="14" t="n">
        <v>2.39</v>
      </c>
      <c r="E1157" s="14">
        <f>IF(D1157="","",D1157*'参数与说明'!$B$6/25.4012)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38018</v>
      </c>
      <c r="B1158" s="17" t="n">
        <v>2004</v>
      </c>
      <c r="C1158" s="17" t="n">
        <v>2</v>
      </c>
      <c r="D1158" s="18" t="n">
        <v>2.61</v>
      </c>
      <c r="E1158" s="18">
        <f>IF(D1158="","",D1158*'参数与说明'!$B$6/25.4012)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38047</v>
      </c>
      <c r="B1159" s="13" t="n">
        <v>2004</v>
      </c>
      <c r="C1159" s="13" t="n">
        <v>3</v>
      </c>
      <c r="D1159" s="14" t="n">
        <v>2.75</v>
      </c>
      <c r="E1159" s="14">
        <f>IF(D1159="","",D1159*'参数与说明'!$B$6/25.4012)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38078</v>
      </c>
      <c r="B1160" s="17" t="n">
        <v>2004</v>
      </c>
      <c r="C1160" s="17" t="n">
        <v>4</v>
      </c>
      <c r="D1160" s="18" t="n">
        <v>2.89</v>
      </c>
      <c r="E1160" s="18">
        <f>IF(D1160="","",D1160*'参数与说明'!$B$6/25.4012)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38108</v>
      </c>
      <c r="B1161" s="13" t="n">
        <v>2004</v>
      </c>
      <c r="C1161" s="13" t="n">
        <v>5</v>
      </c>
      <c r="D1161" s="14" t="n">
        <v>2.87</v>
      </c>
      <c r="E1161" s="14">
        <f>IF(D1161="","",D1161*'参数与说明'!$B$6/25.4012)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38139</v>
      </c>
      <c r="B1162" s="17" t="n">
        <v>2004</v>
      </c>
      <c r="C1162" s="17" t="n">
        <v>6</v>
      </c>
      <c r="D1162" s="18" t="n">
        <v>2.79</v>
      </c>
      <c r="E1162" s="18">
        <f>IF(D1162="","",D1162*'参数与说明'!$B$6/25.4012)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38169</v>
      </c>
      <c r="B1163" s="13" t="n">
        <v>2004</v>
      </c>
      <c r="C1163" s="13" t="n">
        <v>7</v>
      </c>
      <c r="D1163" s="14" t="n">
        <v>2.51</v>
      </c>
      <c r="E1163" s="14">
        <f>IF(D1163="","",D1163*'参数与说明'!$B$6/25.4012)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38200</v>
      </c>
      <c r="B1164" s="17" t="n">
        <v>2004</v>
      </c>
      <c r="C1164" s="17" t="n">
        <v>8</v>
      </c>
      <c r="D1164" s="18" t="n">
        <v>2.34</v>
      </c>
      <c r="E1164" s="18">
        <f>IF(D1164="","",D1164*'参数与说明'!$B$6/25.4012)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38231</v>
      </c>
      <c r="B1165" s="13" t="n">
        <v>2004</v>
      </c>
      <c r="C1165" s="13" t="n">
        <v>9</v>
      </c>
      <c r="D1165" s="14" t="n">
        <v>2.2</v>
      </c>
      <c r="E1165" s="14">
        <f>IF(D1165="","",D1165*'参数与说明'!$B$6/25.4012)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38261</v>
      </c>
      <c r="B1166" s="17" t="n">
        <v>2004</v>
      </c>
      <c r="C1166" s="17" t="n">
        <v>10</v>
      </c>
      <c r="D1166" s="18" t="n">
        <v>2.14</v>
      </c>
      <c r="E1166" s="18">
        <f>IF(D1166="","",D1166*'参数与说明'!$B$6/25.4012)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38292</v>
      </c>
      <c r="B1167" s="13" t="n">
        <v>2004</v>
      </c>
      <c r="C1167" s="13" t="n">
        <v>11</v>
      </c>
      <c r="D1167" s="14" t="n">
        <v>2.05</v>
      </c>
      <c r="E1167" s="14">
        <f>IF(D1167="","",D1167*'参数与说明'!$B$6/25.4012)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38322</v>
      </c>
      <c r="B1168" s="17" t="n">
        <v>2004</v>
      </c>
      <c r="C1168" s="17" t="n">
        <v>12</v>
      </c>
      <c r="D1168" s="18" t="n">
        <v>2.04</v>
      </c>
      <c r="E1168" s="18">
        <f>IF(D1168="","",D1168*'参数与说明'!$B$6/25.4012)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38353</v>
      </c>
      <c r="B1169" s="13" t="n">
        <v>2005</v>
      </c>
      <c r="C1169" s="13" t="n">
        <v>1</v>
      </c>
      <c r="D1169" s="14" t="n">
        <v>2.12</v>
      </c>
      <c r="E1169" s="14">
        <f>IF(D1169="","",D1169*'参数与说明'!$B$6/25.4012)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38384</v>
      </c>
      <c r="B1170" s="17" t="n">
        <v>2005</v>
      </c>
      <c r="C1170" s="17" t="n">
        <v>2</v>
      </c>
      <c r="D1170" s="18" t="n">
        <v>1.95</v>
      </c>
      <c r="E1170" s="18">
        <f>IF(D1170="","",D1170*'参数与说明'!$B$6/25.4012)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38412</v>
      </c>
      <c r="B1171" s="13" t="n">
        <v>2005</v>
      </c>
      <c r="C1171" s="13" t="n">
        <v>3</v>
      </c>
      <c r="D1171" s="14" t="n">
        <v>2.02</v>
      </c>
      <c r="E1171" s="14">
        <f>IF(D1171="","",D1171*'参数与说明'!$B$6/25.4012)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38443</v>
      </c>
      <c r="B1172" s="17" t="n">
        <v>2005</v>
      </c>
      <c r="C1172" s="17" t="n">
        <v>4</v>
      </c>
      <c r="D1172" s="18" t="n">
        <v>2</v>
      </c>
      <c r="E1172" s="18">
        <f>IF(D1172="","",D1172*'参数与说明'!$B$6/25.4012)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38473</v>
      </c>
      <c r="B1173" s="13" t="n">
        <v>2005</v>
      </c>
      <c r="C1173" s="13" t="n">
        <v>5</v>
      </c>
      <c r="D1173" s="14" t="n">
        <v>1.98</v>
      </c>
      <c r="E1173" s="14">
        <f>IF(D1173="","",D1173*'参数与说明'!$B$6/25.4012)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38504</v>
      </c>
      <c r="B1174" s="17" t="n">
        <v>2005</v>
      </c>
      <c r="C1174" s="17" t="n">
        <v>6</v>
      </c>
      <c r="D1174" s="18" t="n">
        <v>2.03</v>
      </c>
      <c r="E1174" s="18">
        <f>IF(D1174="","",D1174*'参数与说明'!$B$6/25.4012)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38534</v>
      </c>
      <c r="B1175" s="13" t="n">
        <v>2005</v>
      </c>
      <c r="C1175" s="13" t="n">
        <v>7</v>
      </c>
      <c r="D1175" s="14" t="n">
        <v>2.11</v>
      </c>
      <c r="E1175" s="14">
        <f>IF(D1175="","",D1175*'参数与说明'!$B$6/25.4012)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38565</v>
      </c>
      <c r="B1176" s="17" t="n">
        <v>2005</v>
      </c>
      <c r="C1176" s="17" t="n">
        <v>8</v>
      </c>
      <c r="D1176" s="18" t="n">
        <v>1.95</v>
      </c>
      <c r="E1176" s="18">
        <f>IF(D1176="","",D1176*'参数与说明'!$B$6/25.4012)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38596</v>
      </c>
      <c r="B1177" s="13" t="n">
        <v>2005</v>
      </c>
      <c r="C1177" s="13" t="n">
        <v>9</v>
      </c>
      <c r="D1177" s="14" t="n">
        <v>1.9</v>
      </c>
      <c r="E1177" s="14">
        <f>IF(D1177="","",D1177*'参数与说明'!$B$6/25.4012)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38626</v>
      </c>
      <c r="B1178" s="17" t="n">
        <v>2005</v>
      </c>
      <c r="C1178" s="17" t="n">
        <v>10</v>
      </c>
      <c r="D1178" s="18" t="n">
        <v>1.82</v>
      </c>
      <c r="E1178" s="18">
        <f>IF(D1178="","",D1178*'参数与说明'!$B$6/25.4012)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38657</v>
      </c>
      <c r="B1179" s="13" t="n">
        <v>2005</v>
      </c>
      <c r="C1179" s="13" t="n">
        <v>11</v>
      </c>
      <c r="D1179" s="14" t="n">
        <v>1.77</v>
      </c>
      <c r="E1179" s="14">
        <f>IF(D1179="","",D1179*'参数与说明'!$B$6/25.4012)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38687</v>
      </c>
      <c r="B1180" s="17" t="n">
        <v>2005</v>
      </c>
      <c r="C1180" s="17" t="n">
        <v>12</v>
      </c>
      <c r="D1180" s="18" t="n">
        <v>1.92</v>
      </c>
      <c r="E1180" s="18">
        <f>IF(D1180="","",D1180*'参数与说明'!$B$6/25.4012)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38718</v>
      </c>
      <c r="B1181" s="13" t="n">
        <v>2006</v>
      </c>
      <c r="C1181" s="13" t="n">
        <v>1</v>
      </c>
      <c r="D1181" s="14" t="n">
        <v>2</v>
      </c>
      <c r="E1181" s="14">
        <f>IF(D1181="","",D1181*'参数与说明'!$B$6/25.4012)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38749</v>
      </c>
      <c r="B1182" s="17" t="n">
        <v>2006</v>
      </c>
      <c r="C1182" s="17" t="n">
        <v>2</v>
      </c>
      <c r="D1182" s="18" t="n">
        <v>2.02</v>
      </c>
      <c r="E1182" s="18">
        <f>IF(D1182="","",D1182*'参数与说明'!$B$6/25.4012)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38777</v>
      </c>
      <c r="B1183" s="13" t="n">
        <v>2006</v>
      </c>
      <c r="C1183" s="13" t="n">
        <v>3</v>
      </c>
      <c r="D1183" s="14" t="n">
        <v>2.06</v>
      </c>
      <c r="E1183" s="14">
        <f>IF(D1183="","",D1183*'参数与说明'!$B$6/25.4012)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38808</v>
      </c>
      <c r="B1184" s="17" t="n">
        <v>2006</v>
      </c>
      <c r="C1184" s="17" t="n">
        <v>4</v>
      </c>
      <c r="D1184" s="18" t="n">
        <v>2.11</v>
      </c>
      <c r="E1184" s="18">
        <f>IF(D1184="","",D1184*'参数与说明'!$B$6/25.4012)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38838</v>
      </c>
      <c r="B1185" s="13" t="n">
        <v>2006</v>
      </c>
      <c r="C1185" s="13" t="n">
        <v>5</v>
      </c>
      <c r="D1185" s="14" t="n">
        <v>2.17</v>
      </c>
      <c r="E1185" s="14">
        <f>IF(D1185="","",D1185*'参数与说明'!$B$6/25.4012)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38869</v>
      </c>
      <c r="B1186" s="17" t="n">
        <v>2006</v>
      </c>
      <c r="C1186" s="17" t="n">
        <v>6</v>
      </c>
      <c r="D1186" s="18" t="n">
        <v>2.14</v>
      </c>
      <c r="E1186" s="18">
        <f>IF(D1186="","",D1186*'参数与说明'!$B$6/25.4012)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38899</v>
      </c>
      <c r="B1187" s="13" t="n">
        <v>2006</v>
      </c>
      <c r="C1187" s="13" t="n">
        <v>7</v>
      </c>
      <c r="D1187" s="14" t="n">
        <v>2.14</v>
      </c>
      <c r="E1187" s="14">
        <f>IF(D1187="","",D1187*'参数与说明'!$B$6/25.4012)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38930</v>
      </c>
      <c r="B1188" s="17" t="n">
        <v>2006</v>
      </c>
      <c r="C1188" s="17" t="n">
        <v>8</v>
      </c>
      <c r="D1188" s="18" t="n">
        <v>2.09</v>
      </c>
      <c r="E1188" s="18">
        <f>IF(D1188="","",D1188*'参数与说明'!$B$6/25.4012)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38961</v>
      </c>
      <c r="B1189" s="13" t="n">
        <v>2006</v>
      </c>
      <c r="C1189" s="13" t="n">
        <v>9</v>
      </c>
      <c r="D1189" s="14" t="n">
        <v>2.2</v>
      </c>
      <c r="E1189" s="14">
        <f>IF(D1189="","",D1189*'参数与说明'!$B$6/25.4012)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38991</v>
      </c>
      <c r="B1190" s="17" t="n">
        <v>2006</v>
      </c>
      <c r="C1190" s="17" t="n">
        <v>10</v>
      </c>
      <c r="D1190" s="18" t="n">
        <v>2.55</v>
      </c>
      <c r="E1190" s="18">
        <f>IF(D1190="","",D1190*'参数与说明'!$B$6/25.4012)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39022</v>
      </c>
      <c r="B1191" s="13" t="n">
        <v>2006</v>
      </c>
      <c r="C1191" s="13" t="n">
        <v>11</v>
      </c>
      <c r="D1191" s="14" t="n">
        <v>2.88</v>
      </c>
      <c r="E1191" s="14">
        <f>IF(D1191="","",D1191*'参数与说明'!$B$6/25.4012)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39052</v>
      </c>
      <c r="B1192" s="17" t="n">
        <v>2006</v>
      </c>
      <c r="C1192" s="17" t="n">
        <v>12</v>
      </c>
      <c r="D1192" s="18" t="n">
        <v>3.01</v>
      </c>
      <c r="E1192" s="18">
        <f>IF(D1192="","",D1192*'参数与说明'!$B$6/25.4012)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39083</v>
      </c>
      <c r="B1193" s="13" t="n">
        <v>2007</v>
      </c>
      <c r="C1193" s="13" t="n">
        <v>1</v>
      </c>
      <c r="D1193" s="14" t="n">
        <v>3.05</v>
      </c>
      <c r="E1193" s="14">
        <f>IF(D1193="","",D1193*'参数与说明'!$B$6/25.4012)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39114</v>
      </c>
      <c r="B1194" s="17" t="n">
        <v>2007</v>
      </c>
      <c r="C1194" s="17" t="n">
        <v>2</v>
      </c>
      <c r="D1194" s="18" t="n">
        <v>3.44</v>
      </c>
      <c r="E1194" s="18">
        <f>IF(D1194="","",D1194*'参数与说明'!$B$6/25.4012)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39142</v>
      </c>
      <c r="B1195" s="13" t="n">
        <v>2007</v>
      </c>
      <c r="C1195" s="13" t="n">
        <v>3</v>
      </c>
      <c r="D1195" s="14" t="n">
        <v>3.43</v>
      </c>
      <c r="E1195" s="14">
        <f>IF(D1195="","",D1195*'参数与说明'!$B$6/25.4012)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39173</v>
      </c>
      <c r="B1196" s="17" t="n">
        <v>2007</v>
      </c>
      <c r="C1196" s="17" t="n">
        <v>4</v>
      </c>
      <c r="D1196" s="18" t="n">
        <v>3.39</v>
      </c>
      <c r="E1196" s="18">
        <f>IF(D1196="","",D1196*'参数与说明'!$B$6/25.4012)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39203</v>
      </c>
      <c r="B1197" s="13" t="n">
        <v>2007</v>
      </c>
      <c r="C1197" s="13" t="n">
        <v>5</v>
      </c>
      <c r="D1197" s="14" t="n">
        <v>3.49</v>
      </c>
      <c r="E1197" s="14">
        <f>IF(D1197="","",D1197*'参数与说明'!$B$6/25.4012)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39234</v>
      </c>
      <c r="B1198" s="17" t="n">
        <v>2007</v>
      </c>
      <c r="C1198" s="17" t="n">
        <v>6</v>
      </c>
      <c r="D1198" s="18" t="n">
        <v>3.53</v>
      </c>
      <c r="E1198" s="18">
        <f>IF(D1198="","",D1198*'参数与说明'!$B$6/25.4012)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39264</v>
      </c>
      <c r="B1199" s="13" t="n">
        <v>2007</v>
      </c>
      <c r="C1199" s="13" t="n">
        <v>7</v>
      </c>
      <c r="D1199" s="14" t="n">
        <v>3.32</v>
      </c>
      <c r="E1199" s="14">
        <f>IF(D1199="","",D1199*'参数与说明'!$B$6/25.4012)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39295</v>
      </c>
      <c r="B1200" s="17" t="n">
        <v>2007</v>
      </c>
      <c r="C1200" s="17" t="n">
        <v>8</v>
      </c>
      <c r="D1200" s="18" t="n">
        <v>3.26</v>
      </c>
      <c r="E1200" s="18">
        <f>IF(D1200="","",D1200*'参数与说明'!$B$6/25.4012)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39326</v>
      </c>
      <c r="B1201" s="13" t="n">
        <v>2007</v>
      </c>
      <c r="C1201" s="13" t="n">
        <v>9</v>
      </c>
      <c r="D1201" s="14" t="n">
        <v>3.28</v>
      </c>
      <c r="E1201" s="14">
        <f>IF(D1201="","",D1201*'参数与说明'!$B$6/25.4012)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39356</v>
      </c>
      <c r="B1202" s="17" t="n">
        <v>2007</v>
      </c>
      <c r="C1202" s="17" t="n">
        <v>10</v>
      </c>
      <c r="D1202" s="18" t="n">
        <v>3.29</v>
      </c>
      <c r="E1202" s="18">
        <f>IF(D1202="","",D1202*'参数与说明'!$B$6/25.4012)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39387</v>
      </c>
      <c r="B1203" s="13" t="n">
        <v>2007</v>
      </c>
      <c r="C1203" s="13" t="n">
        <v>11</v>
      </c>
      <c r="D1203" s="14" t="n">
        <v>3.44</v>
      </c>
      <c r="E1203" s="14">
        <f>IF(D1203="","",D1203*'参数与说明'!$B$6/25.4012)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39417</v>
      </c>
      <c r="B1204" s="17" t="n">
        <v>2007</v>
      </c>
      <c r="C1204" s="17" t="n">
        <v>12</v>
      </c>
      <c r="D1204" s="18" t="n">
        <v>3.77</v>
      </c>
      <c r="E1204" s="18">
        <f>IF(D1204="","",D1204*'参数与说明'!$B$6/25.4012)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39448</v>
      </c>
      <c r="B1205" s="13" t="n">
        <v>2008</v>
      </c>
      <c r="C1205" s="13" t="n">
        <v>1</v>
      </c>
      <c r="D1205" s="14" t="n">
        <v>3.98</v>
      </c>
      <c r="E1205" s="14">
        <f>IF(D1205="","",D1205*'参数与说明'!$B$6/25.4012)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39479</v>
      </c>
      <c r="B1206" s="17" t="n">
        <v>2008</v>
      </c>
      <c r="C1206" s="17" t="n">
        <v>2</v>
      </c>
      <c r="D1206" s="18" t="n">
        <v>4.54</v>
      </c>
      <c r="E1206" s="18">
        <f>IF(D1206="","",D1206*'参数与说明'!$B$6/25.4012)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39508</v>
      </c>
      <c r="B1207" s="13" t="n">
        <v>2008</v>
      </c>
      <c r="C1207" s="13" t="n">
        <v>3</v>
      </c>
      <c r="D1207" s="14" t="n">
        <v>4.7</v>
      </c>
      <c r="E1207" s="14">
        <f>IF(D1207="","",D1207*'参数与说明'!$B$6/25.4012)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39539</v>
      </c>
      <c r="B1208" s="17" t="n">
        <v>2008</v>
      </c>
      <c r="C1208" s="17" t="n">
        <v>4</v>
      </c>
      <c r="D1208" s="18" t="n">
        <v>5.14</v>
      </c>
      <c r="E1208" s="18">
        <f>IF(D1208="","",D1208*'参数与说明'!$B$6/25.4012)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39569</v>
      </c>
      <c r="B1209" s="13" t="n">
        <v>2008</v>
      </c>
      <c r="C1209" s="13" t="n">
        <v>5</v>
      </c>
      <c r="D1209" s="14" t="n">
        <v>5.27</v>
      </c>
      <c r="E1209" s="14">
        <f>IF(D1209="","",D1209*'参数与说明'!$B$6/25.4012)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39600</v>
      </c>
      <c r="B1210" s="17" t="n">
        <v>2008</v>
      </c>
      <c r="C1210" s="17" t="n">
        <v>6</v>
      </c>
      <c r="D1210" s="18" t="n">
        <v>5.47</v>
      </c>
      <c r="E1210" s="18">
        <f>IF(D1210="","",D1210*'参数与说明'!$B$6/25.4012)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39630</v>
      </c>
      <c r="B1211" s="13" t="n">
        <v>2008</v>
      </c>
      <c r="C1211" s="13" t="n">
        <v>7</v>
      </c>
      <c r="D1211" s="14" t="n">
        <v>5.25</v>
      </c>
      <c r="E1211" s="14">
        <f>IF(D1211="","",D1211*'参数与说明'!$B$6/25.4012)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39661</v>
      </c>
      <c r="B1212" s="17" t="n">
        <v>2008</v>
      </c>
      <c r="C1212" s="17" t="n">
        <v>8</v>
      </c>
      <c r="D1212" s="18" t="n">
        <v>5.26</v>
      </c>
      <c r="E1212" s="18">
        <f>IF(D1212="","",D1212*'参数与说明'!$B$6/25.4012)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39692</v>
      </c>
      <c r="B1213" s="13" t="n">
        <v>2008</v>
      </c>
      <c r="C1213" s="13" t="n">
        <v>9</v>
      </c>
      <c r="D1213" s="14" t="n">
        <v>5.01</v>
      </c>
      <c r="E1213" s="14">
        <f>IF(D1213="","",D1213*'参数与说明'!$B$6/25.4012)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39722</v>
      </c>
      <c r="B1214" s="17" t="n">
        <v>2008</v>
      </c>
      <c r="C1214" s="17" t="n">
        <v>10</v>
      </c>
      <c r="D1214" s="18" t="n">
        <v>4.37</v>
      </c>
      <c r="E1214" s="18">
        <f>IF(D1214="","",D1214*'参数与说明'!$B$6/25.4012)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39753</v>
      </c>
      <c r="B1215" s="13" t="n">
        <v>2008</v>
      </c>
      <c r="C1215" s="13" t="n">
        <v>11</v>
      </c>
      <c r="D1215" s="14" t="n">
        <v>4.26</v>
      </c>
      <c r="E1215" s="14">
        <f>IF(D1215="","",D1215*'参数与说明'!$B$6/25.4012)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39783</v>
      </c>
      <c r="B1216" s="17" t="n">
        <v>2008</v>
      </c>
      <c r="C1216" s="17" t="n">
        <v>12</v>
      </c>
      <c r="D1216" s="18" t="n">
        <v>4.11</v>
      </c>
      <c r="E1216" s="18">
        <f>IF(D1216="","",D1216*'参数与说明'!$B$6/25.4012)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39814</v>
      </c>
      <c r="B1217" s="13" t="n">
        <v>2009</v>
      </c>
      <c r="C1217" s="13" t="n">
        <v>1</v>
      </c>
      <c r="D1217" s="14" t="n">
        <v>4.36</v>
      </c>
      <c r="E1217" s="14">
        <f>IF(D1217="","",D1217*'参数与说明'!$B$6/25.4012)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39845</v>
      </c>
      <c r="B1218" s="17" t="n">
        <v>2009</v>
      </c>
      <c r="C1218" s="17" t="n">
        <v>2</v>
      </c>
      <c r="D1218" s="18" t="n">
        <v>3.87</v>
      </c>
      <c r="E1218" s="18">
        <f>IF(D1218="","",D1218*'参数与说明'!$B$6/25.4012)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39873</v>
      </c>
      <c r="B1219" s="13" t="n">
        <v>2009</v>
      </c>
      <c r="C1219" s="13" t="n">
        <v>3</v>
      </c>
      <c r="D1219" s="14" t="n">
        <v>3.85</v>
      </c>
      <c r="E1219" s="14">
        <f>IF(D1219="","",D1219*'参数与说明'!$B$6/25.4012)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39904</v>
      </c>
      <c r="B1220" s="17" t="n">
        <v>2009</v>
      </c>
      <c r="C1220" s="17" t="n">
        <v>4</v>
      </c>
      <c r="D1220" s="18" t="n">
        <v>3.85</v>
      </c>
      <c r="E1220" s="18">
        <f>IF(D1220="","",D1220*'参数与说明'!$B$6/25.4012)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39934</v>
      </c>
      <c r="B1221" s="13" t="n">
        <v>2009</v>
      </c>
      <c r="C1221" s="13" t="n">
        <v>5</v>
      </c>
      <c r="D1221" s="14" t="n">
        <v>3.96</v>
      </c>
      <c r="E1221" s="14">
        <f>IF(D1221="","",D1221*'参数与说明'!$B$6/25.4012)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39965</v>
      </c>
      <c r="B1222" s="17" t="n">
        <v>2009</v>
      </c>
      <c r="C1222" s="17" t="n">
        <v>6</v>
      </c>
      <c r="D1222" s="18" t="n">
        <v>4.01</v>
      </c>
      <c r="E1222" s="18">
        <f>IF(D1222="","",D1222*'参数与说明'!$B$6/25.4012)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39995</v>
      </c>
      <c r="B1223" s="13" t="n">
        <v>2009</v>
      </c>
      <c r="C1223" s="13" t="n">
        <v>7</v>
      </c>
      <c r="D1223" s="14" t="n">
        <v>3.6</v>
      </c>
      <c r="E1223" s="14">
        <f>IF(D1223="","",D1223*'参数与说明'!$B$6/25.4012)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40026</v>
      </c>
      <c r="B1224" s="17" t="n">
        <v>2009</v>
      </c>
      <c r="C1224" s="17" t="n">
        <v>8</v>
      </c>
      <c r="D1224" s="18" t="n">
        <v>3.33</v>
      </c>
      <c r="E1224" s="18">
        <f>IF(D1224="","",D1224*'参数与说明'!$B$6/25.4012)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40057</v>
      </c>
      <c r="B1225" s="13" t="n">
        <v>2009</v>
      </c>
      <c r="C1225" s="13" t="n">
        <v>9</v>
      </c>
      <c r="D1225" s="14" t="n">
        <v>3.25</v>
      </c>
      <c r="E1225" s="14">
        <f>IF(D1225="","",D1225*'参数与说明'!$B$6/25.4012)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40087</v>
      </c>
      <c r="B1226" s="17" t="n">
        <v>2009</v>
      </c>
      <c r="C1226" s="17" t="n">
        <v>10</v>
      </c>
      <c r="D1226" s="18" t="n">
        <v>3.61</v>
      </c>
      <c r="E1226" s="18">
        <f>IF(D1226="","",D1226*'参数与说明'!$B$6/25.4012)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40118</v>
      </c>
      <c r="B1227" s="13" t="n">
        <v>2009</v>
      </c>
      <c r="C1227" s="13" t="n">
        <v>11</v>
      </c>
      <c r="D1227" s="14" t="n">
        <v>3.65</v>
      </c>
      <c r="E1227" s="14">
        <f>IF(D1227="","",D1227*'参数与说明'!$B$6/25.4012)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40148</v>
      </c>
      <c r="B1228" s="17" t="n">
        <v>2009</v>
      </c>
      <c r="C1228" s="17" t="n">
        <v>12</v>
      </c>
      <c r="D1228" s="18" t="n">
        <v>3.6</v>
      </c>
      <c r="E1228" s="18">
        <f>IF(D1228="","",D1228*'参数与说明'!$B$6/25.4012)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40179</v>
      </c>
      <c r="B1229" s="13" t="n">
        <v>2010</v>
      </c>
      <c r="C1229" s="13" t="n">
        <v>1</v>
      </c>
      <c r="D1229" s="14" t="n">
        <v>3.66</v>
      </c>
      <c r="E1229" s="14">
        <f>IF(D1229="","",D1229*'参数与说明'!$B$6/25.4012)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40210</v>
      </c>
      <c r="B1230" s="17" t="n">
        <v>2010</v>
      </c>
      <c r="C1230" s="17" t="n">
        <v>2</v>
      </c>
      <c r="D1230" s="18" t="n">
        <v>3.55</v>
      </c>
      <c r="E1230" s="18">
        <f>IF(D1230="","",D1230*'参数与说明'!$B$6/25.4012)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40238</v>
      </c>
      <c r="B1231" s="13" t="n">
        <v>2010</v>
      </c>
      <c r="C1231" s="13" t="n">
        <v>3</v>
      </c>
      <c r="D1231" s="14" t="n">
        <v>3.55</v>
      </c>
      <c r="E1231" s="14">
        <f>IF(D1231="","",D1231*'参数与说明'!$B$6/25.4012)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40269</v>
      </c>
      <c r="B1232" s="17" t="n">
        <v>2010</v>
      </c>
      <c r="C1232" s="17" t="n">
        <v>4</v>
      </c>
      <c r="D1232" s="18" t="n">
        <v>3.41</v>
      </c>
      <c r="E1232" s="18">
        <f>IF(D1232="","",D1232*'参数与说明'!$B$6/25.4012)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40299</v>
      </c>
      <c r="B1233" s="13" t="n">
        <v>2010</v>
      </c>
      <c r="C1233" s="13" t="n">
        <v>5</v>
      </c>
      <c r="D1233" s="14" t="n">
        <v>3.48</v>
      </c>
      <c r="E1233" s="14">
        <f>IF(D1233="","",D1233*'参数与说明'!$B$6/25.4012)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40330</v>
      </c>
      <c r="B1234" s="17" t="n">
        <v>2010</v>
      </c>
      <c r="C1234" s="17" t="n">
        <v>6</v>
      </c>
      <c r="D1234" s="18" t="n">
        <v>3.41</v>
      </c>
      <c r="E1234" s="18">
        <f>IF(D1234="","",D1234*'参数与说明'!$B$6/25.4012)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40360</v>
      </c>
      <c r="B1235" s="13" t="n">
        <v>2010</v>
      </c>
      <c r="C1235" s="13" t="n">
        <v>7</v>
      </c>
      <c r="D1235" s="14" t="n">
        <v>3.49</v>
      </c>
      <c r="E1235" s="14">
        <f>IF(D1235="","",D1235*'参数与说明'!$B$6/25.4012)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40391</v>
      </c>
      <c r="B1236" s="17" t="n">
        <v>2010</v>
      </c>
      <c r="C1236" s="17" t="n">
        <v>8</v>
      </c>
      <c r="D1236" s="18" t="n">
        <v>3.65</v>
      </c>
      <c r="E1236" s="18">
        <f>IF(D1236="","",D1236*'参数与说明'!$B$6/25.4012)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40422</v>
      </c>
      <c r="B1237" s="13" t="n">
        <v>2010</v>
      </c>
      <c r="C1237" s="13" t="n">
        <v>9</v>
      </c>
      <c r="D1237" s="14" t="n">
        <v>4.08</v>
      </c>
      <c r="E1237" s="14">
        <f>IF(D1237="","",D1237*'参数与说明'!$B$6/25.4012)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40452</v>
      </c>
      <c r="B1238" s="17" t="n">
        <v>2010</v>
      </c>
      <c r="C1238" s="17" t="n">
        <v>10</v>
      </c>
      <c r="D1238" s="18" t="n">
        <v>4.32</v>
      </c>
      <c r="E1238" s="18">
        <f>IF(D1238="","",D1238*'参数与说明'!$B$6/25.4012)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40483</v>
      </c>
      <c r="B1239" s="13" t="n">
        <v>2010</v>
      </c>
      <c r="C1239" s="13" t="n">
        <v>11</v>
      </c>
      <c r="D1239" s="14" t="n">
        <v>4.55</v>
      </c>
      <c r="E1239" s="14">
        <f>IF(D1239="","",D1239*'参数与说明'!$B$6/25.4012)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40513</v>
      </c>
      <c r="B1240" s="17" t="n">
        <v>2010</v>
      </c>
      <c r="C1240" s="17" t="n">
        <v>12</v>
      </c>
      <c r="D1240" s="18" t="n">
        <v>4.82</v>
      </c>
      <c r="E1240" s="18">
        <f>IF(D1240="","",D1240*'参数与说明'!$B$6/25.4012)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40544</v>
      </c>
      <c r="B1241" s="13" t="n">
        <v>2011</v>
      </c>
      <c r="C1241" s="13" t="n">
        <v>1</v>
      </c>
      <c r="D1241" s="14" t="n">
        <v>4.94</v>
      </c>
      <c r="E1241" s="14">
        <f>IF(D1241="","",D1241*'参数与说明'!$B$6/25.4012)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40575</v>
      </c>
      <c r="B1242" s="17" t="n">
        <v>2011</v>
      </c>
      <c r="C1242" s="17" t="n">
        <v>2</v>
      </c>
      <c r="D1242" s="18" t="n">
        <v>5.65</v>
      </c>
      <c r="E1242" s="18">
        <f>IF(D1242="","",D1242*'参数与说明'!$B$6/25.4012)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40603</v>
      </c>
      <c r="B1243" s="13" t="n">
        <v>2011</v>
      </c>
      <c r="C1243" s="13" t="n">
        <v>3</v>
      </c>
      <c r="D1243" s="14" t="n">
        <v>5.53</v>
      </c>
      <c r="E1243" s="14">
        <f>IF(D1243="","",D1243*'参数与说明'!$B$6/25.4012)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40634</v>
      </c>
      <c r="B1244" s="17" t="n">
        <v>2011</v>
      </c>
      <c r="C1244" s="17" t="n">
        <v>4</v>
      </c>
      <c r="D1244" s="18" t="n">
        <v>6.36</v>
      </c>
      <c r="E1244" s="18">
        <f>IF(D1244="","",D1244*'参数与说明'!$B$6/25.4012)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40664</v>
      </c>
      <c r="B1245" s="13" t="n">
        <v>2011</v>
      </c>
      <c r="C1245" s="13" t="n">
        <v>5</v>
      </c>
      <c r="D1245" s="14" t="n">
        <v>6.32</v>
      </c>
      <c r="E1245" s="14">
        <f>IF(D1245="","",D1245*'参数与说明'!$B$6/25.4012)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40695</v>
      </c>
      <c r="B1246" s="17" t="n">
        <v>2011</v>
      </c>
      <c r="C1246" s="17" t="n">
        <v>6</v>
      </c>
      <c r="D1246" s="18" t="n">
        <v>6.38</v>
      </c>
      <c r="E1246" s="18">
        <f>IF(D1246="","",D1246*'参数与说明'!$B$6/25.4012)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40725</v>
      </c>
      <c r="B1247" s="13" t="n">
        <v>2011</v>
      </c>
      <c r="C1247" s="13" t="n">
        <v>7</v>
      </c>
      <c r="D1247" s="14" t="n">
        <v>6.33</v>
      </c>
      <c r="E1247" s="14">
        <f>IF(D1247="","",D1247*'参数与说明'!$B$6/25.4012)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40756</v>
      </c>
      <c r="B1248" s="17" t="n">
        <v>2011</v>
      </c>
      <c r="C1248" s="17" t="n">
        <v>8</v>
      </c>
      <c r="D1248" s="18" t="n">
        <v>6.88</v>
      </c>
      <c r="E1248" s="18">
        <f>IF(D1248="","",D1248*'参数与说明'!$B$6/25.4012)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40787</v>
      </c>
      <c r="B1249" s="13" t="n">
        <v>2011</v>
      </c>
      <c r="C1249" s="13" t="n">
        <v>9</v>
      </c>
      <c r="D1249" s="14" t="n">
        <v>6.38</v>
      </c>
      <c r="E1249" s="14">
        <f>IF(D1249="","",D1249*'参数与说明'!$B$6/25.4012)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40817</v>
      </c>
      <c r="B1250" s="17" t="n">
        <v>2011</v>
      </c>
      <c r="C1250" s="17" t="n">
        <v>10</v>
      </c>
      <c r="D1250" s="18" t="n">
        <v>5.73</v>
      </c>
      <c r="E1250" s="18">
        <f>IF(D1250="","",D1250*'参数与说明'!$B$6/25.4012)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40848</v>
      </c>
      <c r="B1251" s="13" t="n">
        <v>2011</v>
      </c>
      <c r="C1251" s="13" t="n">
        <v>11</v>
      </c>
      <c r="D1251" s="14" t="n">
        <v>5.83</v>
      </c>
      <c r="E1251" s="14">
        <f>IF(D1251="","",D1251*'参数与说明'!$B$6/25.4012)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40878</v>
      </c>
      <c r="B1252" s="17" t="n">
        <v>2011</v>
      </c>
      <c r="C1252" s="17" t="n">
        <v>12</v>
      </c>
      <c r="D1252" s="18" t="n">
        <v>5.86</v>
      </c>
      <c r="E1252" s="18">
        <f>IF(D1252="","",D1252*'参数与说明'!$B$6/25.4012)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40909</v>
      </c>
      <c r="B1253" s="13" t="n">
        <v>2012</v>
      </c>
      <c r="C1253" s="13" t="n">
        <v>1</v>
      </c>
      <c r="D1253" s="14" t="n">
        <v>6.07</v>
      </c>
      <c r="E1253" s="14">
        <f>IF(D1253="","",D1253*'参数与说明'!$B$6/25.4012)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40940</v>
      </c>
      <c r="B1254" s="17" t="n">
        <v>2012</v>
      </c>
      <c r="C1254" s="17" t="n">
        <v>2</v>
      </c>
      <c r="D1254" s="18" t="n">
        <v>6.28</v>
      </c>
      <c r="E1254" s="18">
        <f>IF(D1254="","",D1254*'参数与说明'!$B$6/25.4012)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40969</v>
      </c>
      <c r="B1255" s="13" t="n">
        <v>2012</v>
      </c>
      <c r="C1255" s="13" t="n">
        <v>3</v>
      </c>
      <c r="D1255" s="14" t="n">
        <v>6.35</v>
      </c>
      <c r="E1255" s="14">
        <f>IF(D1255="","",D1255*'参数与说明'!$B$6/25.4012)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41000</v>
      </c>
      <c r="B1256" s="17" t="n">
        <v>2012</v>
      </c>
      <c r="C1256" s="17" t="n">
        <v>4</v>
      </c>
      <c r="D1256" s="18" t="n">
        <v>6.34</v>
      </c>
      <c r="E1256" s="18">
        <f>IF(D1256="","",D1256*'参数与说明'!$B$6/25.4012)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41030</v>
      </c>
      <c r="B1257" s="13" t="n">
        <v>2012</v>
      </c>
      <c r="C1257" s="13" t="n">
        <v>5</v>
      </c>
      <c r="D1257" s="14" t="n">
        <v>6.34</v>
      </c>
      <c r="E1257" s="14">
        <f>IF(D1257="","",D1257*'参数与说明'!$B$6/25.4012)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41061</v>
      </c>
      <c r="B1258" s="17" t="n">
        <v>2012</v>
      </c>
      <c r="C1258" s="17" t="n">
        <v>6</v>
      </c>
      <c r="D1258" s="18" t="n">
        <v>6.37</v>
      </c>
      <c r="E1258" s="18">
        <f>IF(D1258="","",D1258*'参数与说明'!$B$6/25.4012)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41091</v>
      </c>
      <c r="B1259" s="13" t="n">
        <v>2012</v>
      </c>
      <c r="C1259" s="13" t="n">
        <v>7</v>
      </c>
      <c r="D1259" s="14" t="n">
        <v>7.14</v>
      </c>
      <c r="E1259" s="14">
        <f>IF(D1259="","",D1259*'参数与说明'!$B$6/25.4012)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41122</v>
      </c>
      <c r="B1260" s="17" t="n">
        <v>2012</v>
      </c>
      <c r="C1260" s="17" t="n">
        <v>8</v>
      </c>
      <c r="D1260" s="18" t="n">
        <v>7.63</v>
      </c>
      <c r="E1260" s="18">
        <f>IF(D1260="","",D1260*'参数与说明'!$B$6/25.4012)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41153</v>
      </c>
      <c r="B1261" s="13" t="n">
        <v>2012</v>
      </c>
      <c r="C1261" s="13" t="n">
        <v>9</v>
      </c>
      <c r="D1261" s="14" t="n">
        <v>6.89</v>
      </c>
      <c r="E1261" s="14">
        <f>IF(D1261="","",D1261*'参数与说明'!$B$6/25.4012)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41183</v>
      </c>
      <c r="B1262" s="17" t="n">
        <v>2012</v>
      </c>
      <c r="C1262" s="17" t="n">
        <v>10</v>
      </c>
      <c r="D1262" s="18" t="n">
        <v>6.78</v>
      </c>
      <c r="E1262" s="18">
        <f>IF(D1262="","",D1262*'参数与说明'!$B$6/25.4012)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41214</v>
      </c>
      <c r="B1263" s="13" t="n">
        <v>2012</v>
      </c>
      <c r="C1263" s="13" t="n">
        <v>11</v>
      </c>
      <c r="D1263" s="14" t="n">
        <v>7.01</v>
      </c>
      <c r="E1263" s="14">
        <f>IF(D1263="","",D1263*'参数与说明'!$B$6/25.4012)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41244</v>
      </c>
      <c r="B1264" s="17" t="n">
        <v>2012</v>
      </c>
      <c r="C1264" s="17" t="n">
        <v>12</v>
      </c>
      <c r="D1264" s="18" t="n">
        <v>6.87</v>
      </c>
      <c r="E1264" s="18">
        <f>IF(D1264="","",D1264*'参数与说明'!$B$6/25.4012)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41275</v>
      </c>
      <c r="B1265" s="13" t="n">
        <v>2013</v>
      </c>
      <c r="C1265" s="13" t="n">
        <v>1</v>
      </c>
      <c r="D1265" s="14" t="n">
        <v>6.96</v>
      </c>
      <c r="E1265" s="14">
        <f>IF(D1265="","",D1265*'参数与说明'!$B$6/25.4012)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41306</v>
      </c>
      <c r="B1266" s="17" t="n">
        <v>2013</v>
      </c>
      <c r="C1266" s="17" t="n">
        <v>2</v>
      </c>
      <c r="D1266" s="18" t="n">
        <v>7.04</v>
      </c>
      <c r="E1266" s="18">
        <f>IF(D1266="","",D1266*'参数与说明'!$B$6/25.4012)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41334</v>
      </c>
      <c r="B1267" s="13" t="n">
        <v>2013</v>
      </c>
      <c r="C1267" s="13" t="n">
        <v>3</v>
      </c>
      <c r="D1267" s="14" t="n">
        <v>7.13</v>
      </c>
      <c r="E1267" s="14">
        <f>IF(D1267="","",D1267*'参数与说明'!$B$6/25.4012)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41365</v>
      </c>
      <c r="B1268" s="17" t="n">
        <v>2013</v>
      </c>
      <c r="C1268" s="17" t="n">
        <v>4</v>
      </c>
      <c r="D1268" s="18" t="n">
        <v>6.97</v>
      </c>
      <c r="E1268" s="18">
        <f>IF(D1268="","",D1268*'参数与说明'!$B$6/25.4012)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41395</v>
      </c>
      <c r="B1269" s="13" t="n">
        <v>2013</v>
      </c>
      <c r="C1269" s="13" t="n">
        <v>5</v>
      </c>
      <c r="D1269" s="14" t="n">
        <v>6.97</v>
      </c>
      <c r="E1269" s="14">
        <f>IF(D1269="","",D1269*'参数与说明'!$B$6/25.4012)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41426</v>
      </c>
      <c r="B1270" s="17" t="n">
        <v>2013</v>
      </c>
      <c r="C1270" s="17" t="n">
        <v>6</v>
      </c>
      <c r="D1270" s="18" t="n">
        <v>6.97</v>
      </c>
      <c r="E1270" s="18">
        <f>IF(D1270="","",D1270*'参数与说明'!$B$6/25.4012)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41456</v>
      </c>
      <c r="B1271" s="13" t="n">
        <v>2013</v>
      </c>
      <c r="C1271" s="13" t="n">
        <v>7</v>
      </c>
      <c r="D1271" s="14" t="n">
        <v>6.79</v>
      </c>
      <c r="E1271" s="14">
        <f>IF(D1271="","",D1271*'参数与说明'!$B$6/25.4012)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41487</v>
      </c>
      <c r="B1272" s="17" t="n">
        <v>2013</v>
      </c>
      <c r="C1272" s="17" t="n">
        <v>8</v>
      </c>
      <c r="D1272" s="18" t="n">
        <v>6.21</v>
      </c>
      <c r="E1272" s="18">
        <f>IF(D1272="","",D1272*'参数与说明'!$B$6/25.4012)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41518</v>
      </c>
      <c r="B1273" s="13" t="n">
        <v>2013</v>
      </c>
      <c r="C1273" s="13" t="n">
        <v>9</v>
      </c>
      <c r="D1273" s="14" t="n">
        <v>5.4</v>
      </c>
      <c r="E1273" s="14">
        <f>IF(D1273="","",D1273*'参数与说明'!$B$6/25.4012)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41548</v>
      </c>
      <c r="B1274" s="17" t="n">
        <v>2013</v>
      </c>
      <c r="C1274" s="17" t="n">
        <v>10</v>
      </c>
      <c r="D1274" s="18" t="n">
        <v>4.63</v>
      </c>
      <c r="E1274" s="18">
        <f>IF(D1274="","",D1274*'参数与说明'!$B$6/25.4012)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41579</v>
      </c>
      <c r="B1275" s="13" t="n">
        <v>2013</v>
      </c>
      <c r="C1275" s="13" t="n">
        <v>11</v>
      </c>
      <c r="D1275" s="14" t="n">
        <v>4.37</v>
      </c>
      <c r="E1275" s="14">
        <f>IF(D1275="","",D1275*'参数与说明'!$B$6/25.4012)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41609</v>
      </c>
      <c r="B1276" s="17" t="n">
        <v>2013</v>
      </c>
      <c r="C1276" s="17" t="n">
        <v>12</v>
      </c>
      <c r="D1276" s="18" t="n">
        <v>4.41</v>
      </c>
      <c r="E1276" s="18">
        <f>IF(D1276="","",D1276*'参数与说明'!$B$6/25.4012)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41640</v>
      </c>
      <c r="B1277" s="13" t="n">
        <v>2014</v>
      </c>
      <c r="C1277" s="13" t="n">
        <v>1</v>
      </c>
      <c r="D1277" s="14" t="n">
        <v>4.42</v>
      </c>
      <c r="E1277" s="14">
        <f>IF(D1277="","",D1277*'参数与说明'!$B$6/25.4012)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41671</v>
      </c>
      <c r="B1278" s="17" t="n">
        <v>2014</v>
      </c>
      <c r="C1278" s="17" t="n">
        <v>2</v>
      </c>
      <c r="D1278" s="18" t="n">
        <v>4.35</v>
      </c>
      <c r="E1278" s="18">
        <f>IF(D1278="","",D1278*'参数与说明'!$B$6/25.4012)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41699</v>
      </c>
      <c r="B1279" s="13" t="n">
        <v>2014</v>
      </c>
      <c r="C1279" s="13" t="n">
        <v>3</v>
      </c>
      <c r="D1279" s="14" t="n">
        <v>4.52</v>
      </c>
      <c r="E1279" s="14">
        <f>IF(D1279="","",D1279*'参数与说明'!$B$6/25.4012)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41730</v>
      </c>
      <c r="B1280" s="17" t="n">
        <v>2014</v>
      </c>
      <c r="C1280" s="17" t="n">
        <v>4</v>
      </c>
      <c r="D1280" s="18" t="n">
        <v>4.71</v>
      </c>
      <c r="E1280" s="18">
        <f>IF(D1280="","",D1280*'参数与说明'!$B$6/25.4012)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41760</v>
      </c>
      <c r="B1281" s="13" t="n">
        <v>2014</v>
      </c>
      <c r="C1281" s="13" t="n">
        <v>5</v>
      </c>
      <c r="D1281" s="14" t="n">
        <v>4.71</v>
      </c>
      <c r="E1281" s="14">
        <f>IF(D1281="","",D1281*'参数与说明'!$B$6/25.4012)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41791</v>
      </c>
      <c r="B1282" s="17" t="n">
        <v>2014</v>
      </c>
      <c r="C1282" s="17" t="n">
        <v>6</v>
      </c>
      <c r="D1282" s="18" t="n">
        <v>4.5</v>
      </c>
      <c r="E1282" s="18">
        <f>IF(D1282="","",D1282*'参数与说明'!$B$6/25.4012)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41821</v>
      </c>
      <c r="B1283" s="13" t="n">
        <v>2014</v>
      </c>
      <c r="C1283" s="13" t="n">
        <v>7</v>
      </c>
      <c r="D1283" s="14" t="n">
        <v>4.06</v>
      </c>
      <c r="E1283" s="14">
        <f>IF(D1283="","",D1283*'参数与说明'!$B$6/25.4012)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41852</v>
      </c>
      <c r="B1284" s="17" t="n">
        <v>2014</v>
      </c>
      <c r="C1284" s="17" t="n">
        <v>8</v>
      </c>
      <c r="D1284" s="18" t="n">
        <v>3.63</v>
      </c>
      <c r="E1284" s="18">
        <f>IF(D1284="","",D1284*'参数与说明'!$B$6/25.4012)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41883</v>
      </c>
      <c r="B1285" s="13" t="n">
        <v>2014</v>
      </c>
      <c r="C1285" s="13" t="n">
        <v>9</v>
      </c>
      <c r="D1285" s="14" t="n">
        <v>3.49</v>
      </c>
      <c r="E1285" s="14">
        <f>IF(D1285="","",D1285*'参数与说明'!$B$6/25.4012)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41913</v>
      </c>
      <c r="B1286" s="17" t="n">
        <v>2014</v>
      </c>
      <c r="C1286" s="17" t="n">
        <v>10</v>
      </c>
      <c r="D1286" s="18" t="n">
        <v>3.57</v>
      </c>
      <c r="E1286" s="18">
        <f>IF(D1286="","",D1286*'参数与说明'!$B$6/25.4012)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41944</v>
      </c>
      <c r="B1287" s="13" t="n">
        <v>2014</v>
      </c>
      <c r="C1287" s="13" t="n">
        <v>11</v>
      </c>
      <c r="D1287" s="14" t="n">
        <v>3.6</v>
      </c>
      <c r="E1287" s="14">
        <f>IF(D1287="","",D1287*'参数与说明'!$B$6/25.4012)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41974</v>
      </c>
      <c r="B1288" s="17" t="n">
        <v>2014</v>
      </c>
      <c r="C1288" s="17" t="n">
        <v>12</v>
      </c>
      <c r="D1288" s="18" t="n">
        <v>3.79</v>
      </c>
      <c r="E1288" s="18">
        <f>IF(D1288="","",D1288*'参数与说明'!$B$6/25.4012)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  <row r="1289">
      <c r="A1289" s="12" t="n">
        <v>42005</v>
      </c>
      <c r="B1289" s="13" t="n">
        <v>2015</v>
      </c>
      <c r="C1289" s="13" t="n">
        <v>1</v>
      </c>
      <c r="D1289" s="14" t="n">
        <v>3.82</v>
      </c>
      <c r="E1289" s="14">
        <f>IF(D1289="","",D1289*'参数与说明'!$B$6/25.4012)</f>
        <v/>
      </c>
      <c r="F1289" s="15">
        <f>IFERROR(IF(D1289="","",D1289/INDEX($D:$D,MATCH(EDATE($A1289,-1),$A:$A,0))-1),"")</f>
        <v/>
      </c>
      <c r="G1289" s="15">
        <f>IFERROR(IF(D1289="","",D1289/INDEX($D:$D,MATCH(EDATE($A1289,-12),$A:$A,0))-1),"")</f>
        <v/>
      </c>
    </row>
    <row r="1290">
      <c r="A1290" s="16" t="n">
        <v>42036</v>
      </c>
      <c r="B1290" s="17" t="n">
        <v>2015</v>
      </c>
      <c r="C1290" s="17" t="n">
        <v>2</v>
      </c>
      <c r="D1290" s="18" t="n">
        <v>3.79</v>
      </c>
      <c r="E1290" s="18">
        <f>IF(D1290="","",D1290*'参数与说明'!$B$6/25.4012)</f>
        <v/>
      </c>
      <c r="F1290" s="19">
        <f>IFERROR(IF(D1290="","",D1290/INDEX($D:$D,MATCH(EDATE($A1290,-1),$A:$A,0))-1),"")</f>
        <v/>
      </c>
      <c r="G1290" s="19">
        <f>IFERROR(IF(D1290="","",D1290/INDEX($D:$D,MATCH(EDATE($A1290,-12),$A:$A,0))-1),"")</f>
        <v/>
      </c>
    </row>
    <row r="1291">
      <c r="A1291" s="12" t="n">
        <v>42064</v>
      </c>
      <c r="B1291" s="13" t="n">
        <v>2015</v>
      </c>
      <c r="C1291" s="13" t="n">
        <v>3</v>
      </c>
      <c r="D1291" s="14" t="n">
        <v>3.81</v>
      </c>
      <c r="E1291" s="14">
        <f>IF(D1291="","",D1291*'参数与说明'!$B$6/25.4012)</f>
        <v/>
      </c>
      <c r="F1291" s="15">
        <f>IFERROR(IF(D1291="","",D1291/INDEX($D:$D,MATCH(EDATE($A1291,-1),$A:$A,0))-1),"")</f>
        <v/>
      </c>
      <c r="G1291" s="15">
        <f>IFERROR(IF(D1291="","",D1291/INDEX($D:$D,MATCH(EDATE($A1291,-12),$A:$A,0))-1),"")</f>
        <v/>
      </c>
    </row>
    <row r="1292">
      <c r="A1292" s="16" t="n">
        <v>42095</v>
      </c>
      <c r="B1292" s="17" t="n">
        <v>2015</v>
      </c>
      <c r="C1292" s="17" t="n">
        <v>4</v>
      </c>
      <c r="D1292" s="18" t="n">
        <v>3.75</v>
      </c>
      <c r="E1292" s="18">
        <f>IF(D1292="","",D1292*'参数与说明'!$B$6/25.4012)</f>
        <v/>
      </c>
      <c r="F1292" s="19">
        <f>IFERROR(IF(D1292="","",D1292/INDEX($D:$D,MATCH(EDATE($A1292,-1),$A:$A,0))-1),"")</f>
        <v/>
      </c>
      <c r="G1292" s="19">
        <f>IFERROR(IF(D1292="","",D1292/INDEX($D:$D,MATCH(EDATE($A1292,-12),$A:$A,0))-1),"")</f>
        <v/>
      </c>
    </row>
    <row r="1293">
      <c r="A1293" s="12" t="n">
        <v>42125</v>
      </c>
      <c r="B1293" s="13" t="n">
        <v>2015</v>
      </c>
      <c r="C1293" s="13" t="n">
        <v>5</v>
      </c>
      <c r="D1293" s="14" t="n">
        <v>3.64</v>
      </c>
      <c r="E1293" s="14">
        <f>IF(D1293="","",D1293*'参数与说明'!$B$6/25.4012)</f>
        <v/>
      </c>
      <c r="F1293" s="15">
        <f>IFERROR(IF(D1293="","",D1293/INDEX($D:$D,MATCH(EDATE($A1293,-1),$A:$A,0))-1),"")</f>
        <v/>
      </c>
      <c r="G1293" s="15">
        <f>IFERROR(IF(D1293="","",D1293/INDEX($D:$D,MATCH(EDATE($A1293,-12),$A:$A,0))-1),"")</f>
        <v/>
      </c>
    </row>
    <row r="1294">
      <c r="A1294" s="16" t="n">
        <v>42156</v>
      </c>
      <c r="B1294" s="17" t="n">
        <v>2015</v>
      </c>
      <c r="C1294" s="17" t="n">
        <v>6</v>
      </c>
      <c r="D1294" s="18" t="n">
        <v>3.59</v>
      </c>
      <c r="E1294" s="18">
        <f>IF(D1294="","",D1294*'参数与说明'!$B$6/25.4012)</f>
        <v/>
      </c>
      <c r="F1294" s="19">
        <f>IFERROR(IF(D1294="","",D1294/INDEX($D:$D,MATCH(EDATE($A1294,-1),$A:$A,0))-1),"")</f>
        <v/>
      </c>
      <c r="G1294" s="19">
        <f>IFERROR(IF(D1294="","",D1294/INDEX($D:$D,MATCH(EDATE($A1294,-12),$A:$A,0))-1),"")</f>
        <v/>
      </c>
    </row>
    <row r="1295">
      <c r="A1295" s="12" t="n">
        <v>42186</v>
      </c>
      <c r="B1295" s="13" t="n">
        <v>2015</v>
      </c>
      <c r="C1295" s="13" t="n">
        <v>7</v>
      </c>
      <c r="D1295" s="14" t="n">
        <v>3.8</v>
      </c>
      <c r="E1295" s="14">
        <f>IF(D1295="","",D1295*'参数与说明'!$B$6/25.4012)</f>
        <v/>
      </c>
      <c r="F1295" s="15">
        <f>IFERROR(IF(D1295="","",D1295/INDEX($D:$D,MATCH(EDATE($A1295,-1),$A:$A,0))-1),"")</f>
        <v/>
      </c>
      <c r="G1295" s="15">
        <f>IFERROR(IF(D1295="","",D1295/INDEX($D:$D,MATCH(EDATE($A1295,-12),$A:$A,0))-1),"")</f>
        <v/>
      </c>
    </row>
    <row r="1296">
      <c r="A1296" s="16" t="n">
        <v>42217</v>
      </c>
      <c r="B1296" s="17" t="n">
        <v>2015</v>
      </c>
      <c r="C1296" s="17" t="n">
        <v>8</v>
      </c>
      <c r="D1296" s="18" t="n">
        <v>3.68</v>
      </c>
      <c r="E1296" s="18">
        <f>IF(D1296="","",D1296*'参数与说明'!$B$6/25.4012)</f>
        <v/>
      </c>
      <c r="F1296" s="19">
        <f>IFERROR(IF(D1296="","",D1296/INDEX($D:$D,MATCH(EDATE($A1296,-1),$A:$A,0))-1),"")</f>
        <v/>
      </c>
      <c r="G1296" s="19">
        <f>IFERROR(IF(D1296="","",D1296/INDEX($D:$D,MATCH(EDATE($A1296,-12),$A:$A,0))-1),"")</f>
        <v/>
      </c>
    </row>
    <row r="1297">
      <c r="A1297" s="12" t="n">
        <v>42248</v>
      </c>
      <c r="B1297" s="13" t="n">
        <v>2015</v>
      </c>
      <c r="C1297" s="13" t="n">
        <v>9</v>
      </c>
      <c r="D1297" s="14" t="n">
        <v>3.68</v>
      </c>
      <c r="E1297" s="14">
        <f>IF(D1297="","",D1297*'参数与说明'!$B$6/25.4012)</f>
        <v/>
      </c>
      <c r="F1297" s="15">
        <f>IFERROR(IF(D1297="","",D1297/INDEX($D:$D,MATCH(EDATE($A1297,-1),$A:$A,0))-1),"")</f>
        <v/>
      </c>
      <c r="G1297" s="15">
        <f>IFERROR(IF(D1297="","",D1297/INDEX($D:$D,MATCH(EDATE($A1297,-12),$A:$A,0))-1),"")</f>
        <v/>
      </c>
    </row>
    <row r="1298">
      <c r="A1298" s="16" t="n">
        <v>42278</v>
      </c>
      <c r="B1298" s="17" t="n">
        <v>2015</v>
      </c>
      <c r="C1298" s="17" t="n">
        <v>10</v>
      </c>
      <c r="D1298" s="18" t="n">
        <v>3.67</v>
      </c>
      <c r="E1298" s="18">
        <f>IF(D1298="","",D1298*'参数与说明'!$B$6/25.4012)</f>
        <v/>
      </c>
      <c r="F1298" s="19">
        <f>IFERROR(IF(D1298="","",D1298/INDEX($D:$D,MATCH(EDATE($A1298,-1),$A:$A,0))-1),"")</f>
        <v/>
      </c>
      <c r="G1298" s="19">
        <f>IFERROR(IF(D1298="","",D1298/INDEX($D:$D,MATCH(EDATE($A1298,-12),$A:$A,0))-1),"")</f>
        <v/>
      </c>
    </row>
    <row r="1299">
      <c r="A1299" s="12" t="n">
        <v>42309</v>
      </c>
      <c r="B1299" s="13" t="n">
        <v>2015</v>
      </c>
      <c r="C1299" s="13" t="n">
        <v>11</v>
      </c>
      <c r="D1299" s="14" t="n">
        <v>3.59</v>
      </c>
      <c r="E1299" s="14">
        <f>IF(D1299="","",D1299*'参数与说明'!$B$6/25.4012)</f>
        <v/>
      </c>
      <c r="F1299" s="15">
        <f>IFERROR(IF(D1299="","",D1299/INDEX($D:$D,MATCH(EDATE($A1299,-1),$A:$A,0))-1),"")</f>
        <v/>
      </c>
      <c r="G1299" s="15">
        <f>IFERROR(IF(D1299="","",D1299/INDEX($D:$D,MATCH(EDATE($A1299,-12),$A:$A,0))-1),"")</f>
        <v/>
      </c>
    </row>
    <row r="1300">
      <c r="A1300" s="16" t="n">
        <v>42339</v>
      </c>
      <c r="B1300" s="17" t="n">
        <v>2015</v>
      </c>
      <c r="C1300" s="17" t="n">
        <v>12</v>
      </c>
      <c r="D1300" s="18" t="n">
        <v>3.65</v>
      </c>
      <c r="E1300" s="18">
        <f>IF(D1300="","",D1300*'参数与说明'!$B$6/25.4012)</f>
        <v/>
      </c>
      <c r="F1300" s="19">
        <f>IFERROR(IF(D1300="","",D1300/INDEX($D:$D,MATCH(EDATE($A1300,-1),$A:$A,0))-1),"")</f>
        <v/>
      </c>
      <c r="G1300" s="19">
        <f>IFERROR(IF(D1300="","",D1300/INDEX($D:$D,MATCH(EDATE($A1300,-12),$A:$A,0))-1),"")</f>
        <v/>
      </c>
    </row>
    <row r="1301">
      <c r="A1301" s="12" t="n">
        <v>42370</v>
      </c>
      <c r="B1301" s="13" t="n">
        <v>2016</v>
      </c>
      <c r="C1301" s="13" t="n">
        <v>1</v>
      </c>
      <c r="D1301" s="14" t="n">
        <v>3.66</v>
      </c>
      <c r="E1301" s="14">
        <f>IF(D1301="","",D1301*'参数与说明'!$B$6/25.4012)</f>
        <v/>
      </c>
      <c r="F1301" s="15">
        <f>IFERROR(IF(D1301="","",D1301/INDEX($D:$D,MATCH(EDATE($A1301,-1),$A:$A,0))-1),"")</f>
        <v/>
      </c>
      <c r="G1301" s="15">
        <f>IFERROR(IF(D1301="","",D1301/INDEX($D:$D,MATCH(EDATE($A1301,-12),$A:$A,0))-1),"")</f>
        <v/>
      </c>
    </row>
    <row r="1302">
      <c r="A1302" s="16" t="n">
        <v>42401</v>
      </c>
      <c r="B1302" s="17" t="n">
        <v>2016</v>
      </c>
      <c r="C1302" s="17" t="n">
        <v>2</v>
      </c>
      <c r="D1302" s="18" t="n">
        <v>3.58</v>
      </c>
      <c r="E1302" s="18">
        <f>IF(D1302="","",D1302*'参数与说明'!$B$6/25.4012)</f>
        <v/>
      </c>
      <c r="F1302" s="19">
        <f>IFERROR(IF(D1302="","",D1302/INDEX($D:$D,MATCH(EDATE($A1302,-1),$A:$A,0))-1),"")</f>
        <v/>
      </c>
      <c r="G1302" s="19">
        <f>IFERROR(IF(D1302="","",D1302/INDEX($D:$D,MATCH(EDATE($A1302,-12),$A:$A,0))-1),"")</f>
        <v/>
      </c>
    </row>
    <row r="1303">
      <c r="A1303" s="12" t="n">
        <v>42430</v>
      </c>
      <c r="B1303" s="13" t="n">
        <v>2016</v>
      </c>
      <c r="C1303" s="13" t="n">
        <v>3</v>
      </c>
      <c r="D1303" s="14" t="n">
        <v>3.56</v>
      </c>
      <c r="E1303" s="14">
        <f>IF(D1303="","",D1303*'参数与说明'!$B$6/25.4012)</f>
        <v/>
      </c>
      <c r="F1303" s="15">
        <f>IFERROR(IF(D1303="","",D1303/INDEX($D:$D,MATCH(EDATE($A1303,-1),$A:$A,0))-1),"")</f>
        <v/>
      </c>
      <c r="G1303" s="15">
        <f>IFERROR(IF(D1303="","",D1303/INDEX($D:$D,MATCH(EDATE($A1303,-12),$A:$A,0))-1),"")</f>
        <v/>
      </c>
    </row>
    <row r="1304">
      <c r="A1304" s="16" t="n">
        <v>42461</v>
      </c>
      <c r="B1304" s="17" t="n">
        <v>2016</v>
      </c>
      <c r="C1304" s="17" t="n">
        <v>4</v>
      </c>
      <c r="D1304" s="18" t="n">
        <v>3.56</v>
      </c>
      <c r="E1304" s="18">
        <f>IF(D1304="","",D1304*'参数与说明'!$B$6/25.4012)</f>
        <v/>
      </c>
      <c r="F1304" s="19">
        <f>IFERROR(IF(D1304="","",D1304/INDEX($D:$D,MATCH(EDATE($A1304,-1),$A:$A,0))-1),"")</f>
        <v/>
      </c>
      <c r="G1304" s="19">
        <f>IFERROR(IF(D1304="","",D1304/INDEX($D:$D,MATCH(EDATE($A1304,-12),$A:$A,0))-1),"")</f>
        <v/>
      </c>
    </row>
    <row r="1305">
      <c r="A1305" s="12" t="n">
        <v>42491</v>
      </c>
      <c r="B1305" s="13" t="n">
        <v>2016</v>
      </c>
      <c r="C1305" s="13" t="n">
        <v>5</v>
      </c>
      <c r="D1305" s="14" t="n">
        <v>3.68</v>
      </c>
      <c r="E1305" s="14">
        <f>IF(D1305="","",D1305*'参数与说明'!$B$6/25.4012)</f>
        <v/>
      </c>
      <c r="F1305" s="15">
        <f>IFERROR(IF(D1305="","",D1305/INDEX($D:$D,MATCH(EDATE($A1305,-1),$A:$A,0))-1),"")</f>
        <v/>
      </c>
      <c r="G1305" s="15">
        <f>IFERROR(IF(D1305="","",D1305/INDEX($D:$D,MATCH(EDATE($A1305,-12),$A:$A,0))-1),"")</f>
        <v/>
      </c>
    </row>
    <row r="1306">
      <c r="A1306" s="16" t="n">
        <v>42522</v>
      </c>
      <c r="B1306" s="17" t="n">
        <v>2016</v>
      </c>
      <c r="C1306" s="17" t="n">
        <v>6</v>
      </c>
      <c r="D1306" s="18" t="n">
        <v>3.82</v>
      </c>
      <c r="E1306" s="18">
        <f>IF(D1306="","",D1306*'参数与说明'!$B$6/25.4012)</f>
        <v/>
      </c>
      <c r="F1306" s="19">
        <f>IFERROR(IF(D1306="","",D1306/INDEX($D:$D,MATCH(EDATE($A1306,-1),$A:$A,0))-1),"")</f>
        <v/>
      </c>
      <c r="G1306" s="19">
        <f>IFERROR(IF(D1306="","",D1306/INDEX($D:$D,MATCH(EDATE($A1306,-12),$A:$A,0))-1),"")</f>
        <v/>
      </c>
    </row>
    <row r="1307">
      <c r="A1307" s="12" t="n">
        <v>42552</v>
      </c>
      <c r="B1307" s="13" t="n">
        <v>2016</v>
      </c>
      <c r="C1307" s="13" t="n">
        <v>7</v>
      </c>
      <c r="D1307" s="14" t="n">
        <v>3.6</v>
      </c>
      <c r="E1307" s="14">
        <f>IF(D1307="","",D1307*'参数与说明'!$B$6/25.4012)</f>
        <v/>
      </c>
      <c r="F1307" s="15">
        <f>IFERROR(IF(D1307="","",D1307/INDEX($D:$D,MATCH(EDATE($A1307,-1),$A:$A,0))-1),"")</f>
        <v/>
      </c>
      <c r="G1307" s="15">
        <f>IFERROR(IF(D1307="","",D1307/INDEX($D:$D,MATCH(EDATE($A1307,-12),$A:$A,0))-1),"")</f>
        <v/>
      </c>
    </row>
    <row r="1308">
      <c r="A1308" s="16" t="n">
        <v>42583</v>
      </c>
      <c r="B1308" s="17" t="n">
        <v>2016</v>
      </c>
      <c r="C1308" s="17" t="n">
        <v>8</v>
      </c>
      <c r="D1308" s="18" t="n">
        <v>3.21</v>
      </c>
      <c r="E1308" s="18">
        <f>IF(D1308="","",D1308*'参数与说明'!$B$6/25.4012)</f>
        <v/>
      </c>
      <c r="F1308" s="19">
        <f>IFERROR(IF(D1308="","",D1308/INDEX($D:$D,MATCH(EDATE($A1308,-1),$A:$A,0))-1),"")</f>
        <v/>
      </c>
      <c r="G1308" s="19">
        <f>IFERROR(IF(D1308="","",D1308/INDEX($D:$D,MATCH(EDATE($A1308,-12),$A:$A,0))-1),"")</f>
        <v/>
      </c>
    </row>
    <row r="1309">
      <c r="A1309" s="12" t="n">
        <v>42614</v>
      </c>
      <c r="B1309" s="13" t="n">
        <v>2016</v>
      </c>
      <c r="C1309" s="13" t="n">
        <v>9</v>
      </c>
      <c r="D1309" s="14" t="n">
        <v>3.22</v>
      </c>
      <c r="E1309" s="14">
        <f>IF(D1309="","",D1309*'参数与说明'!$B$6/25.4012)</f>
        <v/>
      </c>
      <c r="F1309" s="15">
        <f>IFERROR(IF(D1309="","",D1309/INDEX($D:$D,MATCH(EDATE($A1309,-1),$A:$A,0))-1),"")</f>
        <v/>
      </c>
      <c r="G1309" s="15">
        <f>IFERROR(IF(D1309="","",D1309/INDEX($D:$D,MATCH(EDATE($A1309,-12),$A:$A,0))-1),"")</f>
        <v/>
      </c>
    </row>
    <row r="1310">
      <c r="A1310" s="16" t="n">
        <v>42644</v>
      </c>
      <c r="B1310" s="17" t="n">
        <v>2016</v>
      </c>
      <c r="C1310" s="17" t="n">
        <v>10</v>
      </c>
      <c r="D1310" s="18" t="n">
        <v>3.29</v>
      </c>
      <c r="E1310" s="18">
        <f>IF(D1310="","",D1310*'参数与说明'!$B$6/25.4012)</f>
        <v/>
      </c>
      <c r="F1310" s="19">
        <f>IFERROR(IF(D1310="","",D1310/INDEX($D:$D,MATCH(EDATE($A1310,-1),$A:$A,0))-1),"")</f>
        <v/>
      </c>
      <c r="G1310" s="19">
        <f>IFERROR(IF(D1310="","",D1310/INDEX($D:$D,MATCH(EDATE($A1310,-12),$A:$A,0))-1),"")</f>
        <v/>
      </c>
    </row>
    <row r="1311">
      <c r="A1311" s="12" t="n">
        <v>42675</v>
      </c>
      <c r="B1311" s="13" t="n">
        <v>2016</v>
      </c>
      <c r="C1311" s="13" t="n">
        <v>11</v>
      </c>
      <c r="D1311" s="14" t="n">
        <v>3.24</v>
      </c>
      <c r="E1311" s="14">
        <f>IF(D1311="","",D1311*'参数与说明'!$B$6/25.4012)</f>
        <v/>
      </c>
      <c r="F1311" s="15">
        <f>IFERROR(IF(D1311="","",D1311/INDEX($D:$D,MATCH(EDATE($A1311,-1),$A:$A,0))-1),"")</f>
        <v/>
      </c>
      <c r="G1311" s="15">
        <f>IFERROR(IF(D1311="","",D1311/INDEX($D:$D,MATCH(EDATE($A1311,-12),$A:$A,0))-1),"")</f>
        <v/>
      </c>
    </row>
    <row r="1312">
      <c r="A1312" s="16" t="n">
        <v>42705</v>
      </c>
      <c r="B1312" s="17" t="n">
        <v>2016</v>
      </c>
      <c r="C1312" s="17" t="n">
        <v>12</v>
      </c>
      <c r="D1312" s="18" t="n">
        <v>3.32</v>
      </c>
      <c r="E1312" s="18">
        <f>IF(D1312="","",D1312*'参数与说明'!$B$6/25.4012)</f>
        <v/>
      </c>
      <c r="F1312" s="19">
        <f>IFERROR(IF(D1312="","",D1312/INDEX($D:$D,MATCH(EDATE($A1312,-1),$A:$A,0))-1),"")</f>
        <v/>
      </c>
      <c r="G1312" s="19">
        <f>IFERROR(IF(D1312="","",D1312/INDEX($D:$D,MATCH(EDATE($A1312,-12),$A:$A,0))-1),"")</f>
        <v/>
      </c>
    </row>
    <row r="1313">
      <c r="A1313" s="12" t="n">
        <v>42736</v>
      </c>
      <c r="B1313" s="13" t="n">
        <v>2017</v>
      </c>
      <c r="C1313" s="13" t="n">
        <v>1</v>
      </c>
      <c r="D1313" s="14" t="n">
        <v>3.4</v>
      </c>
      <c r="E1313" s="14">
        <f>IF(D1313="","",D1313*'参数与说明'!$B$6/25.4012)</f>
        <v/>
      </c>
      <c r="F1313" s="15">
        <f>IFERROR(IF(D1313="","",D1313/INDEX($D:$D,MATCH(EDATE($A1313,-1),$A:$A,0))-1),"")</f>
        <v/>
      </c>
      <c r="G1313" s="15">
        <f>IFERROR(IF(D1313="","",D1313/INDEX($D:$D,MATCH(EDATE($A1313,-12),$A:$A,0))-1),"")</f>
        <v/>
      </c>
    </row>
    <row r="1314">
      <c r="A1314" s="16" t="n">
        <v>42767</v>
      </c>
      <c r="B1314" s="17" t="n">
        <v>2017</v>
      </c>
      <c r="C1314" s="17" t="n">
        <v>2</v>
      </c>
      <c r="D1314" s="18" t="n">
        <v>3.44</v>
      </c>
      <c r="E1314" s="18">
        <f>IF(D1314="","",D1314*'参数与说明'!$B$6/25.4012)</f>
        <v/>
      </c>
      <c r="F1314" s="19">
        <f>IFERROR(IF(D1314="","",D1314/INDEX($D:$D,MATCH(EDATE($A1314,-1),$A:$A,0))-1),"")</f>
        <v/>
      </c>
      <c r="G1314" s="19">
        <f>IFERROR(IF(D1314="","",D1314/INDEX($D:$D,MATCH(EDATE($A1314,-12),$A:$A,0))-1),"")</f>
        <v/>
      </c>
    </row>
    <row r="1315">
      <c r="A1315" s="12" t="n">
        <v>42795</v>
      </c>
      <c r="B1315" s="13" t="n">
        <v>2017</v>
      </c>
      <c r="C1315" s="13" t="n">
        <v>3</v>
      </c>
      <c r="D1315" s="14" t="n">
        <v>3.49</v>
      </c>
      <c r="E1315" s="14">
        <f>IF(D1315="","",D1315*'参数与说明'!$B$6/25.4012)</f>
        <v/>
      </c>
      <c r="F1315" s="15">
        <f>IFERROR(IF(D1315="","",D1315/INDEX($D:$D,MATCH(EDATE($A1315,-1),$A:$A,0))-1),"")</f>
        <v/>
      </c>
      <c r="G1315" s="15">
        <f>IFERROR(IF(D1315="","",D1315/INDEX($D:$D,MATCH(EDATE($A1315,-12),$A:$A,0))-1),"")</f>
        <v/>
      </c>
    </row>
    <row r="1316">
      <c r="A1316" s="16" t="n">
        <v>42826</v>
      </c>
      <c r="B1316" s="17" t="n">
        <v>2017</v>
      </c>
      <c r="C1316" s="17" t="n">
        <v>4</v>
      </c>
      <c r="D1316" s="18" t="n">
        <v>3.43</v>
      </c>
      <c r="E1316" s="18">
        <f>IF(D1316="","",D1316*'参数与说明'!$B$6/25.4012)</f>
        <v/>
      </c>
      <c r="F1316" s="19">
        <f>IFERROR(IF(D1316="","",D1316/INDEX($D:$D,MATCH(EDATE($A1316,-1),$A:$A,0))-1),"")</f>
        <v/>
      </c>
      <c r="G1316" s="19">
        <f>IFERROR(IF(D1316="","",D1316/INDEX($D:$D,MATCH(EDATE($A1316,-12),$A:$A,0))-1),"")</f>
        <v/>
      </c>
    </row>
    <row r="1317">
      <c r="A1317" s="12" t="n">
        <v>42856</v>
      </c>
      <c r="B1317" s="13" t="n">
        <v>2017</v>
      </c>
      <c r="C1317" s="13" t="n">
        <v>5</v>
      </c>
      <c r="D1317" s="14" t="n">
        <v>3.45</v>
      </c>
      <c r="E1317" s="14">
        <f>IF(D1317="","",D1317*'参数与说明'!$B$6/25.4012)</f>
        <v/>
      </c>
      <c r="F1317" s="15">
        <f>IFERROR(IF(D1317="","",D1317/INDEX($D:$D,MATCH(EDATE($A1317,-1),$A:$A,0))-1),"")</f>
        <v/>
      </c>
      <c r="G1317" s="15">
        <f>IFERROR(IF(D1317="","",D1317/INDEX($D:$D,MATCH(EDATE($A1317,-12),$A:$A,0))-1),"")</f>
        <v/>
      </c>
    </row>
    <row r="1318">
      <c r="A1318" s="16" t="n">
        <v>42887</v>
      </c>
      <c r="B1318" s="17" t="n">
        <v>2017</v>
      </c>
      <c r="C1318" s="17" t="n">
        <v>6</v>
      </c>
      <c r="D1318" s="18" t="n">
        <v>3.43</v>
      </c>
      <c r="E1318" s="18">
        <f>IF(D1318="","",D1318*'参数与说明'!$B$6/25.4012)</f>
        <v/>
      </c>
      <c r="F1318" s="19">
        <f>IFERROR(IF(D1318="","",D1318/INDEX($D:$D,MATCH(EDATE($A1318,-1),$A:$A,0))-1),"")</f>
        <v/>
      </c>
      <c r="G1318" s="19">
        <f>IFERROR(IF(D1318="","",D1318/INDEX($D:$D,MATCH(EDATE($A1318,-12),$A:$A,0))-1),"")</f>
        <v/>
      </c>
    </row>
    <row r="1319">
      <c r="A1319" s="12" t="n">
        <v>42917</v>
      </c>
      <c r="B1319" s="13" t="n">
        <v>2017</v>
      </c>
      <c r="C1319" s="13" t="n">
        <v>7</v>
      </c>
      <c r="D1319" s="14" t="n">
        <v>3.49</v>
      </c>
      <c r="E1319" s="14">
        <f>IF(D1319="","",D1319*'参数与说明'!$B$6/25.4012)</f>
        <v/>
      </c>
      <c r="F1319" s="15">
        <f>IFERROR(IF(D1319="","",D1319/INDEX($D:$D,MATCH(EDATE($A1319,-1),$A:$A,0))-1),"")</f>
        <v/>
      </c>
      <c r="G1319" s="15">
        <f>IFERROR(IF(D1319="","",D1319/INDEX($D:$D,MATCH(EDATE($A1319,-12),$A:$A,0))-1),"")</f>
        <v/>
      </c>
    </row>
    <row r="1320">
      <c r="A1320" s="16" t="n">
        <v>42948</v>
      </c>
      <c r="B1320" s="17" t="n">
        <v>2017</v>
      </c>
      <c r="C1320" s="17" t="n">
        <v>8</v>
      </c>
      <c r="D1320" s="18" t="n">
        <v>3.27</v>
      </c>
      <c r="E1320" s="18">
        <f>IF(D1320="","",D1320*'参数与说明'!$B$6/25.4012)</f>
        <v/>
      </c>
      <c r="F1320" s="19">
        <f>IFERROR(IF(D1320="","",D1320/INDEX($D:$D,MATCH(EDATE($A1320,-1),$A:$A,0))-1),"")</f>
        <v/>
      </c>
      <c r="G1320" s="19">
        <f>IFERROR(IF(D1320="","",D1320/INDEX($D:$D,MATCH(EDATE($A1320,-12),$A:$A,0))-1),"")</f>
        <v/>
      </c>
    </row>
    <row r="1321">
      <c r="A1321" s="12" t="n">
        <v>42979</v>
      </c>
      <c r="B1321" s="13" t="n">
        <v>2017</v>
      </c>
      <c r="C1321" s="13" t="n">
        <v>9</v>
      </c>
      <c r="D1321" s="14" t="n">
        <v>3.27</v>
      </c>
      <c r="E1321" s="14">
        <f>IF(D1321="","",D1321*'参数与说明'!$B$6/25.4012)</f>
        <v/>
      </c>
      <c r="F1321" s="15">
        <f>IFERROR(IF(D1321="","",D1321/INDEX($D:$D,MATCH(EDATE($A1321,-1),$A:$A,0))-1),"")</f>
        <v/>
      </c>
      <c r="G1321" s="15">
        <f>IFERROR(IF(D1321="","",D1321/INDEX($D:$D,MATCH(EDATE($A1321,-12),$A:$A,0))-1),"")</f>
        <v/>
      </c>
    </row>
    <row r="1322">
      <c r="A1322" s="16" t="n">
        <v>43009</v>
      </c>
      <c r="B1322" s="17" t="n">
        <v>2017</v>
      </c>
      <c r="C1322" s="17" t="n">
        <v>10</v>
      </c>
      <c r="D1322" s="18" t="n">
        <v>3.26</v>
      </c>
      <c r="E1322" s="18">
        <f>IF(D1322="","",D1322*'参数与说明'!$B$6/25.4012)</f>
        <v/>
      </c>
      <c r="F1322" s="19">
        <f>IFERROR(IF(D1322="","",D1322/INDEX($D:$D,MATCH(EDATE($A1322,-1),$A:$A,0))-1),"")</f>
        <v/>
      </c>
      <c r="G1322" s="19">
        <f>IFERROR(IF(D1322="","",D1322/INDEX($D:$D,MATCH(EDATE($A1322,-12),$A:$A,0))-1),"")</f>
        <v/>
      </c>
    </row>
    <row r="1323">
      <c r="A1323" s="12" t="n">
        <v>43040</v>
      </c>
      <c r="B1323" s="13" t="n">
        <v>2017</v>
      </c>
      <c r="C1323" s="13" t="n">
        <v>11</v>
      </c>
      <c r="D1323" s="14" t="n">
        <v>3.15</v>
      </c>
      <c r="E1323" s="14">
        <f>IF(D1323="","",D1323*'参数与说明'!$B$6/25.4012)</f>
        <v/>
      </c>
      <c r="F1323" s="15">
        <f>IFERROR(IF(D1323="","",D1323/INDEX($D:$D,MATCH(EDATE($A1323,-1),$A:$A,0))-1),"")</f>
        <v/>
      </c>
      <c r="G1323" s="15">
        <f>IFERROR(IF(D1323="","",D1323/INDEX($D:$D,MATCH(EDATE($A1323,-12),$A:$A,0))-1),"")</f>
        <v/>
      </c>
    </row>
    <row r="1324">
      <c r="A1324" s="16" t="n">
        <v>43070</v>
      </c>
      <c r="B1324" s="17" t="n">
        <v>2017</v>
      </c>
      <c r="C1324" s="17" t="n">
        <v>12</v>
      </c>
      <c r="D1324" s="18" t="n">
        <v>3.23</v>
      </c>
      <c r="E1324" s="18">
        <f>IF(D1324="","",D1324*'参数与说明'!$B$6/25.4012)</f>
        <v/>
      </c>
      <c r="F1324" s="19">
        <f>IFERROR(IF(D1324="","",D1324/INDEX($D:$D,MATCH(EDATE($A1324,-1),$A:$A,0))-1),"")</f>
        <v/>
      </c>
      <c r="G1324" s="19">
        <f>IFERROR(IF(D1324="","",D1324/INDEX($D:$D,MATCH(EDATE($A1324,-12),$A:$A,0))-1),"")</f>
        <v/>
      </c>
    </row>
    <row r="1325">
      <c r="A1325" s="12" t="n">
        <v>43101</v>
      </c>
      <c r="B1325" s="13" t="n">
        <v>2018</v>
      </c>
      <c r="C1325" s="13" t="n">
        <v>1</v>
      </c>
      <c r="D1325" s="14" t="n">
        <v>3.29</v>
      </c>
      <c r="E1325" s="14">
        <f>IF(D1325="","",D1325*'参数与说明'!$B$6/25.4012)</f>
        <v/>
      </c>
      <c r="F1325" s="15">
        <f>IFERROR(IF(D1325="","",D1325/INDEX($D:$D,MATCH(EDATE($A1325,-1),$A:$A,0))-1),"")</f>
        <v/>
      </c>
      <c r="G1325" s="15">
        <f>IFERROR(IF(D1325="","",D1325/INDEX($D:$D,MATCH(EDATE($A1325,-12),$A:$A,0))-1),"")</f>
        <v/>
      </c>
    </row>
    <row r="1326">
      <c r="A1326" s="16" t="n">
        <v>43132</v>
      </c>
      <c r="B1326" s="17" t="n">
        <v>2018</v>
      </c>
      <c r="C1326" s="17" t="n">
        <v>2</v>
      </c>
      <c r="D1326" s="18" t="n">
        <v>3.38</v>
      </c>
      <c r="E1326" s="18">
        <f>IF(D1326="","",D1326*'参数与说明'!$B$6/25.4012)</f>
        <v/>
      </c>
      <c r="F1326" s="19">
        <f>IFERROR(IF(D1326="","",D1326/INDEX($D:$D,MATCH(EDATE($A1326,-1),$A:$A,0))-1),"")</f>
        <v/>
      </c>
      <c r="G1326" s="19">
        <f>IFERROR(IF(D1326="","",D1326/INDEX($D:$D,MATCH(EDATE($A1326,-12),$A:$A,0))-1),"")</f>
        <v/>
      </c>
    </row>
    <row r="1327">
      <c r="A1327" s="12" t="n">
        <v>43160</v>
      </c>
      <c r="B1327" s="13" t="n">
        <v>2018</v>
      </c>
      <c r="C1327" s="13" t="n">
        <v>3</v>
      </c>
      <c r="D1327" s="14" t="n">
        <v>3.51</v>
      </c>
      <c r="E1327" s="14">
        <f>IF(D1327="","",D1327*'参数与说明'!$B$6/25.4012)</f>
        <v/>
      </c>
      <c r="F1327" s="15">
        <f>IFERROR(IF(D1327="","",D1327/INDEX($D:$D,MATCH(EDATE($A1327,-1),$A:$A,0))-1),"")</f>
        <v/>
      </c>
      <c r="G1327" s="15">
        <f>IFERROR(IF(D1327="","",D1327/INDEX($D:$D,MATCH(EDATE($A1327,-12),$A:$A,0))-1),"")</f>
        <v/>
      </c>
    </row>
    <row r="1328">
      <c r="A1328" s="16" t="n">
        <v>43191</v>
      </c>
      <c r="B1328" s="17" t="n">
        <v>2018</v>
      </c>
      <c r="C1328" s="17" t="n">
        <v>4</v>
      </c>
      <c r="D1328" s="18" t="n">
        <v>3.58</v>
      </c>
      <c r="E1328" s="18">
        <f>IF(D1328="","",D1328*'参数与说明'!$B$6/25.4012)</f>
        <v/>
      </c>
      <c r="F1328" s="19">
        <f>IFERROR(IF(D1328="","",D1328/INDEX($D:$D,MATCH(EDATE($A1328,-1),$A:$A,0))-1),"")</f>
        <v/>
      </c>
      <c r="G1328" s="19">
        <f>IFERROR(IF(D1328="","",D1328/INDEX($D:$D,MATCH(EDATE($A1328,-12),$A:$A,0))-1),"")</f>
        <v/>
      </c>
    </row>
    <row r="1329">
      <c r="A1329" s="12" t="n">
        <v>43221</v>
      </c>
      <c r="B1329" s="13" t="n">
        <v>2018</v>
      </c>
      <c r="C1329" s="13" t="n">
        <v>5</v>
      </c>
      <c r="D1329" s="14" t="n">
        <v>3.68</v>
      </c>
      <c r="E1329" s="14">
        <f>IF(D1329="","",D1329*'参数与说明'!$B$6/25.4012)</f>
        <v/>
      </c>
      <c r="F1329" s="15">
        <f>IFERROR(IF(D1329="","",D1329/INDEX($D:$D,MATCH(EDATE($A1329,-1),$A:$A,0))-1),"")</f>
        <v/>
      </c>
      <c r="G1329" s="15">
        <f>IFERROR(IF(D1329="","",D1329/INDEX($D:$D,MATCH(EDATE($A1329,-12),$A:$A,0))-1),"")</f>
        <v/>
      </c>
    </row>
    <row r="1330">
      <c r="A1330" s="16" t="n">
        <v>43252</v>
      </c>
      <c r="B1330" s="17" t="n">
        <v>2018</v>
      </c>
      <c r="C1330" s="17" t="n">
        <v>6</v>
      </c>
      <c r="D1330" s="18" t="n">
        <v>3.58</v>
      </c>
      <c r="E1330" s="18">
        <f>IF(D1330="","",D1330*'参数与说明'!$B$6/25.4012)</f>
        <v/>
      </c>
      <c r="F1330" s="19">
        <f>IFERROR(IF(D1330="","",D1330/INDEX($D:$D,MATCH(EDATE($A1330,-1),$A:$A,0))-1),"")</f>
        <v/>
      </c>
      <c r="G1330" s="19">
        <f>IFERROR(IF(D1330="","",D1330/INDEX($D:$D,MATCH(EDATE($A1330,-12),$A:$A,0))-1),"")</f>
        <v/>
      </c>
    </row>
    <row r="1331">
      <c r="A1331" s="12" t="n">
        <v>43282</v>
      </c>
      <c r="B1331" s="13" t="n">
        <v>2018</v>
      </c>
      <c r="C1331" s="13" t="n">
        <v>7</v>
      </c>
      <c r="D1331" s="14" t="n">
        <v>3.47</v>
      </c>
      <c r="E1331" s="14">
        <f>IF(D1331="","",D1331*'参数与说明'!$B$6/25.4012)</f>
        <v/>
      </c>
      <c r="F1331" s="15">
        <f>IFERROR(IF(D1331="","",D1331/INDEX($D:$D,MATCH(EDATE($A1331,-1),$A:$A,0))-1),"")</f>
        <v/>
      </c>
      <c r="G1331" s="15">
        <f>IFERROR(IF(D1331="","",D1331/INDEX($D:$D,MATCH(EDATE($A1331,-12),$A:$A,0))-1),"")</f>
        <v/>
      </c>
    </row>
    <row r="1332">
      <c r="A1332" s="16" t="n">
        <v>43313</v>
      </c>
      <c r="B1332" s="17" t="n">
        <v>2018</v>
      </c>
      <c r="C1332" s="17" t="n">
        <v>8</v>
      </c>
      <c r="D1332" s="18" t="n">
        <v>3.36</v>
      </c>
      <c r="E1332" s="18">
        <f>IF(D1332="","",D1332*'参数与说明'!$B$6/25.4012)</f>
        <v/>
      </c>
      <c r="F1332" s="19">
        <f>IFERROR(IF(D1332="","",D1332/INDEX($D:$D,MATCH(EDATE($A1332,-1),$A:$A,0))-1),"")</f>
        <v/>
      </c>
      <c r="G1332" s="19">
        <f>IFERROR(IF(D1332="","",D1332/INDEX($D:$D,MATCH(EDATE($A1332,-12),$A:$A,0))-1),"")</f>
        <v/>
      </c>
    </row>
    <row r="1333">
      <c r="A1333" s="12" t="n">
        <v>43344</v>
      </c>
      <c r="B1333" s="13" t="n">
        <v>2018</v>
      </c>
      <c r="C1333" s="13" t="n">
        <v>9</v>
      </c>
      <c r="D1333" s="14" t="n">
        <v>3.4</v>
      </c>
      <c r="E1333" s="14">
        <f>IF(D1333="","",D1333*'参数与说明'!$B$6/25.4012)</f>
        <v/>
      </c>
      <c r="F1333" s="15">
        <f>IFERROR(IF(D1333="","",D1333/INDEX($D:$D,MATCH(EDATE($A1333,-1),$A:$A,0))-1),"")</f>
        <v/>
      </c>
      <c r="G1333" s="15">
        <f>IFERROR(IF(D1333="","",D1333/INDEX($D:$D,MATCH(EDATE($A1333,-12),$A:$A,0))-1),"")</f>
        <v/>
      </c>
    </row>
    <row r="1334">
      <c r="A1334" s="16" t="n">
        <v>43374</v>
      </c>
      <c r="B1334" s="17" t="n">
        <v>2018</v>
      </c>
      <c r="C1334" s="17" t="n">
        <v>10</v>
      </c>
      <c r="D1334" s="18" t="n">
        <v>3.42</v>
      </c>
      <c r="E1334" s="18">
        <f>IF(D1334="","",D1334*'参数与说明'!$B$6/25.4012)</f>
        <v/>
      </c>
      <c r="F1334" s="19">
        <f>IFERROR(IF(D1334="","",D1334/INDEX($D:$D,MATCH(EDATE($A1334,-1),$A:$A,0))-1),"")</f>
        <v/>
      </c>
      <c r="G1334" s="19">
        <f>IFERROR(IF(D1334="","",D1334/INDEX($D:$D,MATCH(EDATE($A1334,-12),$A:$A,0))-1),"")</f>
        <v/>
      </c>
    </row>
    <row r="1335">
      <c r="A1335" s="12" t="n">
        <v>43405</v>
      </c>
      <c r="B1335" s="13" t="n">
        <v>2018</v>
      </c>
      <c r="C1335" s="13" t="n">
        <v>11</v>
      </c>
      <c r="D1335" s="14" t="n">
        <v>3.41</v>
      </c>
      <c r="E1335" s="14">
        <f>IF(D1335="","",D1335*'参数与说明'!$B$6/25.4012)</f>
        <v/>
      </c>
      <c r="F1335" s="15">
        <f>IFERROR(IF(D1335="","",D1335/INDEX($D:$D,MATCH(EDATE($A1335,-1),$A:$A,0))-1),"")</f>
        <v/>
      </c>
      <c r="G1335" s="15">
        <f>IFERROR(IF(D1335="","",D1335/INDEX($D:$D,MATCH(EDATE($A1335,-12),$A:$A,0))-1),"")</f>
        <v/>
      </c>
    </row>
    <row r="1336">
      <c r="A1336" s="16" t="n">
        <v>43435</v>
      </c>
      <c r="B1336" s="17" t="n">
        <v>2018</v>
      </c>
      <c r="C1336" s="17" t="n">
        <v>12</v>
      </c>
      <c r="D1336" s="18" t="n">
        <v>3.54</v>
      </c>
      <c r="E1336" s="18">
        <f>IF(D1336="","",D1336*'参数与说明'!$B$6/25.4012)</f>
        <v/>
      </c>
      <c r="F1336" s="19">
        <f>IFERROR(IF(D1336="","",D1336/INDEX($D:$D,MATCH(EDATE($A1336,-1),$A:$A,0))-1),"")</f>
        <v/>
      </c>
      <c r="G1336" s="19">
        <f>IFERROR(IF(D1336="","",D1336/INDEX($D:$D,MATCH(EDATE($A1336,-12),$A:$A,0))-1),"")</f>
        <v/>
      </c>
    </row>
    <row r="1337">
      <c r="A1337" s="12" t="n">
        <v>43466</v>
      </c>
      <c r="B1337" s="13" t="n">
        <v>2019</v>
      </c>
      <c r="C1337" s="13" t="n">
        <v>1</v>
      </c>
      <c r="D1337" s="14" t="n">
        <v>3.56</v>
      </c>
      <c r="E1337" s="14">
        <f>IF(D1337="","",D1337*'参数与说明'!$B$6/25.4012)</f>
        <v/>
      </c>
      <c r="F1337" s="15">
        <f>IFERROR(IF(D1337="","",D1337/INDEX($D:$D,MATCH(EDATE($A1337,-1),$A:$A,0))-1),"")</f>
        <v/>
      </c>
      <c r="G1337" s="15">
        <f>IFERROR(IF(D1337="","",D1337/INDEX($D:$D,MATCH(EDATE($A1337,-12),$A:$A,0))-1),"")</f>
        <v/>
      </c>
    </row>
    <row r="1338">
      <c r="A1338" s="16" t="n">
        <v>43497</v>
      </c>
      <c r="B1338" s="17" t="n">
        <v>2019</v>
      </c>
      <c r="C1338" s="17" t="n">
        <v>2</v>
      </c>
      <c r="D1338" s="18" t="n">
        <v>3.6</v>
      </c>
      <c r="E1338" s="18">
        <f>IF(D1338="","",D1338*'参数与说明'!$B$6/25.4012)</f>
        <v/>
      </c>
      <c r="F1338" s="19">
        <f>IFERROR(IF(D1338="","",D1338/INDEX($D:$D,MATCH(EDATE($A1338,-1),$A:$A,0))-1),"")</f>
        <v/>
      </c>
      <c r="G1338" s="19">
        <f>IFERROR(IF(D1338="","",D1338/INDEX($D:$D,MATCH(EDATE($A1338,-12),$A:$A,0))-1),"")</f>
        <v/>
      </c>
    </row>
    <row r="1339">
      <c r="A1339" s="12" t="n">
        <v>43525</v>
      </c>
      <c r="B1339" s="13" t="n">
        <v>2019</v>
      </c>
      <c r="C1339" s="13" t="n">
        <v>3</v>
      </c>
      <c r="D1339" s="14" t="n">
        <v>3.61</v>
      </c>
      <c r="E1339" s="14">
        <f>IF(D1339="","",D1339*'参数与说明'!$B$6/25.4012)</f>
        <v/>
      </c>
      <c r="F1339" s="15">
        <f>IFERROR(IF(D1339="","",D1339/INDEX($D:$D,MATCH(EDATE($A1339,-1),$A:$A,0))-1),"")</f>
        <v/>
      </c>
      <c r="G1339" s="15">
        <f>IFERROR(IF(D1339="","",D1339/INDEX($D:$D,MATCH(EDATE($A1339,-12),$A:$A,0))-1),"")</f>
        <v/>
      </c>
    </row>
    <row r="1340">
      <c r="A1340" s="16" t="n">
        <v>43556</v>
      </c>
      <c r="B1340" s="17" t="n">
        <v>2019</v>
      </c>
      <c r="C1340" s="17" t="n">
        <v>4</v>
      </c>
      <c r="D1340" s="18" t="n">
        <v>3.53</v>
      </c>
      <c r="E1340" s="18">
        <f>IF(D1340="","",D1340*'参数与说明'!$B$6/25.4012)</f>
        <v/>
      </c>
      <c r="F1340" s="19">
        <f>IFERROR(IF(D1340="","",D1340/INDEX($D:$D,MATCH(EDATE($A1340,-1),$A:$A,0))-1),"")</f>
        <v/>
      </c>
      <c r="G1340" s="19">
        <f>IFERROR(IF(D1340="","",D1340/INDEX($D:$D,MATCH(EDATE($A1340,-12),$A:$A,0))-1),"")</f>
        <v/>
      </c>
    </row>
    <row r="1341">
      <c r="A1341" s="12" t="n">
        <v>43586</v>
      </c>
      <c r="B1341" s="13" t="n">
        <v>2019</v>
      </c>
      <c r="C1341" s="13" t="n">
        <v>5</v>
      </c>
      <c r="D1341" s="14" t="n">
        <v>3.63</v>
      </c>
      <c r="E1341" s="14">
        <f>IF(D1341="","",D1341*'参数与说明'!$B$6/25.4012)</f>
        <v/>
      </c>
      <c r="F1341" s="15">
        <f>IFERROR(IF(D1341="","",D1341/INDEX($D:$D,MATCH(EDATE($A1341,-1),$A:$A,0))-1),"")</f>
        <v/>
      </c>
      <c r="G1341" s="15">
        <f>IFERROR(IF(D1341="","",D1341/INDEX($D:$D,MATCH(EDATE($A1341,-12),$A:$A,0))-1),"")</f>
        <v/>
      </c>
    </row>
    <row r="1342">
      <c r="A1342" s="16" t="n">
        <v>43617</v>
      </c>
      <c r="B1342" s="17" t="n">
        <v>2019</v>
      </c>
      <c r="C1342" s="17" t="n">
        <v>6</v>
      </c>
      <c r="D1342" s="18" t="n">
        <v>3.98</v>
      </c>
      <c r="E1342" s="18">
        <f>IF(D1342="","",D1342*'参数与说明'!$B$6/25.4012)</f>
        <v/>
      </c>
      <c r="F1342" s="19">
        <f>IFERROR(IF(D1342="","",D1342/INDEX($D:$D,MATCH(EDATE($A1342,-1),$A:$A,0))-1),"")</f>
        <v/>
      </c>
      <c r="G1342" s="19">
        <f>IFERROR(IF(D1342="","",D1342/INDEX($D:$D,MATCH(EDATE($A1342,-12),$A:$A,0))-1),"")</f>
        <v/>
      </c>
    </row>
    <row r="1343">
      <c r="A1343" s="12" t="n">
        <v>43647</v>
      </c>
      <c r="B1343" s="13" t="n">
        <v>2019</v>
      </c>
      <c r="C1343" s="13" t="n">
        <v>7</v>
      </c>
      <c r="D1343" s="14" t="n">
        <v>4.16</v>
      </c>
      <c r="E1343" s="14">
        <f>IF(D1343="","",D1343*'参数与说明'!$B$6/25.4012)</f>
        <v/>
      </c>
      <c r="F1343" s="15">
        <f>IFERROR(IF(D1343="","",D1343/INDEX($D:$D,MATCH(EDATE($A1343,-1),$A:$A,0))-1),"")</f>
        <v/>
      </c>
      <c r="G1343" s="15">
        <f>IFERROR(IF(D1343="","",D1343/INDEX($D:$D,MATCH(EDATE($A1343,-12),$A:$A,0))-1),"")</f>
        <v/>
      </c>
    </row>
    <row r="1344">
      <c r="A1344" s="16" t="n">
        <v>43678</v>
      </c>
      <c r="B1344" s="17" t="n">
        <v>2019</v>
      </c>
      <c r="C1344" s="17" t="n">
        <v>8</v>
      </c>
      <c r="D1344" s="18" t="n">
        <v>3.93</v>
      </c>
      <c r="E1344" s="18">
        <f>IF(D1344="","",D1344*'参数与说明'!$B$6/25.4012)</f>
        <v/>
      </c>
      <c r="F1344" s="19">
        <f>IFERROR(IF(D1344="","",D1344/INDEX($D:$D,MATCH(EDATE($A1344,-1),$A:$A,0))-1),"")</f>
        <v/>
      </c>
      <c r="G1344" s="19">
        <f>IFERROR(IF(D1344="","",D1344/INDEX($D:$D,MATCH(EDATE($A1344,-12),$A:$A,0))-1),"")</f>
        <v/>
      </c>
    </row>
    <row r="1345">
      <c r="A1345" s="12" t="n">
        <v>43709</v>
      </c>
      <c r="B1345" s="13" t="n">
        <v>2019</v>
      </c>
      <c r="C1345" s="13" t="n">
        <v>9</v>
      </c>
      <c r="D1345" s="14" t="n">
        <v>3.8</v>
      </c>
      <c r="E1345" s="14">
        <f>IF(D1345="","",D1345*'参数与说明'!$B$6/25.4012)</f>
        <v/>
      </c>
      <c r="F1345" s="15">
        <f>IFERROR(IF(D1345="","",D1345/INDEX($D:$D,MATCH(EDATE($A1345,-1),$A:$A,0))-1),"")</f>
        <v/>
      </c>
      <c r="G1345" s="15">
        <f>IFERROR(IF(D1345="","",D1345/INDEX($D:$D,MATCH(EDATE($A1345,-12),$A:$A,0))-1),"")</f>
        <v/>
      </c>
    </row>
    <row r="1346">
      <c r="A1346" s="16" t="n">
        <v>43739</v>
      </c>
      <c r="B1346" s="17" t="n">
        <v>2019</v>
      </c>
      <c r="C1346" s="17" t="n">
        <v>10</v>
      </c>
      <c r="D1346" s="18" t="n">
        <v>3.85</v>
      </c>
      <c r="E1346" s="18">
        <f>IF(D1346="","",D1346*'参数与说明'!$B$6/25.4012)</f>
        <v/>
      </c>
      <c r="F1346" s="19">
        <f>IFERROR(IF(D1346="","",D1346/INDEX($D:$D,MATCH(EDATE($A1346,-1),$A:$A,0))-1),"")</f>
        <v/>
      </c>
      <c r="G1346" s="19">
        <f>IFERROR(IF(D1346="","",D1346/INDEX($D:$D,MATCH(EDATE($A1346,-12),$A:$A,0))-1),"")</f>
        <v/>
      </c>
    </row>
    <row r="1347">
      <c r="A1347" s="12" t="n">
        <v>43770</v>
      </c>
      <c r="B1347" s="13" t="n">
        <v>2019</v>
      </c>
      <c r="C1347" s="13" t="n">
        <v>11</v>
      </c>
      <c r="D1347" s="14" t="n">
        <v>3.68</v>
      </c>
      <c r="E1347" s="14">
        <f>IF(D1347="","",D1347*'参数与说明'!$B$6/25.4012)</f>
        <v/>
      </c>
      <c r="F1347" s="15">
        <f>IFERROR(IF(D1347="","",D1347/INDEX($D:$D,MATCH(EDATE($A1347,-1),$A:$A,0))-1),"")</f>
        <v/>
      </c>
      <c r="G1347" s="15">
        <f>IFERROR(IF(D1347="","",D1347/INDEX($D:$D,MATCH(EDATE($A1347,-12),$A:$A,0))-1),"")</f>
        <v/>
      </c>
    </row>
    <row r="1348">
      <c r="A1348" s="16" t="n">
        <v>43800</v>
      </c>
      <c r="B1348" s="17" t="n">
        <v>2019</v>
      </c>
      <c r="C1348" s="17" t="n">
        <v>12</v>
      </c>
      <c r="D1348" s="18" t="n">
        <v>3.71</v>
      </c>
      <c r="E1348" s="18">
        <f>IF(D1348="","",D1348*'参数与说明'!$B$6/25.4012)</f>
        <v/>
      </c>
      <c r="F1348" s="19">
        <f>IFERROR(IF(D1348="","",D1348/INDEX($D:$D,MATCH(EDATE($A1348,-1),$A:$A,0))-1),"")</f>
        <v/>
      </c>
      <c r="G1348" s="19">
        <f>IFERROR(IF(D1348="","",D1348/INDEX($D:$D,MATCH(EDATE($A1348,-12),$A:$A,0))-1),"")</f>
        <v/>
      </c>
    </row>
    <row r="1349">
      <c r="A1349" s="12" t="n">
        <v>43831</v>
      </c>
      <c r="B1349" s="13" t="n">
        <v>2020</v>
      </c>
      <c r="C1349" s="13" t="n">
        <v>1</v>
      </c>
      <c r="D1349" s="14" t="n">
        <v>3.79</v>
      </c>
      <c r="E1349" s="14">
        <f>IF(D1349="","",D1349*'参数与说明'!$B$6/25.4012)</f>
        <v/>
      </c>
      <c r="F1349" s="15">
        <f>IFERROR(IF(D1349="","",D1349/INDEX($D:$D,MATCH(EDATE($A1349,-1),$A:$A,0))-1),"")</f>
        <v/>
      </c>
      <c r="G1349" s="15">
        <f>IFERROR(IF(D1349="","",D1349/INDEX($D:$D,MATCH(EDATE($A1349,-12),$A:$A,0))-1),"")</f>
        <v/>
      </c>
    </row>
    <row r="1350">
      <c r="A1350" s="16" t="n">
        <v>43862</v>
      </c>
      <c r="B1350" s="17" t="n">
        <v>2020</v>
      </c>
      <c r="C1350" s="17" t="n">
        <v>2</v>
      </c>
      <c r="D1350" s="18" t="n">
        <v>3.78</v>
      </c>
      <c r="E1350" s="18">
        <f>IF(D1350="","",D1350*'参数与说明'!$B$6/25.4012)</f>
        <v/>
      </c>
      <c r="F1350" s="19">
        <f>IFERROR(IF(D1350="","",D1350/INDEX($D:$D,MATCH(EDATE($A1350,-1),$A:$A,0))-1),"")</f>
        <v/>
      </c>
      <c r="G1350" s="19">
        <f>IFERROR(IF(D1350="","",D1350/INDEX($D:$D,MATCH(EDATE($A1350,-12),$A:$A,0))-1),"")</f>
        <v/>
      </c>
    </row>
    <row r="1351">
      <c r="A1351" s="12" t="n">
        <v>43891</v>
      </c>
      <c r="B1351" s="13" t="n">
        <v>2020</v>
      </c>
      <c r="C1351" s="13" t="n">
        <v>3</v>
      </c>
      <c r="D1351" s="14" t="n">
        <v>3.68</v>
      </c>
      <c r="E1351" s="14">
        <f>IF(D1351="","",D1351*'参数与说明'!$B$6/25.4012)</f>
        <v/>
      </c>
      <c r="F1351" s="15">
        <f>IFERROR(IF(D1351="","",D1351/INDEX($D:$D,MATCH(EDATE($A1351,-1),$A:$A,0))-1),"")</f>
        <v/>
      </c>
      <c r="G1351" s="15">
        <f>IFERROR(IF(D1351="","",D1351/INDEX($D:$D,MATCH(EDATE($A1351,-12),$A:$A,0))-1),"")</f>
        <v/>
      </c>
    </row>
    <row r="1352">
      <c r="A1352" s="16" t="n">
        <v>43922</v>
      </c>
      <c r="B1352" s="17" t="n">
        <v>2020</v>
      </c>
      <c r="C1352" s="17" t="n">
        <v>4</v>
      </c>
      <c r="D1352" s="18" t="n">
        <v>3.29</v>
      </c>
      <c r="E1352" s="18">
        <f>IF(D1352="","",D1352*'参数与说明'!$B$6/25.4012)</f>
        <v/>
      </c>
      <c r="F1352" s="19">
        <f>IFERROR(IF(D1352="","",D1352/INDEX($D:$D,MATCH(EDATE($A1352,-1),$A:$A,0))-1),"")</f>
        <v/>
      </c>
      <c r="G1352" s="19">
        <f>IFERROR(IF(D1352="","",D1352/INDEX($D:$D,MATCH(EDATE($A1352,-12),$A:$A,0))-1),"")</f>
        <v/>
      </c>
    </row>
    <row r="1353">
      <c r="A1353" s="12" t="n">
        <v>43952</v>
      </c>
      <c r="B1353" s="13" t="n">
        <v>2020</v>
      </c>
      <c r="C1353" s="13" t="n">
        <v>5</v>
      </c>
      <c r="D1353" s="14" t="n">
        <v>3.2</v>
      </c>
      <c r="E1353" s="14">
        <f>IF(D1353="","",D1353*'参数与说明'!$B$6/25.4012)</f>
        <v/>
      </c>
      <c r="F1353" s="15">
        <f>IFERROR(IF(D1353="","",D1353/INDEX($D:$D,MATCH(EDATE($A1353,-1),$A:$A,0))-1),"")</f>
        <v/>
      </c>
      <c r="G1353" s="15">
        <f>IFERROR(IF(D1353="","",D1353/INDEX($D:$D,MATCH(EDATE($A1353,-12),$A:$A,0))-1),"")</f>
        <v/>
      </c>
    </row>
    <row r="1354">
      <c r="A1354" s="16" t="n">
        <v>43983</v>
      </c>
      <c r="B1354" s="17" t="n">
        <v>2020</v>
      </c>
      <c r="C1354" s="17" t="n">
        <v>6</v>
      </c>
      <c r="D1354" s="18" t="n">
        <v>3.16</v>
      </c>
      <c r="E1354" s="18">
        <f>IF(D1354="","",D1354*'参数与说明'!$B$6/25.4012)</f>
        <v/>
      </c>
      <c r="F1354" s="19">
        <f>IFERROR(IF(D1354="","",D1354/INDEX($D:$D,MATCH(EDATE($A1354,-1),$A:$A,0))-1),"")</f>
        <v/>
      </c>
      <c r="G1354" s="19">
        <f>IFERROR(IF(D1354="","",D1354/INDEX($D:$D,MATCH(EDATE($A1354,-12),$A:$A,0))-1),"")</f>
        <v/>
      </c>
    </row>
    <row r="1355">
      <c r="A1355" s="12" t="n">
        <v>44013</v>
      </c>
      <c r="B1355" s="13" t="n">
        <v>2020</v>
      </c>
      <c r="C1355" s="13" t="n">
        <v>7</v>
      </c>
      <c r="D1355" s="14" t="n">
        <v>3.21</v>
      </c>
      <c r="E1355" s="14">
        <f>IF(D1355="","",D1355*'参数与说明'!$B$6/25.4012)</f>
        <v/>
      </c>
      <c r="F1355" s="15">
        <f>IFERROR(IF(D1355="","",D1355/INDEX($D:$D,MATCH(EDATE($A1355,-1),$A:$A,0))-1),"")</f>
        <v/>
      </c>
      <c r="G1355" s="15">
        <f>IFERROR(IF(D1355="","",D1355/INDEX($D:$D,MATCH(EDATE($A1355,-12),$A:$A,0))-1),"")</f>
        <v/>
      </c>
    </row>
    <row r="1356">
      <c r="A1356" s="16" t="n">
        <v>44044</v>
      </c>
      <c r="B1356" s="17" t="n">
        <v>2020</v>
      </c>
      <c r="C1356" s="17" t="n">
        <v>8</v>
      </c>
      <c r="D1356" s="18" t="n">
        <v>3.12</v>
      </c>
      <c r="E1356" s="18">
        <f>IF(D1356="","",D1356*'参数与说明'!$B$6/25.4012)</f>
        <v/>
      </c>
      <c r="F1356" s="19">
        <f>IFERROR(IF(D1356="","",D1356/INDEX($D:$D,MATCH(EDATE($A1356,-1),$A:$A,0))-1),"")</f>
        <v/>
      </c>
      <c r="G1356" s="19">
        <f>IFERROR(IF(D1356="","",D1356/INDEX($D:$D,MATCH(EDATE($A1356,-12),$A:$A,0))-1),"")</f>
        <v/>
      </c>
    </row>
    <row r="1357">
      <c r="A1357" s="12" t="n">
        <v>44075</v>
      </c>
      <c r="B1357" s="13" t="n">
        <v>2020</v>
      </c>
      <c r="C1357" s="13" t="n">
        <v>9</v>
      </c>
      <c r="D1357" s="14" t="n">
        <v>3.41</v>
      </c>
      <c r="E1357" s="14">
        <f>IF(D1357="","",D1357*'参数与说明'!$B$6/25.4012)</f>
        <v/>
      </c>
      <c r="F1357" s="15">
        <f>IFERROR(IF(D1357="","",D1357/INDEX($D:$D,MATCH(EDATE($A1357,-1),$A:$A,0))-1),"")</f>
        <v/>
      </c>
      <c r="G1357" s="15">
        <f>IFERROR(IF(D1357="","",D1357/INDEX($D:$D,MATCH(EDATE($A1357,-12),$A:$A,0))-1),"")</f>
        <v/>
      </c>
    </row>
    <row r="1358">
      <c r="A1358" s="16" t="n">
        <v>44105</v>
      </c>
      <c r="B1358" s="17" t="n">
        <v>2020</v>
      </c>
      <c r="C1358" s="17" t="n">
        <v>10</v>
      </c>
      <c r="D1358" s="18" t="n">
        <v>3.61</v>
      </c>
      <c r="E1358" s="18">
        <f>IF(D1358="","",D1358*'参数与说明'!$B$6/25.4012)</f>
        <v/>
      </c>
      <c r="F1358" s="19">
        <f>IFERROR(IF(D1358="","",D1358/INDEX($D:$D,MATCH(EDATE($A1358,-1),$A:$A,0))-1),"")</f>
        <v/>
      </c>
      <c r="G1358" s="19">
        <f>IFERROR(IF(D1358="","",D1358/INDEX($D:$D,MATCH(EDATE($A1358,-12),$A:$A,0))-1),"")</f>
        <v/>
      </c>
    </row>
    <row r="1359">
      <c r="A1359" s="12" t="n">
        <v>44136</v>
      </c>
      <c r="B1359" s="13" t="n">
        <v>2020</v>
      </c>
      <c r="C1359" s="13" t="n">
        <v>11</v>
      </c>
      <c r="D1359" s="14" t="n">
        <v>3.79</v>
      </c>
      <c r="E1359" s="14">
        <f>IF(D1359="","",D1359*'参数与说明'!$B$6/25.4012)</f>
        <v/>
      </c>
      <c r="F1359" s="15">
        <f>IFERROR(IF(D1359="","",D1359/INDEX($D:$D,MATCH(EDATE($A1359,-1),$A:$A,0))-1),"")</f>
        <v/>
      </c>
      <c r="G1359" s="15">
        <f>IFERROR(IF(D1359="","",D1359/INDEX($D:$D,MATCH(EDATE($A1359,-12),$A:$A,0))-1),"")</f>
        <v/>
      </c>
    </row>
    <row r="1360">
      <c r="A1360" s="16" t="n">
        <v>44166</v>
      </c>
      <c r="B1360" s="17" t="n">
        <v>2020</v>
      </c>
      <c r="C1360" s="17" t="n">
        <v>12</v>
      </c>
      <c r="D1360" s="18" t="n">
        <v>3.97</v>
      </c>
      <c r="E1360" s="18">
        <f>IF(D1360="","",D1360*'参数与说明'!$B$6/25.4012)</f>
        <v/>
      </c>
      <c r="F1360" s="19">
        <f>IFERROR(IF(D1360="","",D1360/INDEX($D:$D,MATCH(EDATE($A1360,-1),$A:$A,0))-1),"")</f>
        <v/>
      </c>
      <c r="G1360" s="19">
        <f>IFERROR(IF(D1360="","",D1360/INDEX($D:$D,MATCH(EDATE($A1360,-12),$A:$A,0))-1),"")</f>
        <v/>
      </c>
    </row>
    <row r="1361">
      <c r="A1361" s="12" t="n">
        <v>44197</v>
      </c>
      <c r="B1361" s="13" t="n">
        <v>2021</v>
      </c>
      <c r="C1361" s="13" t="n">
        <v>1</v>
      </c>
      <c r="D1361" s="14" t="n">
        <v>4.24</v>
      </c>
      <c r="E1361" s="14">
        <f>IF(D1361="","",D1361*'参数与说明'!$B$6/25.4012)</f>
        <v/>
      </c>
      <c r="F1361" s="15">
        <f>IFERROR(IF(D1361="","",D1361/INDEX($D:$D,MATCH(EDATE($A1361,-1),$A:$A,0))-1),"")</f>
        <v/>
      </c>
      <c r="G1361" s="15">
        <f>IFERROR(IF(D1361="","",D1361/INDEX($D:$D,MATCH(EDATE($A1361,-12),$A:$A,0))-1),"")</f>
        <v/>
      </c>
    </row>
    <row r="1362">
      <c r="A1362" s="16" t="n">
        <v>44228</v>
      </c>
      <c r="B1362" s="17" t="n">
        <v>2021</v>
      </c>
      <c r="C1362" s="17" t="n">
        <v>2</v>
      </c>
      <c r="D1362" s="18" t="n">
        <v>4.75</v>
      </c>
      <c r="E1362" s="18">
        <f>IF(D1362="","",D1362*'参数与说明'!$B$6/25.4012)</f>
        <v/>
      </c>
      <c r="F1362" s="19">
        <f>IFERROR(IF(D1362="","",D1362/INDEX($D:$D,MATCH(EDATE($A1362,-1),$A:$A,0))-1),"")</f>
        <v/>
      </c>
      <c r="G1362" s="19">
        <f>IFERROR(IF(D1362="","",D1362/INDEX($D:$D,MATCH(EDATE($A1362,-12),$A:$A,0))-1),"")</f>
        <v/>
      </c>
    </row>
    <row r="1363">
      <c r="A1363" s="12" t="n">
        <v>44256</v>
      </c>
      <c r="B1363" s="13" t="n">
        <v>2021</v>
      </c>
      <c r="C1363" s="13" t="n">
        <v>3</v>
      </c>
      <c r="D1363" s="14" t="n">
        <v>4.89</v>
      </c>
      <c r="E1363" s="14">
        <f>IF(D1363="","",D1363*'参数与说明'!$B$6/25.4012)</f>
        <v/>
      </c>
      <c r="F1363" s="15">
        <f>IFERROR(IF(D1363="","",D1363/INDEX($D:$D,MATCH(EDATE($A1363,-1),$A:$A,0))-1),"")</f>
        <v/>
      </c>
      <c r="G1363" s="15">
        <f>IFERROR(IF(D1363="","",D1363/INDEX($D:$D,MATCH(EDATE($A1363,-12),$A:$A,0))-1),"")</f>
        <v/>
      </c>
    </row>
    <row r="1364">
      <c r="A1364" s="16" t="n">
        <v>44287</v>
      </c>
      <c r="B1364" s="17" t="n">
        <v>2021</v>
      </c>
      <c r="C1364" s="17" t="n">
        <v>4</v>
      </c>
      <c r="D1364" s="18" t="n">
        <v>5.31</v>
      </c>
      <c r="E1364" s="18">
        <f>IF(D1364="","",D1364*'参数与说明'!$B$6/25.4012)</f>
        <v/>
      </c>
      <c r="F1364" s="19">
        <f>IFERROR(IF(D1364="","",D1364/INDEX($D:$D,MATCH(EDATE($A1364,-1),$A:$A,0))-1),"")</f>
        <v/>
      </c>
      <c r="G1364" s="19">
        <f>IFERROR(IF(D1364="","",D1364/INDEX($D:$D,MATCH(EDATE($A1364,-12),$A:$A,0))-1),"")</f>
        <v/>
      </c>
    </row>
    <row r="1365">
      <c r="A1365" s="12" t="n">
        <v>44317</v>
      </c>
      <c r="B1365" s="13" t="n">
        <v>2021</v>
      </c>
      <c r="C1365" s="13" t="n">
        <v>5</v>
      </c>
      <c r="D1365" s="14" t="n">
        <v>5.91</v>
      </c>
      <c r="E1365" s="14">
        <f>IF(D1365="","",D1365*'参数与说明'!$B$6/25.4012)</f>
        <v/>
      </c>
      <c r="F1365" s="15">
        <f>IFERROR(IF(D1365="","",D1365/INDEX($D:$D,MATCH(EDATE($A1365,-1),$A:$A,0))-1),"")</f>
        <v/>
      </c>
      <c r="G1365" s="15">
        <f>IFERROR(IF(D1365="","",D1365/INDEX($D:$D,MATCH(EDATE($A1365,-12),$A:$A,0))-1),"")</f>
        <v/>
      </c>
    </row>
    <row r="1366">
      <c r="A1366" s="16" t="n">
        <v>44348</v>
      </c>
      <c r="B1366" s="17" t="n">
        <v>2021</v>
      </c>
      <c r="C1366" s="17" t="n">
        <v>6</v>
      </c>
      <c r="D1366" s="18" t="n">
        <v>6</v>
      </c>
      <c r="E1366" s="18">
        <f>IF(D1366="","",D1366*'参数与说明'!$B$6/25.4012)</f>
        <v/>
      </c>
      <c r="F1366" s="19">
        <f>IFERROR(IF(D1366="","",D1366/INDEX($D:$D,MATCH(EDATE($A1366,-1),$A:$A,0))-1),"")</f>
        <v/>
      </c>
      <c r="G1366" s="19">
        <f>IFERROR(IF(D1366="","",D1366/INDEX($D:$D,MATCH(EDATE($A1366,-12),$A:$A,0))-1),"")</f>
        <v/>
      </c>
    </row>
    <row r="1367">
      <c r="A1367" s="12" t="n">
        <v>44378</v>
      </c>
      <c r="B1367" s="13" t="n">
        <v>2021</v>
      </c>
      <c r="C1367" s="13" t="n">
        <v>7</v>
      </c>
      <c r="D1367" s="14" t="n">
        <v>6.12</v>
      </c>
      <c r="E1367" s="14">
        <f>IF(D1367="","",D1367*'参数与说明'!$B$6/25.4012)</f>
        <v/>
      </c>
      <c r="F1367" s="15">
        <f>IFERROR(IF(D1367="","",D1367/INDEX($D:$D,MATCH(EDATE($A1367,-1),$A:$A,0))-1),"")</f>
        <v/>
      </c>
      <c r="G1367" s="15">
        <f>IFERROR(IF(D1367="","",D1367/INDEX($D:$D,MATCH(EDATE($A1367,-12),$A:$A,0))-1),"")</f>
        <v/>
      </c>
    </row>
    <row r="1368">
      <c r="A1368" s="16" t="n">
        <v>44409</v>
      </c>
      <c r="B1368" s="17" t="n">
        <v>2021</v>
      </c>
      <c r="C1368" s="17" t="n">
        <v>8</v>
      </c>
      <c r="D1368" s="18" t="n">
        <v>6.32</v>
      </c>
      <c r="E1368" s="18">
        <f>IF(D1368="","",D1368*'参数与说明'!$B$6/25.4012)</f>
        <v/>
      </c>
      <c r="F1368" s="19">
        <f>IFERROR(IF(D1368="","",D1368/INDEX($D:$D,MATCH(EDATE($A1368,-1),$A:$A,0))-1),"")</f>
        <v/>
      </c>
      <c r="G1368" s="19">
        <f>IFERROR(IF(D1368="","",D1368/INDEX($D:$D,MATCH(EDATE($A1368,-12),$A:$A,0))-1),"")</f>
        <v/>
      </c>
    </row>
    <row r="1369">
      <c r="A1369" s="12" t="n">
        <v>44440</v>
      </c>
      <c r="B1369" s="13" t="n">
        <v>2021</v>
      </c>
      <c r="C1369" s="13" t="n">
        <v>9</v>
      </c>
      <c r="D1369" s="14" t="n">
        <v>5.47</v>
      </c>
      <c r="E1369" s="14">
        <f>IF(D1369="","",D1369*'参数与说明'!$B$6/25.4012)</f>
        <v/>
      </c>
      <c r="F1369" s="15">
        <f>IFERROR(IF(D1369="","",D1369/INDEX($D:$D,MATCH(EDATE($A1369,-1),$A:$A,0))-1),"")</f>
        <v/>
      </c>
      <c r="G1369" s="15">
        <f>IFERROR(IF(D1369="","",D1369/INDEX($D:$D,MATCH(EDATE($A1369,-12),$A:$A,0))-1),"")</f>
        <v/>
      </c>
    </row>
    <row r="1370">
      <c r="A1370" s="16" t="n">
        <v>44470</v>
      </c>
      <c r="B1370" s="17" t="n">
        <v>2021</v>
      </c>
      <c r="C1370" s="17" t="n">
        <v>10</v>
      </c>
      <c r="D1370" s="18" t="n">
        <v>5.02</v>
      </c>
      <c r="E1370" s="18">
        <f>IF(D1370="","",D1370*'参数与说明'!$B$6/25.4012)</f>
        <v/>
      </c>
      <c r="F1370" s="19">
        <f>IFERROR(IF(D1370="","",D1370/INDEX($D:$D,MATCH(EDATE($A1370,-1),$A:$A,0))-1),"")</f>
        <v/>
      </c>
      <c r="G1370" s="19">
        <f>IFERROR(IF(D1370="","",D1370/INDEX($D:$D,MATCH(EDATE($A1370,-12),$A:$A,0))-1),"")</f>
        <v/>
      </c>
    </row>
    <row r="1371">
      <c r="A1371" s="12" t="n">
        <v>44501</v>
      </c>
      <c r="B1371" s="13" t="n">
        <v>2021</v>
      </c>
      <c r="C1371" s="13" t="n">
        <v>11</v>
      </c>
      <c r="D1371" s="14" t="n">
        <v>5.26</v>
      </c>
      <c r="E1371" s="14">
        <f>IF(D1371="","",D1371*'参数与说明'!$B$6/25.4012)</f>
        <v/>
      </c>
      <c r="F1371" s="15">
        <f>IFERROR(IF(D1371="","",D1371/INDEX($D:$D,MATCH(EDATE($A1371,-1),$A:$A,0))-1),"")</f>
        <v/>
      </c>
      <c r="G1371" s="15">
        <f>IFERROR(IF(D1371="","",D1371/INDEX($D:$D,MATCH(EDATE($A1371,-12),$A:$A,0))-1),"")</f>
        <v/>
      </c>
    </row>
    <row r="1372">
      <c r="A1372" s="16" t="n">
        <v>44531</v>
      </c>
      <c r="B1372" s="17" t="n">
        <v>2021</v>
      </c>
      <c r="C1372" s="17" t="n">
        <v>12</v>
      </c>
      <c r="D1372" s="18" t="n">
        <v>5.47</v>
      </c>
      <c r="E1372" s="18">
        <f>IF(D1372="","",D1372*'参数与说明'!$B$6/25.4012)</f>
        <v/>
      </c>
      <c r="F1372" s="19">
        <f>IFERROR(IF(D1372="","",D1372/INDEX($D:$D,MATCH(EDATE($A1372,-1),$A:$A,0))-1),"")</f>
        <v/>
      </c>
      <c r="G1372" s="19">
        <f>IFERROR(IF(D1372="","",D1372/INDEX($D:$D,MATCH(EDATE($A1372,-12),$A:$A,0))-1),"")</f>
        <v/>
      </c>
    </row>
    <row r="1373">
      <c r="A1373" s="12" t="n">
        <v>44562</v>
      </c>
      <c r="B1373" s="13" t="n">
        <v>2022</v>
      </c>
      <c r="C1373" s="13" t="n">
        <v>1</v>
      </c>
      <c r="D1373" s="14" t="n">
        <v>5.58</v>
      </c>
      <c r="E1373" s="14">
        <f>IF(D1373="","",D1373*'参数与说明'!$B$6/25.4012)</f>
        <v/>
      </c>
      <c r="F1373" s="15">
        <f>IFERROR(IF(D1373="","",D1373/INDEX($D:$D,MATCH(EDATE($A1373,-1),$A:$A,0))-1),"")</f>
        <v/>
      </c>
      <c r="G1373" s="15">
        <f>IFERROR(IF(D1373="","",D1373/INDEX($D:$D,MATCH(EDATE($A1373,-12),$A:$A,0))-1),"")</f>
        <v/>
      </c>
    </row>
    <row r="1374">
      <c r="A1374" s="16" t="n">
        <v>44593</v>
      </c>
      <c r="B1374" s="17" t="n">
        <v>2022</v>
      </c>
      <c r="C1374" s="17" t="n">
        <v>2</v>
      </c>
      <c r="D1374" s="18" t="n">
        <v>6.09</v>
      </c>
      <c r="E1374" s="18">
        <f>IF(D1374="","",D1374*'参数与说明'!$B$6/25.4012)</f>
        <v/>
      </c>
      <c r="F1374" s="19">
        <f>IFERROR(IF(D1374="","",D1374/INDEX($D:$D,MATCH(EDATE($A1374,-1),$A:$A,0))-1),"")</f>
        <v/>
      </c>
      <c r="G1374" s="19">
        <f>IFERROR(IF(D1374="","",D1374/INDEX($D:$D,MATCH(EDATE($A1374,-12),$A:$A,0))-1),"")</f>
        <v/>
      </c>
    </row>
    <row r="1375">
      <c r="A1375" s="12" t="n">
        <v>44621</v>
      </c>
      <c r="B1375" s="13" t="n">
        <v>2022</v>
      </c>
      <c r="C1375" s="13" t="n">
        <v>3</v>
      </c>
      <c r="D1375" s="14" t="n">
        <v>6.56</v>
      </c>
      <c r="E1375" s="14">
        <f>IF(D1375="","",D1375*'参数与说明'!$B$6/25.4012)</f>
        <v/>
      </c>
      <c r="F1375" s="15">
        <f>IFERROR(IF(D1375="","",D1375/INDEX($D:$D,MATCH(EDATE($A1375,-1),$A:$A,0))-1),"")</f>
        <v/>
      </c>
      <c r="G1375" s="15">
        <f>IFERROR(IF(D1375="","",D1375/INDEX($D:$D,MATCH(EDATE($A1375,-12),$A:$A,0))-1),"")</f>
        <v/>
      </c>
    </row>
    <row r="1376">
      <c r="A1376" s="16" t="n">
        <v>44652</v>
      </c>
      <c r="B1376" s="17" t="n">
        <v>2022</v>
      </c>
      <c r="C1376" s="17" t="n">
        <v>4</v>
      </c>
      <c r="D1376" s="18" t="n">
        <v>7.07</v>
      </c>
      <c r="E1376" s="18">
        <f>IF(D1376="","",D1376*'参数与说明'!$B$6/25.4012)</f>
        <v/>
      </c>
      <c r="F1376" s="19">
        <f>IFERROR(IF(D1376="","",D1376/INDEX($D:$D,MATCH(EDATE($A1376,-1),$A:$A,0))-1),"")</f>
        <v/>
      </c>
      <c r="G1376" s="19">
        <f>IFERROR(IF(D1376="","",D1376/INDEX($D:$D,MATCH(EDATE($A1376,-12),$A:$A,0))-1),"")</f>
        <v/>
      </c>
    </row>
    <row r="1377">
      <c r="A1377" s="12" t="n">
        <v>44682</v>
      </c>
      <c r="B1377" s="13" t="n">
        <v>2022</v>
      </c>
      <c r="C1377" s="13" t="n">
        <v>5</v>
      </c>
      <c r="D1377" s="14" t="n">
        <v>7.26</v>
      </c>
      <c r="E1377" s="14">
        <f>IF(D1377="","",D1377*'参数与说明'!$B$6/25.4012)</f>
        <v/>
      </c>
      <c r="F1377" s="15">
        <f>IFERROR(IF(D1377="","",D1377/INDEX($D:$D,MATCH(EDATE($A1377,-1),$A:$A,0))-1),"")</f>
        <v/>
      </c>
      <c r="G1377" s="15">
        <f>IFERROR(IF(D1377="","",D1377/INDEX($D:$D,MATCH(EDATE($A1377,-12),$A:$A,0))-1),"")</f>
        <v/>
      </c>
    </row>
    <row r="1378">
      <c r="A1378" s="16" t="n">
        <v>44713</v>
      </c>
      <c r="B1378" s="17" t="n">
        <v>2022</v>
      </c>
      <c r="C1378" s="17" t="n">
        <v>6</v>
      </c>
      <c r="D1378" s="18" t="n">
        <v>7.38</v>
      </c>
      <c r="E1378" s="18">
        <f>IF(D1378="","",D1378*'参数与说明'!$B$6/25.4012)</f>
        <v/>
      </c>
      <c r="F1378" s="19">
        <f>IFERROR(IF(D1378="","",D1378/INDEX($D:$D,MATCH(EDATE($A1378,-1),$A:$A,0))-1),"")</f>
        <v/>
      </c>
      <c r="G1378" s="19">
        <f>IFERROR(IF(D1378="","",D1378/INDEX($D:$D,MATCH(EDATE($A1378,-12),$A:$A,0))-1),"")</f>
        <v/>
      </c>
    </row>
    <row r="1379">
      <c r="A1379" s="12" t="n">
        <v>44743</v>
      </c>
      <c r="B1379" s="13" t="n">
        <v>2022</v>
      </c>
      <c r="C1379" s="13" t="n">
        <v>7</v>
      </c>
      <c r="D1379" s="14" t="n">
        <v>7.25</v>
      </c>
      <c r="E1379" s="14">
        <f>IF(D1379="","",D1379*'参数与说明'!$B$6/25.4012)</f>
        <v/>
      </c>
      <c r="F1379" s="15">
        <f>IFERROR(IF(D1379="","",D1379/INDEX($D:$D,MATCH(EDATE($A1379,-1),$A:$A,0))-1),"")</f>
        <v/>
      </c>
      <c r="G1379" s="15">
        <f>IFERROR(IF(D1379="","",D1379/INDEX($D:$D,MATCH(EDATE($A1379,-12),$A:$A,0))-1),"")</f>
        <v/>
      </c>
    </row>
    <row r="1380">
      <c r="A1380" s="16" t="n">
        <v>44774</v>
      </c>
      <c r="B1380" s="17" t="n">
        <v>2022</v>
      </c>
      <c r="C1380" s="17" t="n">
        <v>8</v>
      </c>
      <c r="D1380" s="18" t="n">
        <v>7.24</v>
      </c>
      <c r="E1380" s="18">
        <f>IF(D1380="","",D1380*'参数与说明'!$B$6/25.4012)</f>
        <v/>
      </c>
      <c r="F1380" s="19">
        <f>IFERROR(IF(D1380="","",D1380/INDEX($D:$D,MATCH(EDATE($A1380,-1),$A:$A,0))-1),"")</f>
        <v/>
      </c>
      <c r="G1380" s="19">
        <f>IFERROR(IF(D1380="","",D1380/INDEX($D:$D,MATCH(EDATE($A1380,-12),$A:$A,0))-1),"")</f>
        <v/>
      </c>
    </row>
    <row r="1381">
      <c r="A1381" s="12" t="n">
        <v>44805</v>
      </c>
      <c r="B1381" s="13" t="n">
        <v>2022</v>
      </c>
      <c r="C1381" s="13" t="n">
        <v>9</v>
      </c>
      <c r="D1381" s="14" t="n">
        <v>7.09</v>
      </c>
      <c r="E1381" s="14">
        <f>IF(D1381="","",D1381*'参数与说明'!$B$6/25.4012)</f>
        <v/>
      </c>
      <c r="F1381" s="15">
        <f>IFERROR(IF(D1381="","",D1381/INDEX($D:$D,MATCH(EDATE($A1381,-1),$A:$A,0))-1),"")</f>
        <v/>
      </c>
      <c r="G1381" s="15">
        <f>IFERROR(IF(D1381="","",D1381/INDEX($D:$D,MATCH(EDATE($A1381,-12),$A:$A,0))-1),"")</f>
        <v/>
      </c>
    </row>
    <row r="1382">
      <c r="A1382" s="16" t="n">
        <v>44835</v>
      </c>
      <c r="B1382" s="17" t="n">
        <v>2022</v>
      </c>
      <c r="C1382" s="17" t="n">
        <v>10</v>
      </c>
      <c r="D1382" s="18" t="n">
        <v>6.49</v>
      </c>
      <c r="E1382" s="18">
        <f>IF(D1382="","",D1382*'参数与说明'!$B$6/25.4012)</f>
        <v/>
      </c>
      <c r="F1382" s="19">
        <f>IFERROR(IF(D1382="","",D1382/INDEX($D:$D,MATCH(EDATE($A1382,-1),$A:$A,0))-1),"")</f>
        <v/>
      </c>
      <c r="G1382" s="19">
        <f>IFERROR(IF(D1382="","",D1382/INDEX($D:$D,MATCH(EDATE($A1382,-12),$A:$A,0))-1),"")</f>
        <v/>
      </c>
    </row>
    <row r="1383">
      <c r="A1383" s="12" t="n">
        <v>44866</v>
      </c>
      <c r="B1383" s="13" t="n">
        <v>2022</v>
      </c>
      <c r="C1383" s="13" t="n">
        <v>11</v>
      </c>
      <c r="D1383" s="14" t="n">
        <v>6.49</v>
      </c>
      <c r="E1383" s="14">
        <f>IF(D1383="","",D1383*'参数与说明'!$B$6/25.4012)</f>
        <v/>
      </c>
      <c r="F1383" s="15">
        <f>IFERROR(IF(D1383="","",D1383/INDEX($D:$D,MATCH(EDATE($A1383,-1),$A:$A,0))-1),"")</f>
        <v/>
      </c>
      <c r="G1383" s="15">
        <f>IFERROR(IF(D1383="","",D1383/INDEX($D:$D,MATCH(EDATE($A1383,-12),$A:$A,0))-1),"")</f>
        <v/>
      </c>
    </row>
    <row r="1384">
      <c r="A1384" s="16" t="n">
        <v>44896</v>
      </c>
      <c r="B1384" s="17" t="n">
        <v>2022</v>
      </c>
      <c r="C1384" s="17" t="n">
        <v>12</v>
      </c>
      <c r="D1384" s="18" t="n">
        <v>6.58</v>
      </c>
      <c r="E1384" s="18">
        <f>IF(D1384="","",D1384*'参数与说明'!$B$6/25.4012)</f>
        <v/>
      </c>
      <c r="F1384" s="19">
        <f>IFERROR(IF(D1384="","",D1384/INDEX($D:$D,MATCH(EDATE($A1384,-1),$A:$A,0))-1),"")</f>
        <v/>
      </c>
      <c r="G1384" s="19">
        <f>IFERROR(IF(D1384="","",D1384/INDEX($D:$D,MATCH(EDATE($A1384,-12),$A:$A,0))-1),"")</f>
        <v/>
      </c>
    </row>
    <row r="1385">
      <c r="A1385" s="12" t="n">
        <v>44927</v>
      </c>
      <c r="B1385" s="13" t="n">
        <v>2023</v>
      </c>
      <c r="C1385" s="13" t="n">
        <v>1</v>
      </c>
      <c r="D1385" s="14" t="n">
        <v>6.63</v>
      </c>
      <c r="E1385" s="14">
        <f>IF(D1385="","",D1385*'参数与说明'!$B$6/25.4012)</f>
        <v/>
      </c>
      <c r="F1385" s="15">
        <f>IFERROR(IF(D1385="","",D1385/INDEX($D:$D,MATCH(EDATE($A1385,-1),$A:$A,0))-1),"")</f>
        <v/>
      </c>
      <c r="G1385" s="15">
        <f>IFERROR(IF(D1385="","",D1385/INDEX($D:$D,MATCH(EDATE($A1385,-12),$A:$A,0))-1),"")</f>
        <v/>
      </c>
    </row>
    <row r="1386">
      <c r="A1386" s="16" t="n">
        <v>44958</v>
      </c>
      <c r="B1386" s="17" t="n">
        <v>2023</v>
      </c>
      <c r="C1386" s="17" t="n">
        <v>2</v>
      </c>
      <c r="D1386" s="18" t="n">
        <v>6.8</v>
      </c>
      <c r="E1386" s="18">
        <f>IF(D1386="","",D1386*'参数与说明'!$B$6/25.4012)</f>
        <v/>
      </c>
      <c r="F1386" s="19">
        <f>IFERROR(IF(D1386="","",D1386/INDEX($D:$D,MATCH(EDATE($A1386,-1),$A:$A,0))-1),"")</f>
        <v/>
      </c>
      <c r="G1386" s="19">
        <f>IFERROR(IF(D1386="","",D1386/INDEX($D:$D,MATCH(EDATE($A1386,-12),$A:$A,0))-1),"")</f>
        <v/>
      </c>
    </row>
    <row r="1387">
      <c r="A1387" s="12" t="n">
        <v>44986</v>
      </c>
      <c r="B1387" s="13" t="n">
        <v>2023</v>
      </c>
      <c r="C1387" s="13" t="n">
        <v>3</v>
      </c>
      <c r="D1387" s="14" t="n">
        <v>6.67</v>
      </c>
      <c r="E1387" s="14">
        <f>IF(D1387="","",D1387*'参数与说明'!$B$6/25.4012)</f>
        <v/>
      </c>
      <c r="F1387" s="15">
        <f>IFERROR(IF(D1387="","",D1387/INDEX($D:$D,MATCH(EDATE($A1387,-1),$A:$A,0))-1),"")</f>
        <v/>
      </c>
      <c r="G1387" s="15">
        <f>IFERROR(IF(D1387="","",D1387/INDEX($D:$D,MATCH(EDATE($A1387,-12),$A:$A,0))-1),"")</f>
        <v/>
      </c>
    </row>
    <row r="1388">
      <c r="A1388" s="16" t="n">
        <v>45017</v>
      </c>
      <c r="B1388" s="17" t="n">
        <v>2023</v>
      </c>
      <c r="C1388" s="17" t="n">
        <v>4</v>
      </c>
      <c r="D1388" s="18" t="n">
        <v>6.7</v>
      </c>
      <c r="E1388" s="18">
        <f>IF(D1388="","",D1388*'参数与说明'!$B$6/25.4012)</f>
        <v/>
      </c>
      <c r="F1388" s="19">
        <f>IFERROR(IF(D1388="","",D1388/INDEX($D:$D,MATCH(EDATE($A1388,-1),$A:$A,0))-1),"")</f>
        <v/>
      </c>
      <c r="G1388" s="19">
        <f>IFERROR(IF(D1388="","",D1388/INDEX($D:$D,MATCH(EDATE($A1388,-12),$A:$A,0))-1),"")</f>
        <v/>
      </c>
    </row>
    <row r="1389">
      <c r="A1389" s="12" t="n">
        <v>45047</v>
      </c>
      <c r="B1389" s="13" t="n">
        <v>2023</v>
      </c>
      <c r="C1389" s="13" t="n">
        <v>5</v>
      </c>
      <c r="D1389" s="14" t="n">
        <v>6.54</v>
      </c>
      <c r="E1389" s="14">
        <f>IF(D1389="","",D1389*'参数与说明'!$B$6/25.4012)</f>
        <v/>
      </c>
      <c r="F1389" s="15">
        <f>IFERROR(IF(D1389="","",D1389/INDEX($D:$D,MATCH(EDATE($A1389,-1),$A:$A,0))-1),"")</f>
        <v/>
      </c>
      <c r="G1389" s="15">
        <f>IFERROR(IF(D1389="","",D1389/INDEX($D:$D,MATCH(EDATE($A1389,-12),$A:$A,0))-1),"")</f>
        <v/>
      </c>
    </row>
    <row r="1390">
      <c r="A1390" s="16" t="n">
        <v>45078</v>
      </c>
      <c r="B1390" s="17" t="n">
        <v>2023</v>
      </c>
      <c r="C1390" s="17" t="n">
        <v>6</v>
      </c>
      <c r="D1390" s="18" t="n">
        <v>6.49</v>
      </c>
      <c r="E1390" s="18">
        <f>IF(D1390="","",D1390*'参数与说明'!$B$6/25.4012)</f>
        <v/>
      </c>
      <c r="F1390" s="19">
        <f>IFERROR(IF(D1390="","",D1390/INDEX($D:$D,MATCH(EDATE($A1390,-1),$A:$A,0))-1),"")</f>
        <v/>
      </c>
      <c r="G1390" s="19">
        <f>IFERROR(IF(D1390="","",D1390/INDEX($D:$D,MATCH(EDATE($A1390,-12),$A:$A,0))-1),"")</f>
        <v/>
      </c>
    </row>
    <row r="1391">
      <c r="A1391" s="12" t="n">
        <v>45108</v>
      </c>
      <c r="B1391" s="13" t="n">
        <v>2023</v>
      </c>
      <c r="C1391" s="13" t="n">
        <v>7</v>
      </c>
      <c r="D1391" s="14" t="n">
        <v>6.22</v>
      </c>
      <c r="E1391" s="14">
        <f>IF(D1391="","",D1391*'参数与说明'!$B$6/25.4012)</f>
        <v/>
      </c>
      <c r="F1391" s="15">
        <f>IFERROR(IF(D1391="","",D1391/INDEX($D:$D,MATCH(EDATE($A1391,-1),$A:$A,0))-1),"")</f>
        <v/>
      </c>
      <c r="G1391" s="15">
        <f>IFERROR(IF(D1391="","",D1391/INDEX($D:$D,MATCH(EDATE($A1391,-12),$A:$A,0))-1),"")</f>
        <v/>
      </c>
    </row>
    <row r="1392">
      <c r="A1392" s="16" t="n">
        <v>45139</v>
      </c>
      <c r="B1392" s="17" t="n">
        <v>2023</v>
      </c>
      <c r="C1392" s="17" t="n">
        <v>8</v>
      </c>
      <c r="D1392" s="18" t="n">
        <v>5.73</v>
      </c>
      <c r="E1392" s="18">
        <f>IF(D1392="","",D1392*'参数与说明'!$B$6/25.4012)</f>
        <v/>
      </c>
      <c r="F1392" s="19">
        <f>IFERROR(IF(D1392="","",D1392/INDEX($D:$D,MATCH(EDATE($A1392,-1),$A:$A,0))-1),"")</f>
        <v/>
      </c>
      <c r="G1392" s="19">
        <f>IFERROR(IF(D1392="","",D1392/INDEX($D:$D,MATCH(EDATE($A1392,-12),$A:$A,0))-1),"")</f>
        <v/>
      </c>
    </row>
    <row r="1393">
      <c r="A1393" s="12" t="n">
        <v>45170</v>
      </c>
      <c r="B1393" s="13" t="n">
        <v>2023</v>
      </c>
      <c r="C1393" s="13" t="n">
        <v>9</v>
      </c>
      <c r="D1393" s="14" t="n">
        <v>5.21</v>
      </c>
      <c r="E1393" s="14">
        <f>IF(D1393="","",D1393*'参数与说明'!$B$6/25.4012)</f>
        <v/>
      </c>
      <c r="F1393" s="15">
        <f>IFERROR(IF(D1393="","",D1393/INDEX($D:$D,MATCH(EDATE($A1393,-1),$A:$A,0))-1),"")</f>
        <v/>
      </c>
      <c r="G1393" s="15">
        <f>IFERROR(IF(D1393="","",D1393/INDEX($D:$D,MATCH(EDATE($A1393,-12),$A:$A,0))-1),"")</f>
        <v/>
      </c>
    </row>
    <row r="1394">
      <c r="A1394" s="16" t="n">
        <v>45200</v>
      </c>
      <c r="B1394" s="17" t="n">
        <v>2023</v>
      </c>
      <c r="C1394" s="17" t="n">
        <v>10</v>
      </c>
      <c r="D1394" s="18" t="n">
        <v>4.93</v>
      </c>
      <c r="E1394" s="18">
        <f>IF(D1394="","",D1394*'参数与说明'!$B$6/25.4012)</f>
        <v/>
      </c>
      <c r="F1394" s="19">
        <f>IFERROR(IF(D1394="","",D1394/INDEX($D:$D,MATCH(EDATE($A1394,-1),$A:$A,0))-1),"")</f>
        <v/>
      </c>
      <c r="G1394" s="19">
        <f>IFERROR(IF(D1394="","",D1394/INDEX($D:$D,MATCH(EDATE($A1394,-12),$A:$A,0))-1),"")</f>
        <v/>
      </c>
    </row>
    <row r="1395">
      <c r="A1395" s="12" t="n">
        <v>45231</v>
      </c>
      <c r="B1395" s="13" t="n">
        <v>2023</v>
      </c>
      <c r="C1395" s="13" t="n">
        <v>11</v>
      </c>
      <c r="D1395" s="14" t="n">
        <v>4.66</v>
      </c>
      <c r="E1395" s="14">
        <f>IF(D1395="","",D1395*'参数与说明'!$B$6/25.4012)</f>
        <v/>
      </c>
      <c r="F1395" s="15">
        <f>IFERROR(IF(D1395="","",D1395/INDEX($D:$D,MATCH(EDATE($A1395,-1),$A:$A,0))-1),"")</f>
        <v/>
      </c>
      <c r="G1395" s="15">
        <f>IFERROR(IF(D1395="","",D1395/INDEX($D:$D,MATCH(EDATE($A1395,-12),$A:$A,0))-1),"")</f>
        <v/>
      </c>
    </row>
    <row r="1396">
      <c r="A1396" s="16" t="n">
        <v>45261</v>
      </c>
      <c r="B1396" s="17" t="n">
        <v>2023</v>
      </c>
      <c r="C1396" s="17" t="n">
        <v>12</v>
      </c>
      <c r="D1396" s="18" t="n">
        <v>4.8</v>
      </c>
      <c r="E1396" s="18">
        <f>IF(D1396="","",D1396*'参数与说明'!$B$6/25.4012)</f>
        <v/>
      </c>
      <c r="F1396" s="19">
        <f>IFERROR(IF(D1396="","",D1396/INDEX($D:$D,MATCH(EDATE($A1396,-1),$A:$A,0))-1),"")</f>
        <v/>
      </c>
      <c r="G1396" s="19">
        <f>IFERROR(IF(D1396="","",D1396/INDEX($D:$D,MATCH(EDATE($A1396,-12),$A:$A,0))-1),"")</f>
        <v/>
      </c>
    </row>
    <row r="1397">
      <c r="A1397" s="12" t="n">
        <v>45292</v>
      </c>
      <c r="B1397" s="13" t="n">
        <v>2024</v>
      </c>
      <c r="C1397" s="13" t="n">
        <v>1</v>
      </c>
      <c r="D1397" s="14" t="n">
        <v>4.74</v>
      </c>
      <c r="E1397" s="14">
        <f>IF(D1397="","",D1397*'参数与说明'!$B$6/25.4012)</f>
        <v/>
      </c>
      <c r="F1397" s="15">
        <f>IFERROR(IF(D1397="","",D1397/INDEX($D:$D,MATCH(EDATE($A1397,-1),$A:$A,0))-1),"")</f>
        <v/>
      </c>
      <c r="G1397" s="15">
        <f>IFERROR(IF(D1397="","",D1397/INDEX($D:$D,MATCH(EDATE($A1397,-12),$A:$A,0))-1),"")</f>
        <v/>
      </c>
    </row>
    <row r="1398">
      <c r="A1398" s="16" t="n">
        <v>45323</v>
      </c>
      <c r="B1398" s="17" t="n">
        <v>2024</v>
      </c>
      <c r="C1398" s="17" t="n">
        <v>2</v>
      </c>
      <c r="D1398" s="18" t="n">
        <v>4.36</v>
      </c>
      <c r="E1398" s="18">
        <f>IF(D1398="","",D1398*'参数与说明'!$B$6/25.4012)</f>
        <v/>
      </c>
      <c r="F1398" s="19">
        <f>IFERROR(IF(D1398="","",D1398/INDEX($D:$D,MATCH(EDATE($A1398,-1),$A:$A,0))-1),"")</f>
        <v/>
      </c>
      <c r="G1398" s="19">
        <f>IFERROR(IF(D1398="","",D1398/INDEX($D:$D,MATCH(EDATE($A1398,-12),$A:$A,0))-1),"")</f>
        <v/>
      </c>
    </row>
    <row r="1399">
      <c r="A1399" s="12" t="n">
        <v>45352</v>
      </c>
      <c r="B1399" s="13" t="n">
        <v>2024</v>
      </c>
      <c r="C1399" s="13" t="n">
        <v>3</v>
      </c>
      <c r="D1399" s="14" t="n">
        <v>4.36</v>
      </c>
      <c r="E1399" s="14">
        <f>IF(D1399="","",D1399*'参数与说明'!$B$6/25.4012)</f>
        <v/>
      </c>
      <c r="F1399" s="15">
        <f>IFERROR(IF(D1399="","",D1399/INDEX($D:$D,MATCH(EDATE($A1399,-1),$A:$A,0))-1),"")</f>
        <v/>
      </c>
      <c r="G1399" s="15">
        <f>IFERROR(IF(D1399="","",D1399/INDEX($D:$D,MATCH(EDATE($A1399,-12),$A:$A,0))-1),"")</f>
        <v/>
      </c>
    </row>
    <row r="1400">
      <c r="A1400" s="16" t="n">
        <v>45383</v>
      </c>
      <c r="B1400" s="17" t="n">
        <v>2024</v>
      </c>
      <c r="C1400" s="17" t="n">
        <v>4</v>
      </c>
      <c r="D1400" s="18" t="n">
        <v>4.39</v>
      </c>
      <c r="E1400" s="18">
        <f>IF(D1400="","",D1400*'参数与说明'!$B$6/25.4012)</f>
        <v/>
      </c>
      <c r="F1400" s="19">
        <f>IFERROR(IF(D1400="","",D1400/INDEX($D:$D,MATCH(EDATE($A1400,-1),$A:$A,0))-1),"")</f>
        <v/>
      </c>
      <c r="G1400" s="19">
        <f>IFERROR(IF(D1400="","",D1400/INDEX($D:$D,MATCH(EDATE($A1400,-12),$A:$A,0))-1),"")</f>
        <v/>
      </c>
    </row>
    <row r="1401">
      <c r="A1401" s="12" t="n">
        <v>45413</v>
      </c>
      <c r="B1401" s="13" t="n">
        <v>2024</v>
      </c>
      <c r="C1401" s="13" t="n">
        <v>5</v>
      </c>
      <c r="D1401" s="14" t="n">
        <v>4.51</v>
      </c>
      <c r="E1401" s="14">
        <f>IF(D1401="","",D1401*'参数与说明'!$B$6/25.4012)</f>
        <v/>
      </c>
      <c r="F1401" s="15">
        <f>IFERROR(IF(D1401="","",D1401/INDEX($D:$D,MATCH(EDATE($A1401,-1),$A:$A,0))-1),"")</f>
        <v/>
      </c>
      <c r="G1401" s="15">
        <f>IFERROR(IF(D1401="","",D1401/INDEX($D:$D,MATCH(EDATE($A1401,-12),$A:$A,0))-1),"")</f>
        <v/>
      </c>
    </row>
    <row r="1402">
      <c r="A1402" s="16" t="n">
        <v>45444</v>
      </c>
      <c r="B1402" s="17" t="n">
        <v>2024</v>
      </c>
      <c r="C1402" s="17" t="n">
        <v>6</v>
      </c>
      <c r="D1402" s="18" t="n">
        <v>4.48</v>
      </c>
      <c r="E1402" s="18">
        <f>IF(D1402="","",D1402*'参数与说明'!$B$6/25.4012)</f>
        <v/>
      </c>
      <c r="F1402" s="19">
        <f>IFERROR(IF(D1402="","",D1402/INDEX($D:$D,MATCH(EDATE($A1402,-1),$A:$A,0))-1),"")</f>
        <v/>
      </c>
      <c r="G1402" s="19">
        <f>IFERROR(IF(D1402="","",D1402/INDEX($D:$D,MATCH(EDATE($A1402,-12),$A:$A,0))-1),"")</f>
        <v/>
      </c>
    </row>
    <row r="1403">
      <c r="A1403" s="12" t="n">
        <v>45474</v>
      </c>
      <c r="B1403" s="13" t="n">
        <v>2024</v>
      </c>
      <c r="C1403" s="13" t="n">
        <v>7</v>
      </c>
      <c r="D1403" s="14" t="n">
        <v>4.23</v>
      </c>
      <c r="E1403" s="14">
        <f>IF(D1403="","",D1403*'参数与说明'!$B$6/25.4012)</f>
        <v/>
      </c>
      <c r="F1403" s="15">
        <f>IFERROR(IF(D1403="","",D1403/INDEX($D:$D,MATCH(EDATE($A1403,-1),$A:$A,0))-1),"")</f>
        <v/>
      </c>
      <c r="G1403" s="15">
        <f>IFERROR(IF(D1403="","",D1403/INDEX($D:$D,MATCH(EDATE($A1403,-12),$A:$A,0))-1),"")</f>
        <v/>
      </c>
    </row>
    <row r="1404">
      <c r="A1404" s="16" t="n">
        <v>45505</v>
      </c>
      <c r="B1404" s="17" t="n">
        <v>2024</v>
      </c>
      <c r="C1404" s="17" t="n">
        <v>8</v>
      </c>
      <c r="D1404" s="18" t="n">
        <v>3.84</v>
      </c>
      <c r="E1404" s="18">
        <f>IF(D1404="","",D1404*'参数与说明'!$B$6/25.4012)</f>
        <v/>
      </c>
      <c r="F1404" s="19">
        <f>IFERROR(IF(D1404="","",D1404/INDEX($D:$D,MATCH(EDATE($A1404,-1),$A:$A,0))-1),"")</f>
        <v/>
      </c>
      <c r="G1404" s="19">
        <f>IFERROR(IF(D1404="","",D1404/INDEX($D:$D,MATCH(EDATE($A1404,-12),$A:$A,0))-1),"")</f>
        <v/>
      </c>
    </row>
    <row r="1405">
      <c r="A1405" s="12" t="n">
        <v>45536</v>
      </c>
      <c r="B1405" s="13" t="n">
        <v>2024</v>
      </c>
      <c r="C1405" s="13" t="n">
        <v>9</v>
      </c>
      <c r="D1405" s="14" t="n">
        <v>3.97</v>
      </c>
      <c r="E1405" s="14">
        <f>IF(D1405="","",D1405*'参数与说明'!$B$6/25.4012)</f>
        <v/>
      </c>
      <c r="F1405" s="15">
        <f>IFERROR(IF(D1405="","",D1405/INDEX($D:$D,MATCH(EDATE($A1405,-1),$A:$A,0))-1),"")</f>
        <v/>
      </c>
      <c r="G1405" s="15">
        <f>IFERROR(IF(D1405="","",D1405/INDEX($D:$D,MATCH(EDATE($A1405,-12),$A:$A,0))-1),"")</f>
        <v/>
      </c>
    </row>
    <row r="1406">
      <c r="A1406" s="16" t="n">
        <v>45566</v>
      </c>
      <c r="B1406" s="17" t="n">
        <v>2024</v>
      </c>
      <c r="C1406" s="17" t="n">
        <v>10</v>
      </c>
      <c r="D1406" s="18" t="n">
        <v>3.99</v>
      </c>
      <c r="E1406" s="18">
        <f>IF(D1406="","",D1406*'参数与说明'!$B$6/25.4012)</f>
        <v/>
      </c>
      <c r="F1406" s="19">
        <f>IFERROR(IF(D1406="","",D1406/INDEX($D:$D,MATCH(EDATE($A1406,-1),$A:$A,0))-1),"")</f>
        <v/>
      </c>
      <c r="G1406" s="19">
        <f>IFERROR(IF(D1406="","",D1406/INDEX($D:$D,MATCH(EDATE($A1406,-12),$A:$A,0))-1),"")</f>
        <v/>
      </c>
    </row>
    <row r="1407">
      <c r="A1407" s="12" t="n">
        <v>45597</v>
      </c>
      <c r="B1407" s="13" t="n">
        <v>2024</v>
      </c>
      <c r="C1407" s="13" t="n">
        <v>11</v>
      </c>
      <c r="D1407" s="14" t="n">
        <v>4.07</v>
      </c>
      <c r="E1407" s="14">
        <f>IF(D1407="","",D1407*'参数与说明'!$B$6/25.4012)</f>
        <v/>
      </c>
      <c r="F1407" s="15">
        <f>IFERROR(IF(D1407="","",D1407/INDEX($D:$D,MATCH(EDATE($A1407,-1),$A:$A,0))-1),"")</f>
        <v/>
      </c>
      <c r="G1407" s="15">
        <f>IFERROR(IF(D1407="","",D1407/INDEX($D:$D,MATCH(EDATE($A1407,-12),$A:$A,0))-1),"")</f>
        <v/>
      </c>
    </row>
    <row r="1408">
      <c r="A1408" s="16" t="n">
        <v>45627</v>
      </c>
      <c r="B1408" s="17" t="n">
        <v>2024</v>
      </c>
      <c r="C1408" s="17" t="n">
        <v>12</v>
      </c>
      <c r="D1408" s="18" t="n">
        <v>4.23</v>
      </c>
      <c r="E1408" s="18">
        <f>IF(D1408="","",D1408*'参数与说明'!$B$6/25.4012)</f>
        <v/>
      </c>
      <c r="F1408" s="19">
        <f>IFERROR(IF(D1408="","",D1408/INDEX($D:$D,MATCH(EDATE($A1408,-1),$A:$A,0))-1),"")</f>
        <v/>
      </c>
      <c r="G1408" s="19">
        <f>IFERROR(IF(D1408="","",D1408/INDEX($D:$D,MATCH(EDATE($A1408,-12),$A:$A,0))-1),"")</f>
        <v/>
      </c>
    </row>
    <row r="1409">
      <c r="A1409" s="12" t="n">
        <v>45658</v>
      </c>
      <c r="B1409" s="13" t="n">
        <v>2025</v>
      </c>
      <c r="C1409" s="13" t="n">
        <v>1</v>
      </c>
      <c r="D1409" s="14" t="n">
        <v>4.29</v>
      </c>
      <c r="E1409" s="14">
        <f>IF(D1409="","",D1409*'参数与说明'!$B$6/25.4012)</f>
        <v/>
      </c>
      <c r="F1409" s="15">
        <f>IFERROR(IF(D1409="","",D1409/INDEX($D:$D,MATCH(EDATE($A1409,-1),$A:$A,0))-1),"")</f>
        <v/>
      </c>
      <c r="G1409" s="15">
        <f>IFERROR(IF(D1409="","",D1409/INDEX($D:$D,MATCH(EDATE($A1409,-12),$A:$A,0))-1),"")</f>
        <v/>
      </c>
    </row>
    <row r="1410">
      <c r="A1410" s="16" t="n">
        <v>45689</v>
      </c>
      <c r="B1410" s="17" t="n">
        <v>2025</v>
      </c>
      <c r="C1410" s="17" t="n">
        <v>2</v>
      </c>
      <c r="D1410" s="18" t="n">
        <v>4.58</v>
      </c>
      <c r="E1410" s="18">
        <f>IF(D1410="","",D1410*'参数与说明'!$B$6/25.4012)</f>
        <v/>
      </c>
      <c r="F1410" s="19">
        <f>IFERROR(IF(D1410="","",D1410/INDEX($D:$D,MATCH(EDATE($A1410,-1),$A:$A,0))-1),"")</f>
        <v/>
      </c>
      <c r="G1410" s="19">
        <f>IFERROR(IF(D1410="","",D1410/INDEX($D:$D,MATCH(EDATE($A1410,-12),$A:$A,0))-1),"")</f>
        <v/>
      </c>
    </row>
    <row r="1411">
      <c r="A1411" s="12" t="n">
        <v>45717</v>
      </c>
      <c r="B1411" s="13" t="n">
        <v>2025</v>
      </c>
      <c r="C1411" s="13" t="n">
        <v>3</v>
      </c>
      <c r="D1411" s="14" t="n">
        <v>4.57</v>
      </c>
      <c r="E1411" s="14">
        <f>IF(D1411="","",D1411*'参数与说明'!$B$6/25.4012)</f>
        <v/>
      </c>
      <c r="F1411" s="15">
        <f>IFERROR(IF(D1411="","",D1411/INDEX($D:$D,MATCH(EDATE($A1411,-1),$A:$A,0))-1),"")</f>
        <v/>
      </c>
      <c r="G1411" s="15">
        <f>IFERROR(IF(D1411="","",D1411/INDEX($D:$D,MATCH(EDATE($A1411,-12),$A:$A,0))-1),"")</f>
        <v/>
      </c>
    </row>
    <row r="1412">
      <c r="A1412" s="16" t="n">
        <v>45748</v>
      </c>
      <c r="B1412" s="17" t="n">
        <v>2025</v>
      </c>
      <c r="C1412" s="17" t="n">
        <v>4</v>
      </c>
      <c r="D1412" s="18" t="n">
        <v>4.62</v>
      </c>
      <c r="E1412" s="18">
        <f>IF(D1412="","",D1412*'参数与说明'!$B$6/25.4012)</f>
        <v/>
      </c>
      <c r="F1412" s="19">
        <f>IFERROR(IF(D1412="","",D1412/INDEX($D:$D,MATCH(EDATE($A1412,-1),$A:$A,0))-1),"")</f>
        <v/>
      </c>
      <c r="G1412" s="19">
        <f>IFERROR(IF(D1412="","",D1412/INDEX($D:$D,MATCH(EDATE($A1412,-12),$A:$A,0))-1),"")</f>
        <v/>
      </c>
    </row>
    <row r="1413">
      <c r="A1413" s="12" t="n">
        <v>45778</v>
      </c>
      <c r="B1413" s="13" t="n">
        <v>2025</v>
      </c>
      <c r="C1413" s="13" t="n">
        <v>5</v>
      </c>
      <c r="D1413" s="14" t="n">
        <v>4.64</v>
      </c>
      <c r="E1413" s="14">
        <f>IF(D1413="","",D1413*'参数与说明'!$B$6/25.4012)</f>
        <v/>
      </c>
      <c r="F1413" s="15">
        <f>IFERROR(IF(D1413="","",D1413/INDEX($D:$D,MATCH(EDATE($A1413,-1),$A:$A,0))-1),"")</f>
        <v/>
      </c>
      <c r="G1413" s="15">
        <f>IFERROR(IF(D1413="","",D1413/INDEX($D:$D,MATCH(EDATE($A1413,-12),$A:$A,0))-1),"")</f>
        <v/>
      </c>
    </row>
    <row r="1414">
      <c r="A1414" s="16" t="n">
        <v>45809</v>
      </c>
      <c r="B1414" s="17" t="n">
        <v>2025</v>
      </c>
      <c r="C1414" s="17" t="n">
        <v>6</v>
      </c>
      <c r="D1414" s="18" t="n">
        <v>4.47</v>
      </c>
      <c r="E1414" s="18">
        <f>IF(D1414="","",D1414*'参数与说明'!$B$6/25.4012)</f>
        <v/>
      </c>
      <c r="F1414" s="19">
        <f>IFERROR(IF(D1414="","",D1414/INDEX($D:$D,MATCH(EDATE($A1414,-1),$A:$A,0))-1),"")</f>
        <v/>
      </c>
      <c r="G1414" s="19">
        <f>IFERROR(IF(D1414="","",D1414/INDEX($D:$D,MATCH(EDATE($A1414,-12),$A:$A,0))-1),"")</f>
        <v/>
      </c>
    </row>
    <row r="1415">
      <c r="A1415" s="12" t="n">
        <v>45839</v>
      </c>
      <c r="B1415" s="13" t="n">
        <v>2025</v>
      </c>
      <c r="C1415" s="13" t="n">
        <v>7</v>
      </c>
      <c r="D1415" s="14" t="n">
        <v>4.29</v>
      </c>
      <c r="E1415" s="14">
        <f>IF(D1415="","",D1415*'参数与说明'!$B$6/25.4012)</f>
        <v/>
      </c>
      <c r="F1415" s="15">
        <f>IFERROR(IF(D1415="","",D1415/INDEX($D:$D,MATCH(EDATE($A1415,-1),$A:$A,0))-1),"")</f>
        <v/>
      </c>
      <c r="G1415" s="15">
        <f>IFERROR(IF(D1415="","",D1415/INDEX($D:$D,MATCH(EDATE($A1415,-12),$A:$A,0))-1),"")</f>
        <v/>
      </c>
    </row>
    <row r="1416">
      <c r="A1416" s="16" t="n">
        <v>45870</v>
      </c>
      <c r="B1416" s="17" t="n">
        <v>2025</v>
      </c>
      <c r="C1416" s="17" t="n">
        <v>8</v>
      </c>
      <c r="D1416" s="18" t="n">
        <v>3.96</v>
      </c>
      <c r="E1416" s="18">
        <f>IF(D1416="","",D1416*'参数与说明'!$B$6/25.4012)</f>
        <v/>
      </c>
      <c r="F1416" s="19">
        <f>IFERROR(IF(D1416="","",D1416/INDEX($D:$D,MATCH(EDATE($A1416,-1),$A:$A,0))-1),"")</f>
        <v/>
      </c>
      <c r="G1416" s="19">
        <f>IFERROR(IF(D1416="","",D1416/INDEX($D:$D,MATCH(EDATE($A1416,-12),$A:$A,0))-1),"")</f>
        <v/>
      </c>
    </row>
    <row r="1417">
      <c r="A1417" s="12" t="n">
        <v>45901</v>
      </c>
      <c r="B1417" s="13" t="n">
        <v>2025</v>
      </c>
      <c r="C1417" s="13" t="n">
        <v>9</v>
      </c>
      <c r="D1417" s="14" t="n">
        <v>4</v>
      </c>
      <c r="E1417" s="14">
        <f>IF(D1417="","",D1417*'参数与说明'!$B$6/25.4012)</f>
        <v/>
      </c>
      <c r="F1417" s="15">
        <f>IFERROR(IF(D1417="","",D1417/INDEX($D:$D,MATCH(EDATE($A1417,-1),$A:$A,0))-1),"")</f>
        <v/>
      </c>
      <c r="G1417" s="15">
        <f>IFERROR(IF(D1417="","",D1417/INDEX($D:$D,MATCH(EDATE($A1417,-12),$A:$A,0))-1),"")</f>
        <v/>
      </c>
    </row>
    <row r="1418">
      <c r="A1418" s="16" t="n">
        <v>45931</v>
      </c>
      <c r="B1418" s="17" t="n">
        <v>2025</v>
      </c>
      <c r="C1418" s="17" t="n">
        <v>10</v>
      </c>
      <c r="D1418" s="18" t="n">
        <v>3.93</v>
      </c>
      <c r="E1418" s="18">
        <f>IF(D1418="","",D1418*'参数与说明'!$B$6/25.4012)</f>
        <v/>
      </c>
      <c r="F1418" s="19">
        <f>IFERROR(IF(D1418="","",D1418/INDEX($D:$D,MATCH(EDATE($A1418,-1),$A:$A,0))-1),"")</f>
        <v/>
      </c>
      <c r="G1418" s="19">
        <f>IFERROR(IF(D1418="","",D1418/INDEX($D:$D,MATCH(EDATE($A1418,-12),$A:$A,0))-1),"")</f>
        <v/>
      </c>
    </row>
    <row r="1419">
      <c r="A1419" s="12" t="n">
        <v>45962</v>
      </c>
      <c r="B1419" s="13" t="n">
        <v>2025</v>
      </c>
      <c r="C1419" s="13" t="n">
        <v>11</v>
      </c>
      <c r="D1419" s="14" t="n">
        <v>3.98</v>
      </c>
      <c r="E1419" s="14">
        <f>IF(D1419="","",D1419*'参数与说明'!$B$6/25.4012)</f>
        <v/>
      </c>
      <c r="F1419" s="15">
        <f>IFERROR(IF(D1419="","",D1419/INDEX($D:$D,MATCH(EDATE($A1419,-1),$A:$A,0))-1),"")</f>
        <v/>
      </c>
      <c r="G1419" s="15">
        <f>IFERROR(IF(D1419="","",D1419/INDEX($D:$D,MATCH(EDATE($A1419,-12),$A:$A,0))-1),"")</f>
        <v/>
      </c>
    </row>
    <row r="1420">
      <c r="A1420" s="16" t="n">
        <v>45992</v>
      </c>
      <c r="B1420" s="17" t="n">
        <v>2025</v>
      </c>
      <c r="C1420" s="17" t="n">
        <v>12</v>
      </c>
      <c r="D1420" s="18" t="n">
        <v>4.1</v>
      </c>
      <c r="E1420" s="18">
        <f>IF(D1420="","",D1420*'参数与说明'!$B$6/25.4012)</f>
        <v/>
      </c>
      <c r="F1420" s="19">
        <f>IFERROR(IF(D1420="","",D1420/INDEX($D:$D,MATCH(EDATE($A1420,-1),$A:$A,0))-1),"")</f>
        <v/>
      </c>
      <c r="G1420" s="19">
        <f>IFERROR(IF(D1420="","",D1420/INDEX($D:$D,MATCH(EDATE($A1420,-12),$A:$A,0))-1),"")</f>
        <v/>
      </c>
    </row>
    <row r="1421">
      <c r="A1421" s="12" t="n">
        <v>46023</v>
      </c>
      <c r="B1421" s="13" t="n">
        <v>2026</v>
      </c>
      <c r="C1421" s="13" t="n">
        <v>1</v>
      </c>
      <c r="D1421" s="14" t="n">
        <v>4.1</v>
      </c>
      <c r="E1421" s="14">
        <f>IF(D1421="","",D1421*'参数与说明'!$B$6/25.4012)</f>
        <v/>
      </c>
      <c r="F1421" s="15">
        <f>IFERROR(IF(D1421="","",D1421/INDEX($D:$D,MATCH(EDATE($A1421,-1),$A:$A,0))-1),"")</f>
        <v/>
      </c>
      <c r="G1421" s="15">
        <f>IFERROR(IF(D1421="","",D1421/INDEX($D:$D,MATCH(EDATE($A1421,-12),$A:$A,0))-1),"")</f>
        <v/>
      </c>
    </row>
    <row r="1422">
      <c r="A1422" s="16" t="n">
        <v>46054</v>
      </c>
      <c r="B1422" s="17" t="n">
        <v>2026</v>
      </c>
      <c r="C1422" s="17" t="n">
        <v>2</v>
      </c>
      <c r="D1422" s="18" t="n">
        <v>4.11</v>
      </c>
      <c r="E1422" s="18">
        <f>IF(D1422="","",D1422*'参数与说明'!$B$6/25.4012)</f>
        <v/>
      </c>
      <c r="F1422" s="19">
        <f>IFERROR(IF(D1422="","",D1422/INDEX($D:$D,MATCH(EDATE($A1422,-1),$A:$A,0))-1),"")</f>
        <v/>
      </c>
      <c r="G1422" s="19">
        <f>IFERROR(IF(D1422="","",D1422/INDEX($D:$D,MATCH(EDATE($A1422,-12),$A:$A,0))-1),"")</f>
        <v/>
      </c>
    </row>
    <row r="1423">
      <c r="A1423" s="12" t="n">
        <v>46082</v>
      </c>
      <c r="B1423" s="13" t="n">
        <v>2026</v>
      </c>
      <c r="C1423" s="13" t="n">
        <v>3</v>
      </c>
      <c r="D1423" s="14" t="n">
        <v>4.27</v>
      </c>
      <c r="E1423" s="14">
        <f>IF(D1423="","",D1423*'参数与说明'!$B$6/25.4012)</f>
        <v/>
      </c>
      <c r="F1423" s="15">
        <f>IFERROR(IF(D1423="","",D1423/INDEX($D:$D,MATCH(EDATE($A1423,-1),$A:$A,0))-1),"")</f>
        <v/>
      </c>
      <c r="G1423" s="15">
        <f>IFERROR(IF(D1423="","",D1423/INDEX($D:$D,MATCH(EDATE($A1423,-12),$A:$A,0))-1),"")</f>
        <v/>
      </c>
    </row>
    <row r="1424">
      <c r="A1424" s="16" t="n">
        <v>46113</v>
      </c>
      <c r="B1424" s="17" t="n">
        <v>2026</v>
      </c>
      <c r="C1424" s="17" t="n">
        <v>4</v>
      </c>
      <c r="D1424" s="18" t="n">
        <v>4.31</v>
      </c>
      <c r="E1424" s="18">
        <f>IF(D1424="","",D1424*'参数与说明'!$B$6/25.4012)</f>
        <v/>
      </c>
      <c r="F1424" s="19">
        <f>IFERROR(IF(D1424="","",D1424/INDEX($D:$D,MATCH(EDATE($A1424,-1),$A:$A,0))-1),"")</f>
        <v/>
      </c>
      <c r="G1424" s="19">
        <f>IFERROR(IF(D1424="","",D1424/INDEX($D:$D,MATCH(EDATE($A1424,-12),$A:$A,0))-1),"")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8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大豆 — USDA NASS 价格收到价（月度）</t>
        </is>
      </c>
    </row>
    <row r="2" ht="15" customHeight="1">
      <c r="A2" s="10" t="inlineStr">
        <is>
          <t>美元/蒲式耳(大豆1bu=27.22kg)；元/公斤=主指标×汇率('参数与说明'!$B$6)÷27.2155。趋势图用美制原值。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大豆(Soybeans)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5023</v>
      </c>
      <c r="B5" s="13" t="n">
        <v>1913</v>
      </c>
      <c r="C5" s="13" t="n">
        <v>10</v>
      </c>
      <c r="D5" s="14" t="n">
        <v>1.96</v>
      </c>
      <c r="E5" s="14">
        <f>IF(D5="","",D5*'参数与说明'!$B$6/27.2155)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5054</v>
      </c>
      <c r="B6" s="17" t="n">
        <v>1913</v>
      </c>
      <c r="C6" s="17" t="n">
        <v>11</v>
      </c>
      <c r="D6" s="18" t="n">
        <v>1.57</v>
      </c>
      <c r="E6" s="18">
        <f>IF(D6="","",D6*'参数与说明'!$B$6/27.2155)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5084</v>
      </c>
      <c r="B7" s="13" t="n">
        <v>1913</v>
      </c>
      <c r="C7" s="13" t="n">
        <v>12</v>
      </c>
      <c r="D7" s="14" t="n">
        <v>1.72</v>
      </c>
      <c r="E7" s="14">
        <f>IF(D7="","",D7*'参数与说明'!$B$6/27.2155)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5115</v>
      </c>
      <c r="B8" s="17" t="n">
        <v>1914</v>
      </c>
      <c r="C8" s="17" t="n">
        <v>1</v>
      </c>
      <c r="D8" s="18" t="n">
        <v>1.96</v>
      </c>
      <c r="E8" s="18">
        <f>IF(D8="","",D8*'参数与说明'!$B$6/27.2155)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5146</v>
      </c>
      <c r="B9" s="13" t="n">
        <v>1914</v>
      </c>
      <c r="C9" s="13" t="n">
        <v>2</v>
      </c>
      <c r="D9" s="14" t="n">
        <v>1.8</v>
      </c>
      <c r="E9" s="14">
        <f>IF(D9="","",D9*'参数与说明'!$B$6/27.2155)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5388</v>
      </c>
      <c r="B10" s="17" t="n">
        <v>1914</v>
      </c>
      <c r="C10" s="17" t="n">
        <v>10</v>
      </c>
      <c r="D10" s="18" t="n">
        <v>2.08</v>
      </c>
      <c r="E10" s="18">
        <f>IF(D10="","",D10*'参数与说明'!$B$6/27.2155)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5419</v>
      </c>
      <c r="B11" s="13" t="n">
        <v>1914</v>
      </c>
      <c r="C11" s="13" t="n">
        <v>11</v>
      </c>
      <c r="D11" s="14" t="n">
        <v>2.15</v>
      </c>
      <c r="E11" s="14">
        <f>IF(D11="","",D11*'参数与说明'!$B$6/27.2155)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5449</v>
      </c>
      <c r="B12" s="17" t="n">
        <v>1914</v>
      </c>
      <c r="C12" s="17" t="n">
        <v>12</v>
      </c>
      <c r="D12" s="18" t="n">
        <v>2.24</v>
      </c>
      <c r="E12" s="18">
        <f>IF(D12="","",D12*'参数与说明'!$B$6/27.2155)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5480</v>
      </c>
      <c r="B13" s="13" t="n">
        <v>1915</v>
      </c>
      <c r="C13" s="13" t="n">
        <v>1</v>
      </c>
      <c r="D13" s="14" t="n">
        <v>2.35</v>
      </c>
      <c r="E13" s="14">
        <f>IF(D13="","",D13*'参数与说明'!$B$6/27.2155)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5511</v>
      </c>
      <c r="B14" s="17" t="n">
        <v>1915</v>
      </c>
      <c r="C14" s="17" t="n">
        <v>2</v>
      </c>
      <c r="D14" s="18" t="n">
        <v>2.26</v>
      </c>
      <c r="E14" s="18">
        <f>IF(D14="","",D14*'参数与说明'!$B$6/27.2155)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5753</v>
      </c>
      <c r="B15" s="13" t="n">
        <v>1915</v>
      </c>
      <c r="C15" s="13" t="n">
        <v>10</v>
      </c>
      <c r="D15" s="14" t="n">
        <v>1.88</v>
      </c>
      <c r="E15" s="14">
        <f>IF(D15="","",D15*'参数与说明'!$B$6/27.2155)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5784</v>
      </c>
      <c r="B16" s="17" t="n">
        <v>1915</v>
      </c>
      <c r="C16" s="17" t="n">
        <v>11</v>
      </c>
      <c r="D16" s="18" t="n">
        <v>2.08</v>
      </c>
      <c r="E16" s="18">
        <f>IF(D16="","",D16*'参数与说明'!$B$6/27.2155)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5814</v>
      </c>
      <c r="B17" s="13" t="n">
        <v>1915</v>
      </c>
      <c r="C17" s="13" t="n">
        <v>12</v>
      </c>
      <c r="D17" s="14" t="n">
        <v>2.23</v>
      </c>
      <c r="E17" s="14">
        <f>IF(D17="","",D17*'参数与说明'!$B$6/27.2155)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5845</v>
      </c>
      <c r="B18" s="17" t="n">
        <v>1916</v>
      </c>
      <c r="C18" s="17" t="n">
        <v>1</v>
      </c>
      <c r="D18" s="18" t="n">
        <v>2.31</v>
      </c>
      <c r="E18" s="18">
        <f>IF(D18="","",D18*'参数与说明'!$B$6/27.2155)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5876</v>
      </c>
      <c r="B19" s="13" t="n">
        <v>1916</v>
      </c>
      <c r="C19" s="13" t="n">
        <v>2</v>
      </c>
      <c r="D19" s="14" t="n">
        <v>2.39</v>
      </c>
      <c r="E19" s="14">
        <f>IF(D19="","",D19*'参数与说明'!$B$6/27.2155)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6119</v>
      </c>
      <c r="B20" s="17" t="n">
        <v>1916</v>
      </c>
      <c r="C20" s="17" t="n">
        <v>10</v>
      </c>
      <c r="D20" s="18" t="n">
        <v>2.13</v>
      </c>
      <c r="E20" s="18">
        <f>IF(D20="","",D20*'参数与说明'!$B$6/27.2155)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6150</v>
      </c>
      <c r="B21" s="13" t="n">
        <v>1916</v>
      </c>
      <c r="C21" s="13" t="n">
        <v>11</v>
      </c>
      <c r="D21" s="14" t="n">
        <v>2.13</v>
      </c>
      <c r="E21" s="14">
        <f>IF(D21="","",D21*'参数与说明'!$B$6/27.2155)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6180</v>
      </c>
      <c r="B22" s="17" t="n">
        <v>1916</v>
      </c>
      <c r="C22" s="17" t="n">
        <v>12</v>
      </c>
      <c r="D22" s="18" t="n">
        <v>2.18</v>
      </c>
      <c r="E22" s="18">
        <f>IF(D22="","",D22*'参数与说明'!$B$6/27.2155)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6211</v>
      </c>
      <c r="B23" s="13" t="n">
        <v>1917</v>
      </c>
      <c r="C23" s="13" t="n">
        <v>1</v>
      </c>
      <c r="D23" s="14" t="n">
        <v>2.2</v>
      </c>
      <c r="E23" s="14">
        <f>IF(D23="","",D23*'参数与说明'!$B$6/27.2155)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6242</v>
      </c>
      <c r="B24" s="17" t="n">
        <v>1917</v>
      </c>
      <c r="C24" s="17" t="n">
        <v>2</v>
      </c>
      <c r="D24" s="18" t="n">
        <v>2.45</v>
      </c>
      <c r="E24" s="18">
        <f>IF(D24="","",D24*'参数与说明'!$B$6/27.2155)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6484</v>
      </c>
      <c r="B25" s="13" t="n">
        <v>1917</v>
      </c>
      <c r="C25" s="13" t="n">
        <v>10</v>
      </c>
      <c r="D25" s="14" t="n">
        <v>2.73</v>
      </c>
      <c r="E25" s="14">
        <f>IF(D25="","",D25*'参数与说明'!$B$6/27.2155)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6515</v>
      </c>
      <c r="B26" s="17" t="n">
        <v>1917</v>
      </c>
      <c r="C26" s="17" t="n">
        <v>11</v>
      </c>
      <c r="D26" s="18" t="n">
        <v>2.86</v>
      </c>
      <c r="E26" s="18">
        <f>IF(D26="","",D26*'参数与说明'!$B$6/27.2155)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6545</v>
      </c>
      <c r="B27" s="13" t="n">
        <v>1917</v>
      </c>
      <c r="C27" s="13" t="n">
        <v>12</v>
      </c>
      <c r="D27" s="14" t="n">
        <v>3.33</v>
      </c>
      <c r="E27" s="14">
        <f>IF(D27="","",D27*'参数与说明'!$B$6/27.2155)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6576</v>
      </c>
      <c r="B28" s="17" t="n">
        <v>1918</v>
      </c>
      <c r="C28" s="17" t="n">
        <v>1</v>
      </c>
      <c r="D28" s="18" t="n">
        <v>3.47</v>
      </c>
      <c r="E28" s="18">
        <f>IF(D28="","",D28*'参数与说明'!$B$6/27.2155)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6607</v>
      </c>
      <c r="B29" s="13" t="n">
        <v>1918</v>
      </c>
      <c r="C29" s="13" t="n">
        <v>2</v>
      </c>
      <c r="D29" s="14" t="n">
        <v>3.82</v>
      </c>
      <c r="E29" s="14">
        <f>IF(D29="","",D29*'参数与说明'!$B$6/27.2155)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6849</v>
      </c>
      <c r="B30" s="17" t="n">
        <v>1918</v>
      </c>
      <c r="C30" s="17" t="n">
        <v>10</v>
      </c>
      <c r="D30" s="18" t="n">
        <v>3.36</v>
      </c>
      <c r="E30" s="18">
        <f>IF(D30="","",D30*'参数与说明'!$B$6/27.2155)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6880</v>
      </c>
      <c r="B31" s="13" t="n">
        <v>1918</v>
      </c>
      <c r="C31" s="13" t="n">
        <v>11</v>
      </c>
      <c r="D31" s="14" t="n">
        <v>3.2</v>
      </c>
      <c r="E31" s="14">
        <f>IF(D31="","",D31*'参数与说明'!$B$6/27.2155)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6910</v>
      </c>
      <c r="B32" s="17" t="n">
        <v>1918</v>
      </c>
      <c r="C32" s="17" t="n">
        <v>12</v>
      </c>
      <c r="D32" s="18" t="n">
        <v>3.29</v>
      </c>
      <c r="E32" s="18">
        <f>IF(D32="","",D32*'参数与说明'!$B$6/27.2155)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6941</v>
      </c>
      <c r="B33" s="13" t="n">
        <v>1919</v>
      </c>
      <c r="C33" s="13" t="n">
        <v>1</v>
      </c>
      <c r="D33" s="14" t="n">
        <v>3</v>
      </c>
      <c r="E33" s="14">
        <f>IF(D33="","",D33*'参数与说明'!$B$6/27.2155)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6972</v>
      </c>
      <c r="B34" s="17" t="n">
        <v>1919</v>
      </c>
      <c r="C34" s="17" t="n">
        <v>2</v>
      </c>
      <c r="D34" s="18" t="n">
        <v>3</v>
      </c>
      <c r="E34" s="18">
        <f>IF(D34="","",D34*'参数与说明'!$B$6/27.2155)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7214</v>
      </c>
      <c r="B35" s="13" t="n">
        <v>1919</v>
      </c>
      <c r="C35" s="13" t="n">
        <v>10</v>
      </c>
      <c r="D35" s="14" t="n">
        <v>3.34</v>
      </c>
      <c r="E35" s="14">
        <f>IF(D35="","",D35*'参数与说明'!$B$6/27.2155)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7245</v>
      </c>
      <c r="B36" s="17" t="n">
        <v>1919</v>
      </c>
      <c r="C36" s="17" t="n">
        <v>11</v>
      </c>
      <c r="D36" s="18" t="n">
        <v>3.35</v>
      </c>
      <c r="E36" s="18">
        <f>IF(D36="","",D36*'参数与说明'!$B$6/27.2155)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7275</v>
      </c>
      <c r="B37" s="13" t="n">
        <v>1919</v>
      </c>
      <c r="C37" s="13" t="n">
        <v>12</v>
      </c>
      <c r="D37" s="14" t="n">
        <v>3.44</v>
      </c>
      <c r="E37" s="14">
        <f>IF(D37="","",D37*'参数与说明'!$B$6/27.2155)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7306</v>
      </c>
      <c r="B38" s="17" t="n">
        <v>1920</v>
      </c>
      <c r="C38" s="17" t="n">
        <v>1</v>
      </c>
      <c r="D38" s="18" t="n">
        <v>3.76</v>
      </c>
      <c r="E38" s="18">
        <f>IF(D38="","",D38*'参数与说明'!$B$6/27.2155)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7337</v>
      </c>
      <c r="B39" s="13" t="n">
        <v>1920</v>
      </c>
      <c r="C39" s="13" t="n">
        <v>2</v>
      </c>
      <c r="D39" s="14" t="n">
        <v>4.05</v>
      </c>
      <c r="E39" s="14">
        <f>IF(D39="","",D39*'参数与说明'!$B$6/27.2155)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7580</v>
      </c>
      <c r="B40" s="17" t="n">
        <v>1920</v>
      </c>
      <c r="C40" s="17" t="n">
        <v>10</v>
      </c>
      <c r="D40" s="18" t="n">
        <v>3.41</v>
      </c>
      <c r="E40" s="18">
        <f>IF(D40="","",D40*'参数与说明'!$B$6/27.2155)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7611</v>
      </c>
      <c r="B41" s="13" t="n">
        <v>1920</v>
      </c>
      <c r="C41" s="13" t="n">
        <v>11</v>
      </c>
      <c r="D41" s="14" t="n">
        <v>3</v>
      </c>
      <c r="E41" s="14">
        <f>IF(D41="","",D41*'参数与说明'!$B$6/27.2155)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7641</v>
      </c>
      <c r="B42" s="17" t="n">
        <v>1920</v>
      </c>
      <c r="C42" s="17" t="n">
        <v>12</v>
      </c>
      <c r="D42" s="18" t="n">
        <v>2.28</v>
      </c>
      <c r="E42" s="18">
        <f>IF(D42="","",D42*'参数与说明'!$B$6/27.2155)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7672</v>
      </c>
      <c r="B43" s="13" t="n">
        <v>1921</v>
      </c>
      <c r="C43" s="13" t="n">
        <v>1</v>
      </c>
      <c r="D43" s="14" t="n">
        <v>2.18</v>
      </c>
      <c r="E43" s="14">
        <f>IF(D43="","",D43*'参数与说明'!$B$6/27.2155)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7703</v>
      </c>
      <c r="B44" s="17" t="n">
        <v>1921</v>
      </c>
      <c r="C44" s="17" t="n">
        <v>2</v>
      </c>
      <c r="D44" s="18" t="n">
        <v>2.17</v>
      </c>
      <c r="E44" s="18">
        <f>IF(D44="","",D44*'参数与说明'!$B$6/27.2155)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7945</v>
      </c>
      <c r="B45" s="13" t="n">
        <v>1921</v>
      </c>
      <c r="C45" s="13" t="n">
        <v>10</v>
      </c>
      <c r="D45" s="14" t="n">
        <v>2.2</v>
      </c>
      <c r="E45" s="14">
        <f>IF(D45="","",D45*'参数与说明'!$B$6/27.2155)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7976</v>
      </c>
      <c r="B46" s="17" t="n">
        <v>1921</v>
      </c>
      <c r="C46" s="17" t="n">
        <v>11</v>
      </c>
      <c r="D46" s="18" t="n">
        <v>2.22</v>
      </c>
      <c r="E46" s="18">
        <f>IF(D46="","",D46*'参数与说明'!$B$6/27.2155)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8006</v>
      </c>
      <c r="B47" s="13" t="n">
        <v>1921</v>
      </c>
      <c r="C47" s="13" t="n">
        <v>12</v>
      </c>
      <c r="D47" s="14" t="n">
        <v>2.08</v>
      </c>
      <c r="E47" s="14">
        <f>IF(D47="","",D47*'参数与说明'!$B$6/27.2155)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8037</v>
      </c>
      <c r="B48" s="17" t="n">
        <v>1922</v>
      </c>
      <c r="C48" s="17" t="n">
        <v>1</v>
      </c>
      <c r="D48" s="18" t="n">
        <v>2.11</v>
      </c>
      <c r="E48" s="18">
        <f>IF(D48="","",D48*'参数与说明'!$B$6/27.2155)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8068</v>
      </c>
      <c r="B49" s="13" t="n">
        <v>1922</v>
      </c>
      <c r="C49" s="13" t="n">
        <v>2</v>
      </c>
      <c r="D49" s="14" t="n">
        <v>2.16</v>
      </c>
      <c r="E49" s="14">
        <f>IF(D49="","",D49*'参数与说明'!$B$6/27.2155)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8310</v>
      </c>
      <c r="B50" s="17" t="n">
        <v>1922</v>
      </c>
      <c r="C50" s="17" t="n">
        <v>10</v>
      </c>
      <c r="D50" s="18" t="n">
        <v>1.89</v>
      </c>
      <c r="E50" s="18">
        <f>IF(D50="","",D50*'参数与说明'!$B$6/27.2155)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8341</v>
      </c>
      <c r="B51" s="13" t="n">
        <v>1922</v>
      </c>
      <c r="C51" s="13" t="n">
        <v>11</v>
      </c>
      <c r="D51" s="14" t="n">
        <v>2</v>
      </c>
      <c r="E51" s="14">
        <f>IF(D51="","",D51*'参数与说明'!$B$6/27.2155)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8371</v>
      </c>
      <c r="B52" s="17" t="n">
        <v>1922</v>
      </c>
      <c r="C52" s="17" t="n">
        <v>12</v>
      </c>
      <c r="D52" s="18" t="n">
        <v>1.97</v>
      </c>
      <c r="E52" s="18">
        <f>IF(D52="","",D52*'参数与说明'!$B$6/27.2155)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8402</v>
      </c>
      <c r="B53" s="13" t="n">
        <v>1923</v>
      </c>
      <c r="C53" s="13" t="n">
        <v>1</v>
      </c>
      <c r="D53" s="14" t="n">
        <v>2.07</v>
      </c>
      <c r="E53" s="14">
        <f>IF(D53="","",D53*'参数与说明'!$B$6/27.2155)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8433</v>
      </c>
      <c r="B54" s="17" t="n">
        <v>1923</v>
      </c>
      <c r="C54" s="17" t="n">
        <v>2</v>
      </c>
      <c r="D54" s="18" t="n">
        <v>2.13</v>
      </c>
      <c r="E54" s="18">
        <f>IF(D54="","",D54*'参数与说明'!$B$6/27.2155)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8645</v>
      </c>
      <c r="B55" s="13" t="n">
        <v>1923</v>
      </c>
      <c r="C55" s="13" t="n">
        <v>9</v>
      </c>
      <c r="D55" s="14" t="n">
        <v>2.25</v>
      </c>
      <c r="E55" s="14">
        <f>IF(D55="","",D55*'参数与说明'!$B$6/27.2155)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8675</v>
      </c>
      <c r="B56" s="17" t="n">
        <v>1923</v>
      </c>
      <c r="C56" s="17" t="n">
        <v>10</v>
      </c>
      <c r="D56" s="18" t="n">
        <v>2.09</v>
      </c>
      <c r="E56" s="18">
        <f>IF(D56="","",D56*'参数与说明'!$B$6/27.2155)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8706</v>
      </c>
      <c r="B57" s="13" t="n">
        <v>1923</v>
      </c>
      <c r="C57" s="13" t="n">
        <v>11</v>
      </c>
      <c r="D57" s="14" t="n">
        <v>2.1</v>
      </c>
      <c r="E57" s="14">
        <f>IF(D57="","",D57*'参数与说明'!$B$6/27.2155)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8736</v>
      </c>
      <c r="B58" s="17" t="n">
        <v>1923</v>
      </c>
      <c r="C58" s="17" t="n">
        <v>12</v>
      </c>
      <c r="D58" s="18" t="n">
        <v>2.11</v>
      </c>
      <c r="E58" s="18">
        <f>IF(D58="","",D58*'参数与说明'!$B$6/27.2155)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8767</v>
      </c>
      <c r="B59" s="13" t="n">
        <v>1924</v>
      </c>
      <c r="C59" s="13" t="n">
        <v>1</v>
      </c>
      <c r="D59" s="14" t="n">
        <v>2.23</v>
      </c>
      <c r="E59" s="14">
        <f>IF(D59="","",D59*'参数与说明'!$B$6/27.2155)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8798</v>
      </c>
      <c r="B60" s="17" t="n">
        <v>1924</v>
      </c>
      <c r="C60" s="17" t="n">
        <v>2</v>
      </c>
      <c r="D60" s="18" t="n">
        <v>2.26</v>
      </c>
      <c r="E60" s="18">
        <f>IF(D60="","",D60*'参数与说明'!$B$6/27.2155)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8827</v>
      </c>
      <c r="B61" s="13" t="n">
        <v>1924</v>
      </c>
      <c r="C61" s="13" t="n">
        <v>3</v>
      </c>
      <c r="D61" s="14" t="n">
        <v>2.41</v>
      </c>
      <c r="E61" s="14">
        <f>IF(D61="","",D61*'参数与说明'!$B$6/27.2155)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8858</v>
      </c>
      <c r="B62" s="17" t="n">
        <v>1924</v>
      </c>
      <c r="C62" s="17" t="n">
        <v>4</v>
      </c>
      <c r="D62" s="18" t="n">
        <v>2.4</v>
      </c>
      <c r="E62" s="18">
        <f>IF(D62="","",D62*'参数与说明'!$B$6/27.2155)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8888</v>
      </c>
      <c r="B63" s="13" t="n">
        <v>1924</v>
      </c>
      <c r="C63" s="13" t="n">
        <v>5</v>
      </c>
      <c r="D63" s="14" t="n">
        <v>2.44</v>
      </c>
      <c r="E63" s="14">
        <f>IF(D63="","",D63*'参数与说明'!$B$6/27.2155)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8919</v>
      </c>
      <c r="B64" s="17" t="n">
        <v>1924</v>
      </c>
      <c r="C64" s="17" t="n">
        <v>6</v>
      </c>
      <c r="D64" s="18" t="n">
        <v>2.49</v>
      </c>
      <c r="E64" s="18">
        <f>IF(D64="","",D64*'参数与说明'!$B$6/27.2155)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8949</v>
      </c>
      <c r="B65" s="13" t="n">
        <v>1924</v>
      </c>
      <c r="C65" s="13" t="n">
        <v>7</v>
      </c>
      <c r="D65" s="14" t="n">
        <v>2.6</v>
      </c>
      <c r="E65" s="14">
        <f>IF(D65="","",D65*'参数与说明'!$B$6/27.2155)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8980</v>
      </c>
      <c r="B66" s="17" t="n">
        <v>1924</v>
      </c>
      <c r="C66" s="17" t="n">
        <v>8</v>
      </c>
      <c r="D66" s="18" t="n">
        <v>2.51</v>
      </c>
      <c r="E66" s="18">
        <f>IF(D66="","",D66*'参数与说明'!$B$6/27.2155)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9011</v>
      </c>
      <c r="B67" s="13" t="n">
        <v>1924</v>
      </c>
      <c r="C67" s="13" t="n">
        <v>9</v>
      </c>
      <c r="D67" s="14" t="n">
        <v>2.33</v>
      </c>
      <c r="E67" s="14">
        <f>IF(D67="","",D67*'参数与说明'!$B$6/27.2155)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9041</v>
      </c>
      <c r="B68" s="17" t="n">
        <v>1924</v>
      </c>
      <c r="C68" s="17" t="n">
        <v>10</v>
      </c>
      <c r="D68" s="18" t="n">
        <v>2.23</v>
      </c>
      <c r="E68" s="18">
        <f>IF(D68="","",D68*'参数与说明'!$B$6/27.2155)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9072</v>
      </c>
      <c r="B69" s="13" t="n">
        <v>1924</v>
      </c>
      <c r="C69" s="13" t="n">
        <v>11</v>
      </c>
      <c r="D69" s="14" t="n">
        <v>2.16</v>
      </c>
      <c r="E69" s="14">
        <f>IF(D69="","",D69*'参数与说明'!$B$6/27.2155)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9102</v>
      </c>
      <c r="B70" s="17" t="n">
        <v>1924</v>
      </c>
      <c r="C70" s="17" t="n">
        <v>12</v>
      </c>
      <c r="D70" s="18" t="n">
        <v>2.36</v>
      </c>
      <c r="E70" s="18">
        <f>IF(D70="","",D70*'参数与说明'!$B$6/27.2155)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9133</v>
      </c>
      <c r="B71" s="13" t="n">
        <v>1925</v>
      </c>
      <c r="C71" s="13" t="n">
        <v>1</v>
      </c>
      <c r="D71" s="14" t="n">
        <v>2.59</v>
      </c>
      <c r="E71" s="14">
        <f>IF(D71="","",D71*'参数与说明'!$B$6/27.2155)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9164</v>
      </c>
      <c r="B72" s="17" t="n">
        <v>1925</v>
      </c>
      <c r="C72" s="17" t="n">
        <v>2</v>
      </c>
      <c r="D72" s="18" t="n">
        <v>2.64</v>
      </c>
      <c r="E72" s="18">
        <f>IF(D72="","",D72*'参数与说明'!$B$6/27.2155)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9192</v>
      </c>
      <c r="B73" s="13" t="n">
        <v>1925</v>
      </c>
      <c r="C73" s="13" t="n">
        <v>3</v>
      </c>
      <c r="D73" s="14" t="n">
        <v>2.76</v>
      </c>
      <c r="E73" s="14">
        <f>IF(D73="","",D73*'参数与说明'!$B$6/27.2155)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9223</v>
      </c>
      <c r="B74" s="17" t="n">
        <v>1925</v>
      </c>
      <c r="C74" s="17" t="n">
        <v>4</v>
      </c>
      <c r="D74" s="18" t="n">
        <v>2.77</v>
      </c>
      <c r="E74" s="18">
        <f>IF(D74="","",D74*'参数与说明'!$B$6/27.2155)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9253</v>
      </c>
      <c r="B75" s="13" t="n">
        <v>1925</v>
      </c>
      <c r="C75" s="13" t="n">
        <v>5</v>
      </c>
      <c r="D75" s="14" t="n">
        <v>2.81</v>
      </c>
      <c r="E75" s="14">
        <f>IF(D75="","",D75*'参数与说明'!$B$6/27.2155)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9284</v>
      </c>
      <c r="B76" s="17" t="n">
        <v>1925</v>
      </c>
      <c r="C76" s="17" t="n">
        <v>6</v>
      </c>
      <c r="D76" s="18" t="n">
        <v>2.7</v>
      </c>
      <c r="E76" s="18">
        <f>IF(D76="","",D76*'参数与说明'!$B$6/27.2155)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9314</v>
      </c>
      <c r="B77" s="13" t="n">
        <v>1925</v>
      </c>
      <c r="C77" s="13" t="n">
        <v>7</v>
      </c>
      <c r="D77" s="14" t="n">
        <v>2.71</v>
      </c>
      <c r="E77" s="14">
        <f>IF(D77="","",D77*'参数与说明'!$B$6/27.2155)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9345</v>
      </c>
      <c r="B78" s="17" t="n">
        <v>1925</v>
      </c>
      <c r="C78" s="17" t="n">
        <v>8</v>
      </c>
      <c r="D78" s="18" t="n">
        <v>2.4</v>
      </c>
      <c r="E78" s="18">
        <f>IF(D78="","",D78*'参数与说明'!$B$6/27.2155)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9376</v>
      </c>
      <c r="B79" s="13" t="n">
        <v>1925</v>
      </c>
      <c r="C79" s="13" t="n">
        <v>9</v>
      </c>
      <c r="D79" s="14" t="n">
        <v>2.38</v>
      </c>
      <c r="E79" s="14">
        <f>IF(D79="","",D79*'参数与说明'!$B$6/27.2155)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9406</v>
      </c>
      <c r="B80" s="17" t="n">
        <v>1925</v>
      </c>
      <c r="C80" s="17" t="n">
        <v>10</v>
      </c>
      <c r="D80" s="18" t="n">
        <v>2.27</v>
      </c>
      <c r="E80" s="18">
        <f>IF(D80="","",D80*'参数与说明'!$B$6/27.2155)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9437</v>
      </c>
      <c r="B81" s="13" t="n">
        <v>1925</v>
      </c>
      <c r="C81" s="13" t="n">
        <v>11</v>
      </c>
      <c r="D81" s="14" t="n">
        <v>2.18</v>
      </c>
      <c r="E81" s="14">
        <f>IF(D81="","",D81*'参数与说明'!$B$6/27.2155)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9467</v>
      </c>
      <c r="B82" s="17" t="n">
        <v>1925</v>
      </c>
      <c r="C82" s="17" t="n">
        <v>12</v>
      </c>
      <c r="D82" s="18" t="n">
        <v>2.17</v>
      </c>
      <c r="E82" s="18">
        <f>IF(D82="","",D82*'参数与说明'!$B$6/27.2155)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9498</v>
      </c>
      <c r="B83" s="13" t="n">
        <v>1926</v>
      </c>
      <c r="C83" s="13" t="n">
        <v>1</v>
      </c>
      <c r="D83" s="14" t="n">
        <v>2.38</v>
      </c>
      <c r="E83" s="14">
        <f>IF(D83="","",D83*'参数与说明'!$B$6/27.2155)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9529</v>
      </c>
      <c r="B84" s="17" t="n">
        <v>1926</v>
      </c>
      <c r="C84" s="17" t="n">
        <v>2</v>
      </c>
      <c r="D84" s="18" t="n">
        <v>2.33</v>
      </c>
      <c r="E84" s="18">
        <f>IF(D84="","",D84*'参数与说明'!$B$6/27.2155)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9557</v>
      </c>
      <c r="B85" s="13" t="n">
        <v>1926</v>
      </c>
      <c r="C85" s="13" t="n">
        <v>3</v>
      </c>
      <c r="D85" s="14" t="n">
        <v>2.39</v>
      </c>
      <c r="E85" s="14">
        <f>IF(D85="","",D85*'参数与说明'!$B$6/27.2155)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9588</v>
      </c>
      <c r="B86" s="17" t="n">
        <v>1926</v>
      </c>
      <c r="C86" s="17" t="n">
        <v>4</v>
      </c>
      <c r="D86" s="18" t="n">
        <v>2.27</v>
      </c>
      <c r="E86" s="18">
        <f>IF(D86="","",D86*'参数与说明'!$B$6/27.2155)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9618</v>
      </c>
      <c r="B87" s="13" t="n">
        <v>1926</v>
      </c>
      <c r="C87" s="13" t="n">
        <v>5</v>
      </c>
      <c r="D87" s="14" t="n">
        <v>2.37</v>
      </c>
      <c r="E87" s="14">
        <f>IF(D87="","",D87*'参数与说明'!$B$6/27.2155)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9649</v>
      </c>
      <c r="B88" s="17" t="n">
        <v>1926</v>
      </c>
      <c r="C88" s="17" t="n">
        <v>6</v>
      </c>
      <c r="D88" s="18" t="n">
        <v>2.67</v>
      </c>
      <c r="E88" s="18">
        <f>IF(D88="","",D88*'参数与说明'!$B$6/27.2155)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9679</v>
      </c>
      <c r="B89" s="13" t="n">
        <v>1926</v>
      </c>
      <c r="C89" s="13" t="n">
        <v>7</v>
      </c>
      <c r="D89" s="14" t="n">
        <v>2.71</v>
      </c>
      <c r="E89" s="14">
        <f>IF(D89="","",D89*'参数与说明'!$B$6/27.2155)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9710</v>
      </c>
      <c r="B90" s="17" t="n">
        <v>1926</v>
      </c>
      <c r="C90" s="17" t="n">
        <v>8</v>
      </c>
      <c r="D90" s="18" t="n">
        <v>2.31</v>
      </c>
      <c r="E90" s="18">
        <f>IF(D90="","",D90*'参数与说明'!$B$6/27.2155)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9741</v>
      </c>
      <c r="B91" s="13" t="n">
        <v>1926</v>
      </c>
      <c r="C91" s="13" t="n">
        <v>9</v>
      </c>
      <c r="D91" s="14" t="n">
        <v>2.27</v>
      </c>
      <c r="E91" s="14">
        <f>IF(D91="","",D91*'参数与说明'!$B$6/27.2155)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9771</v>
      </c>
      <c r="B92" s="17" t="n">
        <v>1926</v>
      </c>
      <c r="C92" s="17" t="n">
        <v>10</v>
      </c>
      <c r="D92" s="18" t="n">
        <v>1.97</v>
      </c>
      <c r="E92" s="18">
        <f>IF(D92="","",D92*'参数与说明'!$B$6/27.2155)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9802</v>
      </c>
      <c r="B93" s="13" t="n">
        <v>1926</v>
      </c>
      <c r="C93" s="13" t="n">
        <v>11</v>
      </c>
      <c r="D93" s="14" t="n">
        <v>1.85</v>
      </c>
      <c r="E93" s="14">
        <f>IF(D93="","",D93*'参数与说明'!$B$6/27.2155)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9832</v>
      </c>
      <c r="B94" s="17" t="n">
        <v>1926</v>
      </c>
      <c r="C94" s="17" t="n">
        <v>12</v>
      </c>
      <c r="D94" s="18" t="n">
        <v>1.83</v>
      </c>
      <c r="E94" s="18">
        <f>IF(D94="","",D94*'参数与说明'!$B$6/27.2155)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9863</v>
      </c>
      <c r="B95" s="13" t="n">
        <v>1927</v>
      </c>
      <c r="C95" s="13" t="n">
        <v>1</v>
      </c>
      <c r="D95" s="14" t="n">
        <v>1.9</v>
      </c>
      <c r="E95" s="14">
        <f>IF(D95="","",D95*'参数与说明'!$B$6/27.2155)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9894</v>
      </c>
      <c r="B96" s="17" t="n">
        <v>1927</v>
      </c>
      <c r="C96" s="17" t="n">
        <v>2</v>
      </c>
      <c r="D96" s="18" t="n">
        <v>2.03</v>
      </c>
      <c r="E96" s="18">
        <f>IF(D96="","",D96*'参数与说明'!$B$6/27.2155)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9922</v>
      </c>
      <c r="B97" s="13" t="n">
        <v>1927</v>
      </c>
      <c r="C97" s="13" t="n">
        <v>3</v>
      </c>
      <c r="D97" s="14" t="n">
        <v>1.98</v>
      </c>
      <c r="E97" s="14">
        <f>IF(D97="","",D97*'参数与说明'!$B$6/27.2155)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9953</v>
      </c>
      <c r="B98" s="17" t="n">
        <v>1927</v>
      </c>
      <c r="C98" s="17" t="n">
        <v>4</v>
      </c>
      <c r="D98" s="18" t="n">
        <v>2.07</v>
      </c>
      <c r="E98" s="18">
        <f>IF(D98="","",D98*'参数与说明'!$B$6/27.2155)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9983</v>
      </c>
      <c r="B99" s="13" t="n">
        <v>1927</v>
      </c>
      <c r="C99" s="13" t="n">
        <v>5</v>
      </c>
      <c r="D99" s="14" t="n">
        <v>2.15</v>
      </c>
      <c r="E99" s="14">
        <f>IF(D99="","",D99*'参数与说明'!$B$6/27.2155)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10014</v>
      </c>
      <c r="B100" s="17" t="n">
        <v>1927</v>
      </c>
      <c r="C100" s="17" t="n">
        <v>6</v>
      </c>
      <c r="D100" s="18" t="n">
        <v>2.2</v>
      </c>
      <c r="E100" s="18">
        <f>IF(D100="","",D100*'参数与说明'!$B$6/27.2155)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10044</v>
      </c>
      <c r="B101" s="13" t="n">
        <v>1927</v>
      </c>
      <c r="C101" s="13" t="n">
        <v>7</v>
      </c>
      <c r="D101" s="14" t="n">
        <v>2.14</v>
      </c>
      <c r="E101" s="14">
        <f>IF(D101="","",D101*'参数与说明'!$B$6/27.2155)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10075</v>
      </c>
      <c r="B102" s="17" t="n">
        <v>1927</v>
      </c>
      <c r="C102" s="17" t="n">
        <v>8</v>
      </c>
      <c r="D102" s="18" t="n">
        <v>2.06</v>
      </c>
      <c r="E102" s="18">
        <f>IF(D102="","",D102*'参数与说明'!$B$6/27.2155)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10106</v>
      </c>
      <c r="B103" s="13" t="n">
        <v>1927</v>
      </c>
      <c r="C103" s="13" t="n">
        <v>9</v>
      </c>
      <c r="D103" s="14" t="n">
        <v>1.91</v>
      </c>
      <c r="E103" s="14">
        <f>IF(D103="","",D103*'参数与说明'!$B$6/27.2155)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10136</v>
      </c>
      <c r="B104" s="17" t="n">
        <v>1927</v>
      </c>
      <c r="C104" s="17" t="n">
        <v>10</v>
      </c>
      <c r="D104" s="18" t="n">
        <v>1.86</v>
      </c>
      <c r="E104" s="18">
        <f>IF(D104="","",D104*'参数与说明'!$B$6/27.2155)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10167</v>
      </c>
      <c r="B105" s="13" t="n">
        <v>1927</v>
      </c>
      <c r="C105" s="13" t="n">
        <v>11</v>
      </c>
      <c r="D105" s="14" t="n">
        <v>1.69</v>
      </c>
      <c r="E105" s="14">
        <f>IF(D105="","",D105*'参数与说明'!$B$6/27.2155)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10197</v>
      </c>
      <c r="B106" s="17" t="n">
        <v>1927</v>
      </c>
      <c r="C106" s="17" t="n">
        <v>12</v>
      </c>
      <c r="D106" s="18" t="n">
        <v>1.61</v>
      </c>
      <c r="E106" s="18">
        <f>IF(D106="","",D106*'参数与说明'!$B$6/27.2155)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10228</v>
      </c>
      <c r="B107" s="13" t="n">
        <v>1928</v>
      </c>
      <c r="C107" s="13" t="n">
        <v>1</v>
      </c>
      <c r="D107" s="14" t="n">
        <v>1.7</v>
      </c>
      <c r="E107" s="14">
        <f>IF(D107="","",D107*'参数与说明'!$B$6/27.2155)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10259</v>
      </c>
      <c r="B108" s="17" t="n">
        <v>1928</v>
      </c>
      <c r="C108" s="17" t="n">
        <v>2</v>
      </c>
      <c r="D108" s="18" t="n">
        <v>1.69</v>
      </c>
      <c r="E108" s="18">
        <f>IF(D108="","",D108*'参数与说明'!$B$6/27.2155)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10288</v>
      </c>
      <c r="B109" s="13" t="n">
        <v>1928</v>
      </c>
      <c r="C109" s="13" t="n">
        <v>3</v>
      </c>
      <c r="D109" s="14" t="n">
        <v>1.85</v>
      </c>
      <c r="E109" s="14">
        <f>IF(D109="","",D109*'参数与说明'!$B$6/27.2155)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10319</v>
      </c>
      <c r="B110" s="17" t="n">
        <v>1928</v>
      </c>
      <c r="C110" s="17" t="n">
        <v>4</v>
      </c>
      <c r="D110" s="18" t="n">
        <v>1.93</v>
      </c>
      <c r="E110" s="18">
        <f>IF(D110="","",D110*'参数与说明'!$B$6/27.2155)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10349</v>
      </c>
      <c r="B111" s="13" t="n">
        <v>1928</v>
      </c>
      <c r="C111" s="13" t="n">
        <v>5</v>
      </c>
      <c r="D111" s="14" t="n">
        <v>2.06</v>
      </c>
      <c r="E111" s="14">
        <f>IF(D111="","",D111*'参数与说明'!$B$6/27.2155)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10380</v>
      </c>
      <c r="B112" s="17" t="n">
        <v>1928</v>
      </c>
      <c r="C112" s="17" t="n">
        <v>6</v>
      </c>
      <c r="D112" s="18" t="n">
        <v>2.13</v>
      </c>
      <c r="E112" s="18">
        <f>IF(D112="","",D112*'参数与说明'!$B$6/27.2155)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10410</v>
      </c>
      <c r="B113" s="13" t="n">
        <v>1928</v>
      </c>
      <c r="C113" s="13" t="n">
        <v>7</v>
      </c>
      <c r="D113" s="14" t="n">
        <v>2.12</v>
      </c>
      <c r="E113" s="14">
        <f>IF(D113="","",D113*'参数与说明'!$B$6/27.2155)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10441</v>
      </c>
      <c r="B114" s="17" t="n">
        <v>1928</v>
      </c>
      <c r="C114" s="17" t="n">
        <v>8</v>
      </c>
      <c r="D114" s="18" t="n">
        <v>2.01</v>
      </c>
      <c r="E114" s="18">
        <f>IF(D114="","",D114*'参数与说明'!$B$6/27.2155)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10472</v>
      </c>
      <c r="B115" s="13" t="n">
        <v>1928</v>
      </c>
      <c r="C115" s="13" t="n">
        <v>9</v>
      </c>
      <c r="D115" s="14" t="n">
        <v>1.89</v>
      </c>
      <c r="E115" s="14">
        <f>IF(D115="","",D115*'参数与说明'!$B$6/27.2155)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10502</v>
      </c>
      <c r="B116" s="17" t="n">
        <v>1928</v>
      </c>
      <c r="C116" s="17" t="n">
        <v>10</v>
      </c>
      <c r="D116" s="18" t="n">
        <v>1.72</v>
      </c>
      <c r="E116" s="18">
        <f>IF(D116="","",D116*'参数与说明'!$B$6/27.2155)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10533</v>
      </c>
      <c r="B117" s="13" t="n">
        <v>1928</v>
      </c>
      <c r="C117" s="13" t="n">
        <v>11</v>
      </c>
      <c r="D117" s="14" t="n">
        <v>1.69</v>
      </c>
      <c r="E117" s="14">
        <f>IF(D117="","",D117*'参数与说明'!$B$6/27.2155)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10563</v>
      </c>
      <c r="B118" s="17" t="n">
        <v>1928</v>
      </c>
      <c r="C118" s="17" t="n">
        <v>12</v>
      </c>
      <c r="D118" s="18" t="n">
        <v>1.7</v>
      </c>
      <c r="E118" s="18">
        <f>IF(D118="","",D118*'参数与说明'!$B$6/27.2155)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10594</v>
      </c>
      <c r="B119" s="13" t="n">
        <v>1929</v>
      </c>
      <c r="C119" s="13" t="n">
        <v>1</v>
      </c>
      <c r="D119" s="14" t="n">
        <v>1.82</v>
      </c>
      <c r="E119" s="14">
        <f>IF(D119="","",D119*'参数与说明'!$B$6/27.2155)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10625</v>
      </c>
      <c r="B120" s="17" t="n">
        <v>1929</v>
      </c>
      <c r="C120" s="17" t="n">
        <v>2</v>
      </c>
      <c r="D120" s="18" t="n">
        <v>1.93</v>
      </c>
      <c r="E120" s="18">
        <f>IF(D120="","",D120*'参数与说明'!$B$6/27.2155)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10653</v>
      </c>
      <c r="B121" s="13" t="n">
        <v>1929</v>
      </c>
      <c r="C121" s="13" t="n">
        <v>3</v>
      </c>
      <c r="D121" s="14" t="n">
        <v>2.13</v>
      </c>
      <c r="E121" s="14">
        <f>IF(D121="","",D121*'参数与说明'!$B$6/27.2155)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10684</v>
      </c>
      <c r="B122" s="17" t="n">
        <v>1929</v>
      </c>
      <c r="C122" s="17" t="n">
        <v>4</v>
      </c>
      <c r="D122" s="18" t="n">
        <v>2.19</v>
      </c>
      <c r="E122" s="18">
        <f>IF(D122="","",D122*'参数与说明'!$B$6/27.2155)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10714</v>
      </c>
      <c r="B123" s="13" t="n">
        <v>1929</v>
      </c>
      <c r="C123" s="13" t="n">
        <v>5</v>
      </c>
      <c r="D123" s="14" t="n">
        <v>2.3</v>
      </c>
      <c r="E123" s="14">
        <f>IF(D123="","",D123*'参数与说明'!$B$6/27.2155)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10745</v>
      </c>
      <c r="B124" s="17" t="n">
        <v>1929</v>
      </c>
      <c r="C124" s="17" t="n">
        <v>6</v>
      </c>
      <c r="D124" s="18" t="n">
        <v>2.41</v>
      </c>
      <c r="E124" s="18">
        <f>IF(D124="","",D124*'参数与说明'!$B$6/27.2155)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10775</v>
      </c>
      <c r="B125" s="13" t="n">
        <v>1929</v>
      </c>
      <c r="C125" s="13" t="n">
        <v>7</v>
      </c>
      <c r="D125" s="14" t="n">
        <v>2.46</v>
      </c>
      <c r="E125" s="14">
        <f>IF(D125="","",D125*'参数与说明'!$B$6/27.2155)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10806</v>
      </c>
      <c r="B126" s="17" t="n">
        <v>1929</v>
      </c>
      <c r="C126" s="17" t="n">
        <v>8</v>
      </c>
      <c r="D126" s="18" t="n">
        <v>2.15</v>
      </c>
      <c r="E126" s="18">
        <f>IF(D126="","",D126*'参数与说明'!$B$6/27.2155)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10837</v>
      </c>
      <c r="B127" s="13" t="n">
        <v>1929</v>
      </c>
      <c r="C127" s="13" t="n">
        <v>9</v>
      </c>
      <c r="D127" s="14" t="n">
        <v>1.87</v>
      </c>
      <c r="E127" s="14">
        <f>IF(D127="","",D127*'参数与说明'!$B$6/27.2155)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10867</v>
      </c>
      <c r="B128" s="17" t="n">
        <v>1929</v>
      </c>
      <c r="C128" s="17" t="n">
        <v>10</v>
      </c>
      <c r="D128" s="18" t="n">
        <v>1.79</v>
      </c>
      <c r="E128" s="18">
        <f>IF(D128="","",D128*'参数与说明'!$B$6/27.2155)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10898</v>
      </c>
      <c r="B129" s="13" t="n">
        <v>1929</v>
      </c>
      <c r="C129" s="13" t="n">
        <v>11</v>
      </c>
      <c r="D129" s="14" t="n">
        <v>1.7</v>
      </c>
      <c r="E129" s="14">
        <f>IF(D129="","",D129*'参数与说明'!$B$6/27.2155)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10928</v>
      </c>
      <c r="B130" s="17" t="n">
        <v>1929</v>
      </c>
      <c r="C130" s="17" t="n">
        <v>12</v>
      </c>
      <c r="D130" s="18" t="n">
        <v>1.72</v>
      </c>
      <c r="E130" s="18">
        <f>IF(D130="","",D130*'参数与说明'!$B$6/27.2155)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10959</v>
      </c>
      <c r="B131" s="13" t="n">
        <v>1930</v>
      </c>
      <c r="C131" s="13" t="n">
        <v>1</v>
      </c>
      <c r="D131" s="14" t="n">
        <v>1.85</v>
      </c>
      <c r="E131" s="14">
        <f>IF(D131="","",D131*'参数与说明'!$B$6/27.2155)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10990</v>
      </c>
      <c r="B132" s="17" t="n">
        <v>1930</v>
      </c>
      <c r="C132" s="17" t="n">
        <v>2</v>
      </c>
      <c r="D132" s="18" t="n">
        <v>1.91</v>
      </c>
      <c r="E132" s="18">
        <f>IF(D132="","",D132*'参数与说明'!$B$6/27.2155)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11018</v>
      </c>
      <c r="B133" s="13" t="n">
        <v>1930</v>
      </c>
      <c r="C133" s="13" t="n">
        <v>3</v>
      </c>
      <c r="D133" s="14" t="n">
        <v>2</v>
      </c>
      <c r="E133" s="14">
        <f>IF(D133="","",D133*'参数与说明'!$B$6/27.2155)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11049</v>
      </c>
      <c r="B134" s="17" t="n">
        <v>1930</v>
      </c>
      <c r="C134" s="17" t="n">
        <v>4</v>
      </c>
      <c r="D134" s="18" t="n">
        <v>2.07</v>
      </c>
      <c r="E134" s="18">
        <f>IF(D134="","",D134*'参数与说明'!$B$6/27.2155)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11079</v>
      </c>
      <c r="B135" s="13" t="n">
        <v>1930</v>
      </c>
      <c r="C135" s="13" t="n">
        <v>5</v>
      </c>
      <c r="D135" s="14" t="n">
        <v>2.11</v>
      </c>
      <c r="E135" s="14">
        <f>IF(D135="","",D135*'参数与说明'!$B$6/27.2155)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11110</v>
      </c>
      <c r="B136" s="17" t="n">
        <v>1930</v>
      </c>
      <c r="C136" s="17" t="n">
        <v>6</v>
      </c>
      <c r="D136" s="18" t="n">
        <v>2.16</v>
      </c>
      <c r="E136" s="18">
        <f>IF(D136="","",D136*'参数与说明'!$B$6/27.2155)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11140</v>
      </c>
      <c r="B137" s="13" t="n">
        <v>1930</v>
      </c>
      <c r="C137" s="13" t="n">
        <v>7</v>
      </c>
      <c r="D137" s="14" t="n">
        <v>1.96</v>
      </c>
      <c r="E137" s="14">
        <f>IF(D137="","",D137*'参数与说明'!$B$6/27.2155)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11171</v>
      </c>
      <c r="B138" s="17" t="n">
        <v>1930</v>
      </c>
      <c r="C138" s="17" t="n">
        <v>8</v>
      </c>
      <c r="D138" s="18" t="n">
        <v>1.9</v>
      </c>
      <c r="E138" s="18">
        <f>IF(D138="","",D138*'参数与说明'!$B$6/27.2155)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11202</v>
      </c>
      <c r="B139" s="13" t="n">
        <v>1930</v>
      </c>
      <c r="C139" s="13" t="n">
        <v>9</v>
      </c>
      <c r="D139" s="14" t="n">
        <v>1.8</v>
      </c>
      <c r="E139" s="14">
        <f>IF(D139="","",D139*'参数与说明'!$B$6/27.2155)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11232</v>
      </c>
      <c r="B140" s="17" t="n">
        <v>1930</v>
      </c>
      <c r="C140" s="17" t="n">
        <v>10</v>
      </c>
      <c r="D140" s="18" t="n">
        <v>1.64</v>
      </c>
      <c r="E140" s="18">
        <f>IF(D140="","",D140*'参数与说明'!$B$6/27.2155)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11263</v>
      </c>
      <c r="B141" s="13" t="n">
        <v>1930</v>
      </c>
      <c r="C141" s="13" t="n">
        <v>11</v>
      </c>
      <c r="D141" s="14" t="n">
        <v>1.48</v>
      </c>
      <c r="E141" s="14">
        <f>IF(D141="","",D141*'参数与说明'!$B$6/27.2155)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11293</v>
      </c>
      <c r="B142" s="17" t="n">
        <v>1930</v>
      </c>
      <c r="C142" s="17" t="n">
        <v>12</v>
      </c>
      <c r="D142" s="18" t="n">
        <v>1.44</v>
      </c>
      <c r="E142" s="18">
        <f>IF(D142="","",D142*'参数与说明'!$B$6/27.2155)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11324</v>
      </c>
      <c r="B143" s="13" t="n">
        <v>1931</v>
      </c>
      <c r="C143" s="13" t="n">
        <v>1</v>
      </c>
      <c r="D143" s="14" t="n">
        <v>1.46</v>
      </c>
      <c r="E143" s="14">
        <f>IF(D143="","",D143*'参数与说明'!$B$6/27.2155)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11355</v>
      </c>
      <c r="B144" s="17" t="n">
        <v>1931</v>
      </c>
      <c r="C144" s="17" t="n">
        <v>2</v>
      </c>
      <c r="D144" s="18" t="n">
        <v>1.4</v>
      </c>
      <c r="E144" s="18">
        <f>IF(D144="","",D144*'参数与说明'!$B$6/27.2155)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11383</v>
      </c>
      <c r="B145" s="13" t="n">
        <v>1931</v>
      </c>
      <c r="C145" s="13" t="n">
        <v>3</v>
      </c>
      <c r="D145" s="14" t="n">
        <v>1.42</v>
      </c>
      <c r="E145" s="14">
        <f>IF(D145="","",D145*'参数与说明'!$B$6/27.2155)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11414</v>
      </c>
      <c r="B146" s="17" t="n">
        <v>1931</v>
      </c>
      <c r="C146" s="17" t="n">
        <v>4</v>
      </c>
      <c r="D146" s="18" t="n">
        <v>1.38</v>
      </c>
      <c r="E146" s="18">
        <f>IF(D146="","",D146*'参数与说明'!$B$6/27.2155)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11444</v>
      </c>
      <c r="B147" s="13" t="n">
        <v>1931</v>
      </c>
      <c r="C147" s="13" t="n">
        <v>5</v>
      </c>
      <c r="D147" s="14" t="n">
        <v>1.39</v>
      </c>
      <c r="E147" s="14">
        <f>IF(D147="","",D147*'参数与说明'!$B$6/27.2155)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11475</v>
      </c>
      <c r="B148" s="17" t="n">
        <v>1931</v>
      </c>
      <c r="C148" s="17" t="n">
        <v>6</v>
      </c>
      <c r="D148" s="18" t="n">
        <v>1.29</v>
      </c>
      <c r="E148" s="18">
        <f>IF(D148="","",D148*'参数与说明'!$B$6/27.2155)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11505</v>
      </c>
      <c r="B149" s="13" t="n">
        <v>1931</v>
      </c>
      <c r="C149" s="13" t="n">
        <v>7</v>
      </c>
      <c r="D149" s="14" t="n">
        <v>1.12</v>
      </c>
      <c r="E149" s="14">
        <f>IF(D149="","",D149*'参数与说明'!$B$6/27.2155)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11536</v>
      </c>
      <c r="B150" s="17" t="n">
        <v>1931</v>
      </c>
      <c r="C150" s="17" t="n">
        <v>8</v>
      </c>
      <c r="D150" s="18" t="n">
        <v>0.9399999999999999</v>
      </c>
      <c r="E150" s="18">
        <f>IF(D150="","",D150*'参数与说明'!$B$6/27.2155)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11567</v>
      </c>
      <c r="B151" s="13" t="n">
        <v>1931</v>
      </c>
      <c r="C151" s="13" t="n">
        <v>9</v>
      </c>
      <c r="D151" s="14" t="n">
        <v>0.82</v>
      </c>
      <c r="E151" s="14">
        <f>IF(D151="","",D151*'参数与说明'!$B$6/27.2155)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11597</v>
      </c>
      <c r="B152" s="17" t="n">
        <v>1931</v>
      </c>
      <c r="C152" s="17" t="n">
        <v>10</v>
      </c>
      <c r="D152" s="18" t="n">
        <v>0.52</v>
      </c>
      <c r="E152" s="18">
        <f>IF(D152="","",D152*'参数与说明'!$B$6/27.2155)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11628</v>
      </c>
      <c r="B153" s="13" t="n">
        <v>1931</v>
      </c>
      <c r="C153" s="13" t="n">
        <v>11</v>
      </c>
      <c r="D153" s="14" t="n">
        <v>0.47</v>
      </c>
      <c r="E153" s="14">
        <f>IF(D153="","",D153*'参数与说明'!$B$6/27.2155)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11658</v>
      </c>
      <c r="B154" s="17" t="n">
        <v>1931</v>
      </c>
      <c r="C154" s="17" t="n">
        <v>12</v>
      </c>
      <c r="D154" s="18" t="n">
        <v>0.47</v>
      </c>
      <c r="E154" s="18">
        <f>IF(D154="","",D154*'参数与说明'!$B$6/27.2155)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11689</v>
      </c>
      <c r="B155" s="13" t="n">
        <v>1932</v>
      </c>
      <c r="C155" s="13" t="n">
        <v>1</v>
      </c>
      <c r="D155" s="14" t="n">
        <v>0.47</v>
      </c>
      <c r="E155" s="14">
        <f>IF(D155="","",D155*'参数与说明'!$B$6/27.2155)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11720</v>
      </c>
      <c r="B156" s="17" t="n">
        <v>1932</v>
      </c>
      <c r="C156" s="17" t="n">
        <v>2</v>
      </c>
      <c r="D156" s="18" t="n">
        <v>0.48</v>
      </c>
      <c r="E156" s="18">
        <f>IF(D156="","",D156*'参数与说明'!$B$6/27.2155)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11749</v>
      </c>
      <c r="B157" s="13" t="n">
        <v>1932</v>
      </c>
      <c r="C157" s="13" t="n">
        <v>3</v>
      </c>
      <c r="D157" s="14" t="n">
        <v>0.51</v>
      </c>
      <c r="E157" s="14">
        <f>IF(D157="","",D157*'参数与说明'!$B$6/27.2155)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11780</v>
      </c>
      <c r="B158" s="17" t="n">
        <v>1932</v>
      </c>
      <c r="C158" s="17" t="n">
        <v>4</v>
      </c>
      <c r="D158" s="18" t="n">
        <v>0.51</v>
      </c>
      <c r="E158" s="18">
        <f>IF(D158="","",D158*'参数与说明'!$B$6/27.2155)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11810</v>
      </c>
      <c r="B159" s="13" t="n">
        <v>1932</v>
      </c>
      <c r="C159" s="13" t="n">
        <v>5</v>
      </c>
      <c r="D159" s="14" t="n">
        <v>0.52</v>
      </c>
      <c r="E159" s="14">
        <f>IF(D159="","",D159*'参数与说明'!$B$6/27.2155)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11841</v>
      </c>
      <c r="B160" s="17" t="n">
        <v>1932</v>
      </c>
      <c r="C160" s="17" t="n">
        <v>6</v>
      </c>
      <c r="D160" s="18" t="n">
        <v>0.51</v>
      </c>
      <c r="E160" s="18">
        <f>IF(D160="","",D160*'参数与说明'!$B$6/27.2155)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11871</v>
      </c>
      <c r="B161" s="13" t="n">
        <v>1932</v>
      </c>
      <c r="C161" s="13" t="n">
        <v>7</v>
      </c>
      <c r="D161" s="14" t="n">
        <v>0.47</v>
      </c>
      <c r="E161" s="14">
        <f>IF(D161="","",D161*'参数与说明'!$B$6/27.2155)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11902</v>
      </c>
      <c r="B162" s="17" t="n">
        <v>1932</v>
      </c>
      <c r="C162" s="17" t="n">
        <v>8</v>
      </c>
      <c r="D162" s="18" t="n">
        <v>0.47</v>
      </c>
      <c r="E162" s="18">
        <f>IF(D162="","",D162*'参数与说明'!$B$6/27.2155)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11933</v>
      </c>
      <c r="B163" s="13" t="n">
        <v>1932</v>
      </c>
      <c r="C163" s="13" t="n">
        <v>9</v>
      </c>
      <c r="D163" s="14" t="n">
        <v>0.47</v>
      </c>
      <c r="E163" s="14">
        <f>IF(D163="","",D163*'参数与说明'!$B$6/27.2155)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11963</v>
      </c>
      <c r="B164" s="17" t="n">
        <v>1932</v>
      </c>
      <c r="C164" s="17" t="n">
        <v>10</v>
      </c>
      <c r="D164" s="18" t="n">
        <v>0.46</v>
      </c>
      <c r="E164" s="18">
        <f>IF(D164="","",D164*'参数与说明'!$B$6/27.2155)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11994</v>
      </c>
      <c r="B165" s="13" t="n">
        <v>1932</v>
      </c>
      <c r="C165" s="13" t="n">
        <v>11</v>
      </c>
      <c r="D165" s="14" t="n">
        <v>0.45</v>
      </c>
      <c r="E165" s="14">
        <f>IF(D165="","",D165*'参数与说明'!$B$6/27.2155)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12024</v>
      </c>
      <c r="B166" s="17" t="n">
        <v>1932</v>
      </c>
      <c r="C166" s="17" t="n">
        <v>12</v>
      </c>
      <c r="D166" s="18" t="n">
        <v>0.44</v>
      </c>
      <c r="E166" s="18">
        <f>IF(D166="","",D166*'参数与说明'!$B$6/27.2155)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12055</v>
      </c>
      <c r="B167" s="13" t="n">
        <v>1933</v>
      </c>
      <c r="C167" s="13" t="n">
        <v>1</v>
      </c>
      <c r="D167" s="14" t="n">
        <v>0.45</v>
      </c>
      <c r="E167" s="14">
        <f>IF(D167="","",D167*'参数与说明'!$B$6/27.2155)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12086</v>
      </c>
      <c r="B168" s="17" t="n">
        <v>1933</v>
      </c>
      <c r="C168" s="17" t="n">
        <v>2</v>
      </c>
      <c r="D168" s="18" t="n">
        <v>0.45</v>
      </c>
      <c r="E168" s="18">
        <f>IF(D168="","",D168*'参数与说明'!$B$6/27.2155)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12114</v>
      </c>
      <c r="B169" s="13" t="n">
        <v>1933</v>
      </c>
      <c r="C169" s="13" t="n">
        <v>3</v>
      </c>
      <c r="D169" s="14" t="n">
        <v>0.48</v>
      </c>
      <c r="E169" s="14">
        <f>IF(D169="","",D169*'参数与说明'!$B$6/27.2155)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12145</v>
      </c>
      <c r="B170" s="17" t="n">
        <v>1933</v>
      </c>
      <c r="C170" s="17" t="n">
        <v>4</v>
      </c>
      <c r="D170" s="18" t="n">
        <v>0.58</v>
      </c>
      <c r="E170" s="18">
        <f>IF(D170="","",D170*'参数与说明'!$B$6/27.2155)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12175</v>
      </c>
      <c r="B171" s="13" t="n">
        <v>1933</v>
      </c>
      <c r="C171" s="13" t="n">
        <v>5</v>
      </c>
      <c r="D171" s="14" t="n">
        <v>0.86</v>
      </c>
      <c r="E171" s="14">
        <f>IF(D171="","",D171*'参数与说明'!$B$6/27.2155)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12206</v>
      </c>
      <c r="B172" s="17" t="n">
        <v>1933</v>
      </c>
      <c r="C172" s="17" t="n">
        <v>6</v>
      </c>
      <c r="D172" s="18" t="n">
        <v>0.98</v>
      </c>
      <c r="E172" s="18">
        <f>IF(D172="","",D172*'参数与说明'!$B$6/27.2155)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12236</v>
      </c>
      <c r="B173" s="13" t="n">
        <v>1933</v>
      </c>
      <c r="C173" s="13" t="n">
        <v>7</v>
      </c>
      <c r="D173" s="14" t="n">
        <v>1.04</v>
      </c>
      <c r="E173" s="14">
        <f>IF(D173="","",D173*'参数与说明'!$B$6/27.2155)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12267</v>
      </c>
      <c r="B174" s="17" t="n">
        <v>1933</v>
      </c>
      <c r="C174" s="17" t="n">
        <v>8</v>
      </c>
      <c r="D174" s="18" t="n">
        <v>0.9399999999999999</v>
      </c>
      <c r="E174" s="18">
        <f>IF(D174="","",D174*'参数与说明'!$B$6/27.2155)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12298</v>
      </c>
      <c r="B175" s="13" t="n">
        <v>1933</v>
      </c>
      <c r="C175" s="13" t="n">
        <v>9</v>
      </c>
      <c r="D175" s="14" t="n">
        <v>0.85</v>
      </c>
      <c r="E175" s="14">
        <f>IF(D175="","",D175*'参数与说明'!$B$6/27.2155)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12328</v>
      </c>
      <c r="B176" s="17" t="n">
        <v>1933</v>
      </c>
      <c r="C176" s="17" t="n">
        <v>10</v>
      </c>
      <c r="D176" s="18" t="n">
        <v>0.68</v>
      </c>
      <c r="E176" s="18">
        <f>IF(D176="","",D176*'参数与说明'!$B$6/27.2155)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12359</v>
      </c>
      <c r="B177" s="13" t="n">
        <v>1933</v>
      </c>
      <c r="C177" s="13" t="n">
        <v>11</v>
      </c>
      <c r="D177" s="14" t="n">
        <v>0.6899999999999999</v>
      </c>
      <c r="E177" s="14">
        <f>IF(D177="","",D177*'参数与说明'!$B$6/27.2155)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12389</v>
      </c>
      <c r="B178" s="17" t="n">
        <v>1933</v>
      </c>
      <c r="C178" s="17" t="n">
        <v>12</v>
      </c>
      <c r="D178" s="18" t="n">
        <v>0.73</v>
      </c>
      <c r="E178" s="18">
        <f>IF(D178="","",D178*'参数与说明'!$B$6/27.2155)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12420</v>
      </c>
      <c r="B179" s="13" t="n">
        <v>1934</v>
      </c>
      <c r="C179" s="13" t="n">
        <v>1</v>
      </c>
      <c r="D179" s="14" t="n">
        <v>0.8100000000000001</v>
      </c>
      <c r="E179" s="14">
        <f>IF(D179="","",D179*'参数与说明'!$B$6/27.2155)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12451</v>
      </c>
      <c r="B180" s="17" t="n">
        <v>1934</v>
      </c>
      <c r="C180" s="17" t="n">
        <v>2</v>
      </c>
      <c r="D180" s="18" t="n">
        <v>1.01</v>
      </c>
      <c r="E180" s="18">
        <f>IF(D180="","",D180*'参数与说明'!$B$6/27.2155)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12479</v>
      </c>
      <c r="B181" s="13" t="n">
        <v>1934</v>
      </c>
      <c r="C181" s="13" t="n">
        <v>3</v>
      </c>
      <c r="D181" s="14" t="n">
        <v>1.16</v>
      </c>
      <c r="E181" s="14">
        <f>IF(D181="","",D181*'参数与说明'!$B$6/27.2155)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12510</v>
      </c>
      <c r="B182" s="17" t="n">
        <v>1934</v>
      </c>
      <c r="C182" s="17" t="n">
        <v>4</v>
      </c>
      <c r="D182" s="18" t="n">
        <v>1.26</v>
      </c>
      <c r="E182" s="18">
        <f>IF(D182="","",D182*'参数与说明'!$B$6/27.2155)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12540</v>
      </c>
      <c r="B183" s="13" t="n">
        <v>1934</v>
      </c>
      <c r="C183" s="13" t="n">
        <v>5</v>
      </c>
      <c r="D183" s="14" t="n">
        <v>1.25</v>
      </c>
      <c r="E183" s="14">
        <f>IF(D183="","",D183*'参数与说明'!$B$6/27.2155)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12571</v>
      </c>
      <c r="B184" s="17" t="n">
        <v>1934</v>
      </c>
      <c r="C184" s="17" t="n">
        <v>6</v>
      </c>
      <c r="D184" s="18" t="n">
        <v>1.45</v>
      </c>
      <c r="E184" s="18">
        <f>IF(D184="","",D184*'参数与说明'!$B$6/27.2155)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12601</v>
      </c>
      <c r="B185" s="13" t="n">
        <v>1934</v>
      </c>
      <c r="C185" s="13" t="n">
        <v>7</v>
      </c>
      <c r="D185" s="14" t="n">
        <v>1.54</v>
      </c>
      <c r="E185" s="14">
        <f>IF(D185="","",D185*'参数与说明'!$B$6/27.2155)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12632</v>
      </c>
      <c r="B186" s="17" t="n">
        <v>1934</v>
      </c>
      <c r="C186" s="17" t="n">
        <v>8</v>
      </c>
      <c r="D186" s="18" t="n">
        <v>1.25</v>
      </c>
      <c r="E186" s="18">
        <f>IF(D186="","",D186*'参数与说明'!$B$6/27.2155)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12663</v>
      </c>
      <c r="B187" s="13" t="n">
        <v>1934</v>
      </c>
      <c r="C187" s="13" t="n">
        <v>9</v>
      </c>
      <c r="D187" s="14" t="n">
        <v>1.05</v>
      </c>
      <c r="E187" s="14">
        <f>IF(D187="","",D187*'参数与说明'!$B$6/27.2155)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12693</v>
      </c>
      <c r="B188" s="17" t="n">
        <v>1934</v>
      </c>
      <c r="C188" s="17" t="n">
        <v>10</v>
      </c>
      <c r="D188" s="18" t="n">
        <v>0.95</v>
      </c>
      <c r="E188" s="18">
        <f>IF(D188="","",D188*'参数与说明'!$B$6/27.2155)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12724</v>
      </c>
      <c r="B189" s="13" t="n">
        <v>1934</v>
      </c>
      <c r="C189" s="13" t="n">
        <v>11</v>
      </c>
      <c r="D189" s="14" t="n">
        <v>0.89</v>
      </c>
      <c r="E189" s="14">
        <f>IF(D189="","",D189*'参数与说明'!$B$6/27.2155)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12754</v>
      </c>
      <c r="B190" s="17" t="n">
        <v>1934</v>
      </c>
      <c r="C190" s="17" t="n">
        <v>12</v>
      </c>
      <c r="D190" s="18" t="n">
        <v>1.11</v>
      </c>
      <c r="E190" s="18">
        <f>IF(D190="","",D190*'参数与说明'!$B$6/27.2155)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12785</v>
      </c>
      <c r="B191" s="13" t="n">
        <v>1935</v>
      </c>
      <c r="C191" s="13" t="n">
        <v>1</v>
      </c>
      <c r="D191" s="14" t="n">
        <v>1.19</v>
      </c>
      <c r="E191" s="14">
        <f>IF(D191="","",D191*'参数与说明'!$B$6/27.2155)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12816</v>
      </c>
      <c r="B192" s="17" t="n">
        <v>1935</v>
      </c>
      <c r="C192" s="17" t="n">
        <v>2</v>
      </c>
      <c r="D192" s="18" t="n">
        <v>1.27</v>
      </c>
      <c r="E192" s="18">
        <f>IF(D192="","",D192*'参数与说明'!$B$6/27.2155)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12844</v>
      </c>
      <c r="B193" s="13" t="n">
        <v>1935</v>
      </c>
      <c r="C193" s="13" t="n">
        <v>3</v>
      </c>
      <c r="D193" s="14" t="n">
        <v>1.2</v>
      </c>
      <c r="E193" s="14">
        <f>IF(D193="","",D193*'参数与说明'!$B$6/27.2155)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12875</v>
      </c>
      <c r="B194" s="17" t="n">
        <v>1935</v>
      </c>
      <c r="C194" s="17" t="n">
        <v>4</v>
      </c>
      <c r="D194" s="18" t="n">
        <v>1.18</v>
      </c>
      <c r="E194" s="18">
        <f>IF(D194="","",D194*'参数与说明'!$B$6/27.2155)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12905</v>
      </c>
      <c r="B195" s="13" t="n">
        <v>1935</v>
      </c>
      <c r="C195" s="13" t="n">
        <v>5</v>
      </c>
      <c r="D195" s="14" t="n">
        <v>1.21</v>
      </c>
      <c r="E195" s="14">
        <f>IF(D195="","",D195*'参数与说明'!$B$6/27.2155)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12936</v>
      </c>
      <c r="B196" s="17" t="n">
        <v>1935</v>
      </c>
      <c r="C196" s="17" t="n">
        <v>6</v>
      </c>
      <c r="D196" s="18" t="n">
        <v>1.19</v>
      </c>
      <c r="E196" s="18">
        <f>IF(D196="","",D196*'参数与说明'!$B$6/27.2155)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12966</v>
      </c>
      <c r="B197" s="13" t="n">
        <v>1935</v>
      </c>
      <c r="C197" s="13" t="n">
        <v>7</v>
      </c>
      <c r="D197" s="14" t="n">
        <v>0.98</v>
      </c>
      <c r="E197" s="14">
        <f>IF(D197="","",D197*'参数与说明'!$B$6/27.2155)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12997</v>
      </c>
      <c r="B198" s="17" t="n">
        <v>1935</v>
      </c>
      <c r="C198" s="17" t="n">
        <v>8</v>
      </c>
      <c r="D198" s="18" t="n">
        <v>0.73</v>
      </c>
      <c r="E198" s="18">
        <f>IF(D198="","",D198*'参数与说明'!$B$6/27.2155)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13028</v>
      </c>
      <c r="B199" s="13" t="n">
        <v>1935</v>
      </c>
      <c r="C199" s="13" t="n">
        <v>9</v>
      </c>
      <c r="D199" s="14" t="n">
        <v>0.6899999999999999</v>
      </c>
      <c r="E199" s="14">
        <f>IF(D199="","",D199*'参数与说明'!$B$6/27.2155)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13058</v>
      </c>
      <c r="B200" s="17" t="n">
        <v>1935</v>
      </c>
      <c r="C200" s="17" t="n">
        <v>10</v>
      </c>
      <c r="D200" s="18" t="n">
        <v>0.68</v>
      </c>
      <c r="E200" s="18">
        <f>IF(D200="","",D200*'参数与说明'!$B$6/27.2155)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13089</v>
      </c>
      <c r="B201" s="13" t="n">
        <v>1935</v>
      </c>
      <c r="C201" s="13" t="n">
        <v>11</v>
      </c>
      <c r="D201" s="14" t="n">
        <v>0.6899999999999999</v>
      </c>
      <c r="E201" s="14">
        <f>IF(D201="","",D201*'参数与说明'!$B$6/27.2155)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13119</v>
      </c>
      <c r="B202" s="17" t="n">
        <v>1935</v>
      </c>
      <c r="C202" s="17" t="n">
        <v>12</v>
      </c>
      <c r="D202" s="18" t="n">
        <v>0.72</v>
      </c>
      <c r="E202" s="18">
        <f>IF(D202="","",D202*'参数与说明'!$B$6/27.2155)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13150</v>
      </c>
      <c r="B203" s="13" t="n">
        <v>1936</v>
      </c>
      <c r="C203" s="13" t="n">
        <v>1</v>
      </c>
      <c r="D203" s="14" t="n">
        <v>0.76</v>
      </c>
      <c r="E203" s="14">
        <f>IF(D203="","",D203*'参数与说明'!$B$6/27.2155)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13181</v>
      </c>
      <c r="B204" s="17" t="n">
        <v>1936</v>
      </c>
      <c r="C204" s="17" t="n">
        <v>2</v>
      </c>
      <c r="D204" s="18" t="n">
        <v>0.77</v>
      </c>
      <c r="E204" s="18">
        <f>IF(D204="","",D204*'参数与说明'!$B$6/27.2155)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13210</v>
      </c>
      <c r="B205" s="13" t="n">
        <v>1936</v>
      </c>
      <c r="C205" s="13" t="n">
        <v>3</v>
      </c>
      <c r="D205" s="14" t="n">
        <v>0.78</v>
      </c>
      <c r="E205" s="14">
        <f>IF(D205="","",D205*'参数与说明'!$B$6/27.2155)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13241</v>
      </c>
      <c r="B206" s="17" t="n">
        <v>1936</v>
      </c>
      <c r="C206" s="17" t="n">
        <v>4</v>
      </c>
      <c r="D206" s="18" t="n">
        <v>0.78</v>
      </c>
      <c r="E206" s="18">
        <f>IF(D206="","",D206*'参数与说明'!$B$6/27.2155)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13271</v>
      </c>
      <c r="B207" s="13" t="n">
        <v>1936</v>
      </c>
      <c r="C207" s="13" t="n">
        <v>5</v>
      </c>
      <c r="D207" s="14" t="n">
        <v>0.83</v>
      </c>
      <c r="E207" s="14">
        <f>IF(D207="","",D207*'参数与说明'!$B$6/27.2155)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13302</v>
      </c>
      <c r="B208" s="17" t="n">
        <v>1936</v>
      </c>
      <c r="C208" s="17" t="n">
        <v>6</v>
      </c>
      <c r="D208" s="18" t="n">
        <v>0.85</v>
      </c>
      <c r="E208" s="18">
        <f>IF(D208="","",D208*'参数与说明'!$B$6/27.2155)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13332</v>
      </c>
      <c r="B209" s="13" t="n">
        <v>1936</v>
      </c>
      <c r="C209" s="13" t="n">
        <v>7</v>
      </c>
      <c r="D209" s="14" t="n">
        <v>1.05</v>
      </c>
      <c r="E209" s="14">
        <f>IF(D209="","",D209*'参数与说明'!$B$6/27.2155)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13363</v>
      </c>
      <c r="B210" s="17" t="n">
        <v>1936</v>
      </c>
      <c r="C210" s="17" t="n">
        <v>8</v>
      </c>
      <c r="D210" s="18" t="n">
        <v>1.19</v>
      </c>
      <c r="E210" s="18">
        <f>IF(D210="","",D210*'参数与说明'!$B$6/27.2155)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13394</v>
      </c>
      <c r="B211" s="13" t="n">
        <v>1936</v>
      </c>
      <c r="C211" s="13" t="n">
        <v>9</v>
      </c>
      <c r="D211" s="14" t="n">
        <v>1.1</v>
      </c>
      <c r="E211" s="14">
        <f>IF(D211="","",D211*'参数与说明'!$B$6/27.2155)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13424</v>
      </c>
      <c r="B212" s="17" t="n">
        <v>1936</v>
      </c>
      <c r="C212" s="17" t="n">
        <v>10</v>
      </c>
      <c r="D212" s="18" t="n">
        <v>1.07</v>
      </c>
      <c r="E212" s="18">
        <f>IF(D212="","",D212*'参数与说明'!$B$6/27.2155)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13455</v>
      </c>
      <c r="B213" s="13" t="n">
        <v>1936</v>
      </c>
      <c r="C213" s="13" t="n">
        <v>11</v>
      </c>
      <c r="D213" s="14" t="n">
        <v>1.12</v>
      </c>
      <c r="E213" s="14">
        <f>IF(D213="","",D213*'参数与说明'!$B$6/27.2155)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13485</v>
      </c>
      <c r="B214" s="17" t="n">
        <v>1936</v>
      </c>
      <c r="C214" s="17" t="n">
        <v>12</v>
      </c>
      <c r="D214" s="18" t="n">
        <v>1.3</v>
      </c>
      <c r="E214" s="18">
        <f>IF(D214="","",D214*'参数与说明'!$B$6/27.2155)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13516</v>
      </c>
      <c r="B215" s="13" t="n">
        <v>1937</v>
      </c>
      <c r="C215" s="13" t="n">
        <v>1</v>
      </c>
      <c r="D215" s="14" t="n">
        <v>1.43</v>
      </c>
      <c r="E215" s="14">
        <f>IF(D215="","",D215*'参数与说明'!$B$6/27.2155)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13547</v>
      </c>
      <c r="B216" s="17" t="n">
        <v>1937</v>
      </c>
      <c r="C216" s="17" t="n">
        <v>2</v>
      </c>
      <c r="D216" s="18" t="n">
        <v>1.5</v>
      </c>
      <c r="E216" s="18">
        <f>IF(D216="","",D216*'参数与说明'!$B$6/27.2155)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13575</v>
      </c>
      <c r="B217" s="13" t="n">
        <v>1937</v>
      </c>
      <c r="C217" s="13" t="n">
        <v>3</v>
      </c>
      <c r="D217" s="14" t="n">
        <v>1.52</v>
      </c>
      <c r="E217" s="14">
        <f>IF(D217="","",D217*'参数与说明'!$B$6/27.2155)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13606</v>
      </c>
      <c r="B218" s="17" t="n">
        <v>1937</v>
      </c>
      <c r="C218" s="17" t="n">
        <v>4</v>
      </c>
      <c r="D218" s="18" t="n">
        <v>1.66</v>
      </c>
      <c r="E218" s="18">
        <f>IF(D218="","",D218*'参数与说明'!$B$6/27.2155)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13636</v>
      </c>
      <c r="B219" s="13" t="n">
        <v>1937</v>
      </c>
      <c r="C219" s="13" t="n">
        <v>5</v>
      </c>
      <c r="D219" s="14" t="n">
        <v>1.74</v>
      </c>
      <c r="E219" s="14">
        <f>IF(D219="","",D219*'参数与说明'!$B$6/27.2155)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13667</v>
      </c>
      <c r="B220" s="17" t="n">
        <v>1937</v>
      </c>
      <c r="C220" s="17" t="n">
        <v>6</v>
      </c>
      <c r="D220" s="18" t="n">
        <v>1.5</v>
      </c>
      <c r="E220" s="18">
        <f>IF(D220="","",D220*'参数与说明'!$B$6/27.2155)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13697</v>
      </c>
      <c r="B221" s="13" t="n">
        <v>1937</v>
      </c>
      <c r="C221" s="13" t="n">
        <v>7</v>
      </c>
      <c r="D221" s="14" t="n">
        <v>1.32</v>
      </c>
      <c r="E221" s="14">
        <f>IF(D221="","",D221*'参数与说明'!$B$6/27.2155)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13728</v>
      </c>
      <c r="B222" s="17" t="n">
        <v>1937</v>
      </c>
      <c r="C222" s="17" t="n">
        <v>8</v>
      </c>
      <c r="D222" s="18" t="n">
        <v>1.02</v>
      </c>
      <c r="E222" s="18">
        <f>IF(D222="","",D222*'参数与说明'!$B$6/27.2155)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13759</v>
      </c>
      <c r="B223" s="13" t="n">
        <v>1937</v>
      </c>
      <c r="C223" s="13" t="n">
        <v>9</v>
      </c>
      <c r="D223" s="14" t="n">
        <v>0.9</v>
      </c>
      <c r="E223" s="14">
        <f>IF(D223="","",D223*'参数与说明'!$B$6/27.2155)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13789</v>
      </c>
      <c r="B224" s="17" t="n">
        <v>1937</v>
      </c>
      <c r="C224" s="17" t="n">
        <v>10</v>
      </c>
      <c r="D224" s="18" t="n">
        <v>0.86</v>
      </c>
      <c r="E224" s="18">
        <f>IF(D224="","",D224*'参数与说明'!$B$6/27.2155)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13820</v>
      </c>
      <c r="B225" s="13" t="n">
        <v>1937</v>
      </c>
      <c r="C225" s="13" t="n">
        <v>11</v>
      </c>
      <c r="D225" s="14" t="n">
        <v>0.83</v>
      </c>
      <c r="E225" s="14">
        <f>IF(D225="","",D225*'参数与说明'!$B$6/27.2155)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13850</v>
      </c>
      <c r="B226" s="17" t="n">
        <v>1937</v>
      </c>
      <c r="C226" s="17" t="n">
        <v>12</v>
      </c>
      <c r="D226" s="18" t="n">
        <v>0.83</v>
      </c>
      <c r="E226" s="18">
        <f>IF(D226="","",D226*'参数与说明'!$B$6/27.2155)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13881</v>
      </c>
      <c r="B227" s="13" t="n">
        <v>1938</v>
      </c>
      <c r="C227" s="13" t="n">
        <v>1</v>
      </c>
      <c r="D227" s="14" t="n">
        <v>0.88</v>
      </c>
      <c r="E227" s="14">
        <f>IF(D227="","",D227*'参数与说明'!$B$6/27.2155)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13912</v>
      </c>
      <c r="B228" s="17" t="n">
        <v>1938</v>
      </c>
      <c r="C228" s="17" t="n">
        <v>2</v>
      </c>
      <c r="D228" s="18" t="n">
        <v>0.93</v>
      </c>
      <c r="E228" s="18">
        <f>IF(D228="","",D228*'参数与说明'!$B$6/27.2155)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13940</v>
      </c>
      <c r="B229" s="13" t="n">
        <v>1938</v>
      </c>
      <c r="C229" s="13" t="n">
        <v>3</v>
      </c>
      <c r="D229" s="14" t="n">
        <v>0.89</v>
      </c>
      <c r="E229" s="14">
        <f>IF(D229="","",D229*'参数与说明'!$B$6/27.2155)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13971</v>
      </c>
      <c r="B230" s="17" t="n">
        <v>1938</v>
      </c>
      <c r="C230" s="17" t="n">
        <v>4</v>
      </c>
      <c r="D230" s="18" t="n">
        <v>0.85</v>
      </c>
      <c r="E230" s="18">
        <f>IF(D230="","",D230*'参数与说明'!$B$6/27.2155)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14001</v>
      </c>
      <c r="B231" s="13" t="n">
        <v>1938</v>
      </c>
      <c r="C231" s="13" t="n">
        <v>5</v>
      </c>
      <c r="D231" s="14" t="n">
        <v>0.87</v>
      </c>
      <c r="E231" s="14">
        <f>IF(D231="","",D231*'参数与说明'!$B$6/27.2155)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14032</v>
      </c>
      <c r="B232" s="17" t="n">
        <v>1938</v>
      </c>
      <c r="C232" s="17" t="n">
        <v>6</v>
      </c>
      <c r="D232" s="18" t="n">
        <v>0.86</v>
      </c>
      <c r="E232" s="18">
        <f>IF(D232="","",D232*'参数与说明'!$B$6/27.2155)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14062</v>
      </c>
      <c r="B233" s="13" t="n">
        <v>1938</v>
      </c>
      <c r="C233" s="13" t="n">
        <v>7</v>
      </c>
      <c r="D233" s="14" t="n">
        <v>0.85</v>
      </c>
      <c r="E233" s="14">
        <f>IF(D233="","",D233*'参数与说明'!$B$6/27.2155)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14093</v>
      </c>
      <c r="B234" s="17" t="n">
        <v>1938</v>
      </c>
      <c r="C234" s="17" t="n">
        <v>8</v>
      </c>
      <c r="D234" s="18" t="n">
        <v>0.75</v>
      </c>
      <c r="E234" s="18">
        <f>IF(D234="","",D234*'参数与说明'!$B$6/27.2155)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14124</v>
      </c>
      <c r="B235" s="13" t="n">
        <v>1938</v>
      </c>
      <c r="C235" s="13" t="n">
        <v>9</v>
      </c>
      <c r="D235" s="14" t="n">
        <v>0.71</v>
      </c>
      <c r="E235" s="14">
        <f>IF(D235="","",D235*'参数与说明'!$B$6/27.2155)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14154</v>
      </c>
      <c r="B236" s="17" t="n">
        <v>1938</v>
      </c>
      <c r="C236" s="17" t="n">
        <v>10</v>
      </c>
      <c r="D236" s="18" t="n">
        <v>0.64</v>
      </c>
      <c r="E236" s="18">
        <f>IF(D236="","",D236*'参数与说明'!$B$6/27.2155)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14185</v>
      </c>
      <c r="B237" s="13" t="n">
        <v>1938</v>
      </c>
      <c r="C237" s="13" t="n">
        <v>11</v>
      </c>
      <c r="D237" s="14" t="n">
        <v>0.63</v>
      </c>
      <c r="E237" s="14">
        <f>IF(D237="","",D237*'参数与说明'!$B$6/27.2155)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14215</v>
      </c>
      <c r="B238" s="17" t="n">
        <v>1938</v>
      </c>
      <c r="C238" s="17" t="n">
        <v>12</v>
      </c>
      <c r="D238" s="18" t="n">
        <v>0.67</v>
      </c>
      <c r="E238" s="18">
        <f>IF(D238="","",D238*'参数与说明'!$B$6/27.2155)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14246</v>
      </c>
      <c r="B239" s="13" t="n">
        <v>1939</v>
      </c>
      <c r="C239" s="13" t="n">
        <v>1</v>
      </c>
      <c r="D239" s="14" t="n">
        <v>0.72</v>
      </c>
      <c r="E239" s="14">
        <f>IF(D239="","",D239*'参数与说明'!$B$6/27.2155)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14277</v>
      </c>
      <c r="B240" s="17" t="n">
        <v>1939</v>
      </c>
      <c r="C240" s="17" t="n">
        <v>2</v>
      </c>
      <c r="D240" s="18" t="n">
        <v>0.6899999999999999</v>
      </c>
      <c r="E240" s="18">
        <f>IF(D240="","",D240*'参数与说明'!$B$6/27.2155)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14305</v>
      </c>
      <c r="B241" s="13" t="n">
        <v>1939</v>
      </c>
      <c r="C241" s="13" t="n">
        <v>3</v>
      </c>
      <c r="D241" s="14" t="n">
        <v>0.73</v>
      </c>
      <c r="E241" s="14">
        <f>IF(D241="","",D241*'参数与说明'!$B$6/27.2155)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14336</v>
      </c>
      <c r="B242" s="17" t="n">
        <v>1939</v>
      </c>
      <c r="C242" s="17" t="n">
        <v>4</v>
      </c>
      <c r="D242" s="18" t="n">
        <v>0.78</v>
      </c>
      <c r="E242" s="18">
        <f>IF(D242="","",D242*'参数与说明'!$B$6/27.2155)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14366</v>
      </c>
      <c r="B243" s="13" t="n">
        <v>1939</v>
      </c>
      <c r="C243" s="13" t="n">
        <v>5</v>
      </c>
      <c r="D243" s="14" t="n">
        <v>0.87</v>
      </c>
      <c r="E243" s="14">
        <f>IF(D243="","",D243*'参数与说明'!$B$6/27.2155)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14397</v>
      </c>
      <c r="B244" s="17" t="n">
        <v>1939</v>
      </c>
      <c r="C244" s="17" t="n">
        <v>6</v>
      </c>
      <c r="D244" s="18" t="n">
        <v>0.83</v>
      </c>
      <c r="E244" s="18">
        <f>IF(D244="","",D244*'参数与说明'!$B$6/27.2155)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14427</v>
      </c>
      <c r="B245" s="13" t="n">
        <v>1939</v>
      </c>
      <c r="C245" s="13" t="n">
        <v>7</v>
      </c>
      <c r="D245" s="14" t="n">
        <v>0.75</v>
      </c>
      <c r="E245" s="14">
        <f>IF(D245="","",D245*'参数与说明'!$B$6/27.2155)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14458</v>
      </c>
      <c r="B246" s="17" t="n">
        <v>1939</v>
      </c>
      <c r="C246" s="17" t="n">
        <v>8</v>
      </c>
      <c r="D246" s="18" t="n">
        <v>0.64</v>
      </c>
      <c r="E246" s="18">
        <f>IF(D246="","",D246*'参数与说明'!$B$6/27.2155)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14489</v>
      </c>
      <c r="B247" s="13" t="n">
        <v>1939</v>
      </c>
      <c r="C247" s="13" t="n">
        <v>9</v>
      </c>
      <c r="D247" s="14" t="n">
        <v>0.73</v>
      </c>
      <c r="E247" s="14">
        <f>IF(D247="","",D247*'参数与说明'!$B$6/27.2155)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14519</v>
      </c>
      <c r="B248" s="17" t="n">
        <v>1939</v>
      </c>
      <c r="C248" s="17" t="n">
        <v>10</v>
      </c>
      <c r="D248" s="18" t="n">
        <v>0.73</v>
      </c>
      <c r="E248" s="18">
        <f>IF(D248="","",D248*'参数与说明'!$B$6/27.2155)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14550</v>
      </c>
      <c r="B249" s="13" t="n">
        <v>1939</v>
      </c>
      <c r="C249" s="13" t="n">
        <v>11</v>
      </c>
      <c r="D249" s="14" t="n">
        <v>0.82</v>
      </c>
      <c r="E249" s="14">
        <f>IF(D249="","",D249*'参数与说明'!$B$6/27.2155)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14580</v>
      </c>
      <c r="B250" s="17" t="n">
        <v>1939</v>
      </c>
      <c r="C250" s="17" t="n">
        <v>12</v>
      </c>
      <c r="D250" s="18" t="n">
        <v>0.97</v>
      </c>
      <c r="E250" s="18">
        <f>IF(D250="","",D250*'参数与说明'!$B$6/27.2155)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14611</v>
      </c>
      <c r="B251" s="13" t="n">
        <v>1940</v>
      </c>
      <c r="C251" s="13" t="n">
        <v>1</v>
      </c>
      <c r="D251" s="14" t="n">
        <v>1.03</v>
      </c>
      <c r="E251" s="14">
        <f>IF(D251="","",D251*'参数与说明'!$B$6/27.2155)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14642</v>
      </c>
      <c r="B252" s="17" t="n">
        <v>1940</v>
      </c>
      <c r="C252" s="17" t="n">
        <v>2</v>
      </c>
      <c r="D252" s="18" t="n">
        <v>0.96</v>
      </c>
      <c r="E252" s="18">
        <f>IF(D252="","",D252*'参数与说明'!$B$6/27.2155)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14671</v>
      </c>
      <c r="B253" s="13" t="n">
        <v>1940</v>
      </c>
      <c r="C253" s="13" t="n">
        <v>3</v>
      </c>
      <c r="D253" s="14" t="n">
        <v>1.01</v>
      </c>
      <c r="E253" s="14">
        <f>IF(D253="","",D253*'参数与说明'!$B$6/27.2155)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14702</v>
      </c>
      <c r="B254" s="17" t="n">
        <v>1940</v>
      </c>
      <c r="C254" s="17" t="n">
        <v>4</v>
      </c>
      <c r="D254" s="18" t="n">
        <v>1</v>
      </c>
      <c r="E254" s="18">
        <f>IF(D254="","",D254*'参数与说明'!$B$6/27.2155)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14732</v>
      </c>
      <c r="B255" s="13" t="n">
        <v>1940</v>
      </c>
      <c r="C255" s="13" t="n">
        <v>5</v>
      </c>
      <c r="D255" s="14" t="n">
        <v>0.96</v>
      </c>
      <c r="E255" s="14">
        <f>IF(D255="","",D255*'参数与说明'!$B$6/27.2155)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14763</v>
      </c>
      <c r="B256" s="17" t="n">
        <v>1940</v>
      </c>
      <c r="C256" s="17" t="n">
        <v>6</v>
      </c>
      <c r="D256" s="18" t="n">
        <v>0.79</v>
      </c>
      <c r="E256" s="18">
        <f>IF(D256="","",D256*'参数与说明'!$B$6/27.2155)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14793</v>
      </c>
      <c r="B257" s="13" t="n">
        <v>1940</v>
      </c>
      <c r="C257" s="13" t="n">
        <v>7</v>
      </c>
      <c r="D257" s="14" t="n">
        <v>0.73</v>
      </c>
      <c r="E257" s="14">
        <f>IF(D257="","",D257*'参数与说明'!$B$6/27.2155)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14824</v>
      </c>
      <c r="B258" s="17" t="n">
        <v>1940</v>
      </c>
      <c r="C258" s="17" t="n">
        <v>8</v>
      </c>
      <c r="D258" s="18" t="n">
        <v>0.67</v>
      </c>
      <c r="E258" s="18">
        <f>IF(D258="","",D258*'参数与说明'!$B$6/27.2155)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14855</v>
      </c>
      <c r="B259" s="13" t="n">
        <v>1940</v>
      </c>
      <c r="C259" s="13" t="n">
        <v>9</v>
      </c>
      <c r="D259" s="14" t="n">
        <v>0.6899999999999999</v>
      </c>
      <c r="E259" s="14">
        <f>IF(D259="","",D259*'参数与说明'!$B$6/27.2155)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14885</v>
      </c>
      <c r="B260" s="17" t="n">
        <v>1940</v>
      </c>
      <c r="C260" s="17" t="n">
        <v>10</v>
      </c>
      <c r="D260" s="18" t="n">
        <v>0.67</v>
      </c>
      <c r="E260" s="18">
        <f>IF(D260="","",D260*'参数与说明'!$B$6/27.2155)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14916</v>
      </c>
      <c r="B261" s="13" t="n">
        <v>1940</v>
      </c>
      <c r="C261" s="13" t="n">
        <v>11</v>
      </c>
      <c r="D261" s="14" t="n">
        <v>0.84</v>
      </c>
      <c r="E261" s="14">
        <f>IF(D261="","",D261*'参数与说明'!$B$6/27.2155)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14946</v>
      </c>
      <c r="B262" s="17" t="n">
        <v>1940</v>
      </c>
      <c r="C262" s="17" t="n">
        <v>12</v>
      </c>
      <c r="D262" s="18" t="n">
        <v>0.8100000000000001</v>
      </c>
      <c r="E262" s="18">
        <f>IF(D262="","",D262*'参数与说明'!$B$6/27.2155)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14977</v>
      </c>
      <c r="B263" s="13" t="n">
        <v>1941</v>
      </c>
      <c r="C263" s="13" t="n">
        <v>1</v>
      </c>
      <c r="D263" s="14" t="n">
        <v>0.89</v>
      </c>
      <c r="E263" s="14">
        <f>IF(D263="","",D263*'参数与说明'!$B$6/27.2155)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15008</v>
      </c>
      <c r="B264" s="17" t="n">
        <v>1941</v>
      </c>
      <c r="C264" s="17" t="n">
        <v>2</v>
      </c>
      <c r="D264" s="18" t="n">
        <v>0.84</v>
      </c>
      <c r="E264" s="18">
        <f>IF(D264="","",D264*'参数与说明'!$B$6/27.2155)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15036</v>
      </c>
      <c r="B265" s="13" t="n">
        <v>1941</v>
      </c>
      <c r="C265" s="13" t="n">
        <v>3</v>
      </c>
      <c r="D265" s="14" t="n">
        <v>0.89</v>
      </c>
      <c r="E265" s="14">
        <f>IF(D265="","",D265*'参数与说明'!$B$6/27.2155)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15067</v>
      </c>
      <c r="B266" s="17" t="n">
        <v>1941</v>
      </c>
      <c r="C266" s="17" t="n">
        <v>4</v>
      </c>
      <c r="D266" s="18" t="n">
        <v>1.07</v>
      </c>
      <c r="E266" s="18">
        <f>IF(D266="","",D266*'参数与说明'!$B$6/27.2155)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15097</v>
      </c>
      <c r="B267" s="13" t="n">
        <v>1941</v>
      </c>
      <c r="C267" s="13" t="n">
        <v>5</v>
      </c>
      <c r="D267" s="14" t="n">
        <v>1.19</v>
      </c>
      <c r="E267" s="14">
        <f>IF(D267="","",D267*'参数与说明'!$B$6/27.2155)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15128</v>
      </c>
      <c r="B268" s="17" t="n">
        <v>1941</v>
      </c>
      <c r="C268" s="17" t="n">
        <v>6</v>
      </c>
      <c r="D268" s="18" t="n">
        <v>1.23</v>
      </c>
      <c r="E268" s="18">
        <f>IF(D268="","",D268*'参数与说明'!$B$6/27.2155)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15158</v>
      </c>
      <c r="B269" s="13" t="n">
        <v>1941</v>
      </c>
      <c r="C269" s="13" t="n">
        <v>7</v>
      </c>
      <c r="D269" s="14" t="n">
        <v>1.3</v>
      </c>
      <c r="E269" s="14">
        <f>IF(D269="","",D269*'参数与说明'!$B$6/27.2155)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15189</v>
      </c>
      <c r="B270" s="17" t="n">
        <v>1941</v>
      </c>
      <c r="C270" s="17" t="n">
        <v>8</v>
      </c>
      <c r="D270" s="18" t="n">
        <v>1.29</v>
      </c>
      <c r="E270" s="18">
        <f>IF(D270="","",D270*'参数与说明'!$B$6/27.2155)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15220</v>
      </c>
      <c r="B271" s="13" t="n">
        <v>1941</v>
      </c>
      <c r="C271" s="13" t="n">
        <v>9</v>
      </c>
      <c r="D271" s="14" t="n">
        <v>1.61</v>
      </c>
      <c r="E271" s="14">
        <f>IF(D271="","",D271*'参数与说明'!$B$6/27.2155)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15250</v>
      </c>
      <c r="B272" s="17" t="n">
        <v>1941</v>
      </c>
      <c r="C272" s="17" t="n">
        <v>10</v>
      </c>
      <c r="D272" s="18" t="n">
        <v>1.42</v>
      </c>
      <c r="E272" s="18">
        <f>IF(D272="","",D272*'参数与说明'!$B$6/27.2155)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15281</v>
      </c>
      <c r="B273" s="13" t="n">
        <v>1941</v>
      </c>
      <c r="C273" s="13" t="n">
        <v>11</v>
      </c>
      <c r="D273" s="14" t="n">
        <v>1.43</v>
      </c>
      <c r="E273" s="14">
        <f>IF(D273="","",D273*'参数与说明'!$B$6/27.2155)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15311</v>
      </c>
      <c r="B274" s="17" t="n">
        <v>1941</v>
      </c>
      <c r="C274" s="17" t="n">
        <v>12</v>
      </c>
      <c r="D274" s="18" t="n">
        <v>1.47</v>
      </c>
      <c r="E274" s="18">
        <f>IF(D274="","",D274*'参数与说明'!$B$6/27.2155)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15342</v>
      </c>
      <c r="B275" s="13" t="n">
        <v>1942</v>
      </c>
      <c r="C275" s="13" t="n">
        <v>1</v>
      </c>
      <c r="D275" s="14" t="n">
        <v>1.65</v>
      </c>
      <c r="E275" s="14">
        <f>IF(D275="","",D275*'参数与说明'!$B$6/27.2155)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15373</v>
      </c>
      <c r="B276" s="17" t="n">
        <v>1942</v>
      </c>
      <c r="C276" s="17" t="n">
        <v>2</v>
      </c>
      <c r="D276" s="18" t="n">
        <v>1.78</v>
      </c>
      <c r="E276" s="18">
        <f>IF(D276="","",D276*'参数与说明'!$B$6/27.2155)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15401</v>
      </c>
      <c r="B277" s="13" t="n">
        <v>1942</v>
      </c>
      <c r="C277" s="13" t="n">
        <v>3</v>
      </c>
      <c r="D277" s="14" t="n">
        <v>1.79</v>
      </c>
      <c r="E277" s="14">
        <f>IF(D277="","",D277*'参数与说明'!$B$6/27.2155)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15432</v>
      </c>
      <c r="B278" s="17" t="n">
        <v>1942</v>
      </c>
      <c r="C278" s="17" t="n">
        <v>4</v>
      </c>
      <c r="D278" s="18" t="n">
        <v>1.76</v>
      </c>
      <c r="E278" s="18">
        <f>IF(D278="","",D278*'参数与说明'!$B$6/27.2155)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15462</v>
      </c>
      <c r="B279" s="13" t="n">
        <v>1942</v>
      </c>
      <c r="C279" s="13" t="n">
        <v>5</v>
      </c>
      <c r="D279" s="14" t="n">
        <v>1.73</v>
      </c>
      <c r="E279" s="14">
        <f>IF(D279="","",D279*'参数与说明'!$B$6/27.2155)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15493</v>
      </c>
      <c r="B280" s="17" t="n">
        <v>1942</v>
      </c>
      <c r="C280" s="17" t="n">
        <v>6</v>
      </c>
      <c r="D280" s="18" t="n">
        <v>1.63</v>
      </c>
      <c r="E280" s="18">
        <f>IF(D280="","",D280*'参数与说明'!$B$6/27.2155)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15523</v>
      </c>
      <c r="B281" s="13" t="n">
        <v>1942</v>
      </c>
      <c r="C281" s="13" t="n">
        <v>7</v>
      </c>
      <c r="D281" s="14" t="n">
        <v>1.62</v>
      </c>
      <c r="E281" s="14">
        <f>IF(D281="","",D281*'参数与说明'!$B$6/27.2155)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15554</v>
      </c>
      <c r="B282" s="17" t="n">
        <v>1942</v>
      </c>
      <c r="C282" s="17" t="n">
        <v>8</v>
      </c>
      <c r="D282" s="18" t="n">
        <v>1.58</v>
      </c>
      <c r="E282" s="18">
        <f>IF(D282="","",D282*'参数与说明'!$B$6/27.2155)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15585</v>
      </c>
      <c r="B283" s="13" t="n">
        <v>1942</v>
      </c>
      <c r="C283" s="13" t="n">
        <v>9</v>
      </c>
      <c r="D283" s="14" t="n">
        <v>1.57</v>
      </c>
      <c r="E283" s="14">
        <f>IF(D283="","",D283*'参数与说明'!$B$6/27.2155)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15615</v>
      </c>
      <c r="B284" s="17" t="n">
        <v>1942</v>
      </c>
      <c r="C284" s="17" t="n">
        <v>10</v>
      </c>
      <c r="D284" s="18" t="n">
        <v>1.58</v>
      </c>
      <c r="E284" s="18">
        <f>IF(D284="","",D284*'参数与说明'!$B$6/27.2155)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15646</v>
      </c>
      <c r="B285" s="13" t="n">
        <v>1942</v>
      </c>
      <c r="C285" s="13" t="n">
        <v>11</v>
      </c>
      <c r="D285" s="14" t="n">
        <v>1.58</v>
      </c>
      <c r="E285" s="14">
        <f>IF(D285="","",D285*'参数与说明'!$B$6/27.2155)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15676</v>
      </c>
      <c r="B286" s="17" t="n">
        <v>1942</v>
      </c>
      <c r="C286" s="17" t="n">
        <v>12</v>
      </c>
      <c r="D286" s="18" t="n">
        <v>1.59</v>
      </c>
      <c r="E286" s="18">
        <f>IF(D286="","",D286*'参数与说明'!$B$6/27.2155)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15707</v>
      </c>
      <c r="B287" s="13" t="n">
        <v>1943</v>
      </c>
      <c r="C287" s="13" t="n">
        <v>1</v>
      </c>
      <c r="D287" s="14" t="n">
        <v>1.59</v>
      </c>
      <c r="E287" s="14">
        <f>IF(D287="","",D287*'参数与说明'!$B$6/27.2155)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15738</v>
      </c>
      <c r="B288" s="17" t="n">
        <v>1943</v>
      </c>
      <c r="C288" s="17" t="n">
        <v>2</v>
      </c>
      <c r="D288" s="18" t="n">
        <v>1.6</v>
      </c>
      <c r="E288" s="18">
        <f>IF(D288="","",D288*'参数与说明'!$B$6/27.2155)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15766</v>
      </c>
      <c r="B289" s="13" t="n">
        <v>1943</v>
      </c>
      <c r="C289" s="13" t="n">
        <v>3</v>
      </c>
      <c r="D289" s="14" t="n">
        <v>1.65</v>
      </c>
      <c r="E289" s="14">
        <f>IF(D289="","",D289*'参数与说明'!$B$6/27.2155)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15797</v>
      </c>
      <c r="B290" s="17" t="n">
        <v>1943</v>
      </c>
      <c r="C290" s="17" t="n">
        <v>4</v>
      </c>
      <c r="D290" s="18" t="n">
        <v>1.67</v>
      </c>
      <c r="E290" s="18">
        <f>IF(D290="","",D290*'参数与说明'!$B$6/27.2155)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15827</v>
      </c>
      <c r="B291" s="13" t="n">
        <v>1943</v>
      </c>
      <c r="C291" s="13" t="n">
        <v>5</v>
      </c>
      <c r="D291" s="14" t="n">
        <v>1.72</v>
      </c>
      <c r="E291" s="14">
        <f>IF(D291="","",D291*'参数与说明'!$B$6/27.2155)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15858</v>
      </c>
      <c r="B292" s="17" t="n">
        <v>1943</v>
      </c>
      <c r="C292" s="17" t="n">
        <v>6</v>
      </c>
      <c r="D292" s="18" t="n">
        <v>1.73</v>
      </c>
      <c r="E292" s="18">
        <f>IF(D292="","",D292*'参数与说明'!$B$6/27.2155)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15888</v>
      </c>
      <c r="B293" s="13" t="n">
        <v>1943</v>
      </c>
      <c r="C293" s="13" t="n">
        <v>7</v>
      </c>
      <c r="D293" s="14" t="n">
        <v>1.7</v>
      </c>
      <c r="E293" s="14">
        <f>IF(D293="","",D293*'参数与说明'!$B$6/27.2155)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15919</v>
      </c>
      <c r="B294" s="17" t="n">
        <v>1943</v>
      </c>
      <c r="C294" s="17" t="n">
        <v>8</v>
      </c>
      <c r="D294" s="18" t="n">
        <v>1.68</v>
      </c>
      <c r="E294" s="18">
        <f>IF(D294="","",D294*'参数与说明'!$B$6/27.2155)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15950</v>
      </c>
      <c r="B295" s="13" t="n">
        <v>1943</v>
      </c>
      <c r="C295" s="13" t="n">
        <v>9</v>
      </c>
      <c r="D295" s="14" t="n">
        <v>1.69</v>
      </c>
      <c r="E295" s="14">
        <f>IF(D295="","",D295*'参数与说明'!$B$6/27.2155)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15980</v>
      </c>
      <c r="B296" s="17" t="n">
        <v>1943</v>
      </c>
      <c r="C296" s="17" t="n">
        <v>10</v>
      </c>
      <c r="D296" s="18" t="n">
        <v>1.8</v>
      </c>
      <c r="E296" s="18">
        <f>IF(D296="","",D296*'参数与说明'!$B$6/27.2155)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16011</v>
      </c>
      <c r="B297" s="13" t="n">
        <v>1943</v>
      </c>
      <c r="C297" s="13" t="n">
        <v>11</v>
      </c>
      <c r="D297" s="14" t="n">
        <v>1.8</v>
      </c>
      <c r="E297" s="14">
        <f>IF(D297="","",D297*'参数与说明'!$B$6/27.2155)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16041</v>
      </c>
      <c r="B298" s="17" t="n">
        <v>1943</v>
      </c>
      <c r="C298" s="17" t="n">
        <v>12</v>
      </c>
      <c r="D298" s="18" t="n">
        <v>1.81</v>
      </c>
      <c r="E298" s="18">
        <f>IF(D298="","",D298*'参数与说明'!$B$6/27.2155)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16072</v>
      </c>
      <c r="B299" s="13" t="n">
        <v>1944</v>
      </c>
      <c r="C299" s="13" t="n">
        <v>1</v>
      </c>
      <c r="D299" s="14" t="n">
        <v>1.82</v>
      </c>
      <c r="E299" s="14">
        <f>IF(D299="","",D299*'参数与说明'!$B$6/27.2155)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16103</v>
      </c>
      <c r="B300" s="17" t="n">
        <v>1944</v>
      </c>
      <c r="C300" s="17" t="n">
        <v>2</v>
      </c>
      <c r="D300" s="18" t="n">
        <v>1.85</v>
      </c>
      <c r="E300" s="18">
        <f>IF(D300="","",D300*'参数与说明'!$B$6/27.2155)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16132</v>
      </c>
      <c r="B301" s="13" t="n">
        <v>1944</v>
      </c>
      <c r="C301" s="13" t="n">
        <v>3</v>
      </c>
      <c r="D301" s="14" t="n">
        <v>1.89</v>
      </c>
      <c r="E301" s="14">
        <f>IF(D301="","",D301*'参数与说明'!$B$6/27.2155)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16163</v>
      </c>
      <c r="B302" s="17" t="n">
        <v>1944</v>
      </c>
      <c r="C302" s="17" t="n">
        <v>4</v>
      </c>
      <c r="D302" s="18" t="n">
        <v>1.91</v>
      </c>
      <c r="E302" s="18">
        <f>IF(D302="","",D302*'参数与说明'!$B$6/27.2155)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16193</v>
      </c>
      <c r="B303" s="13" t="n">
        <v>1944</v>
      </c>
      <c r="C303" s="13" t="n">
        <v>5</v>
      </c>
      <c r="D303" s="14" t="n">
        <v>1.93</v>
      </c>
      <c r="E303" s="14">
        <f>IF(D303="","",D303*'参数与说明'!$B$6/27.2155)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16224</v>
      </c>
      <c r="B304" s="17" t="n">
        <v>1944</v>
      </c>
      <c r="C304" s="17" t="n">
        <v>6</v>
      </c>
      <c r="D304" s="18" t="n">
        <v>1.93</v>
      </c>
      <c r="E304" s="18">
        <f>IF(D304="","",D304*'参数与说明'!$B$6/27.2155)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16254</v>
      </c>
      <c r="B305" s="13" t="n">
        <v>1944</v>
      </c>
      <c r="C305" s="13" t="n">
        <v>7</v>
      </c>
      <c r="D305" s="14" t="n">
        <v>1.91</v>
      </c>
      <c r="E305" s="14">
        <f>IF(D305="","",D305*'参数与说明'!$B$6/27.2155)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16285</v>
      </c>
      <c r="B306" s="17" t="n">
        <v>1944</v>
      </c>
      <c r="C306" s="17" t="n">
        <v>8</v>
      </c>
      <c r="D306" s="18" t="n">
        <v>1.9</v>
      </c>
      <c r="E306" s="18">
        <f>IF(D306="","",D306*'参数与说明'!$B$6/27.2155)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16316</v>
      </c>
      <c r="B307" s="13" t="n">
        <v>1944</v>
      </c>
      <c r="C307" s="13" t="n">
        <v>9</v>
      </c>
      <c r="D307" s="14" t="n">
        <v>1.93</v>
      </c>
      <c r="E307" s="14">
        <f>IF(D307="","",D307*'参数与说明'!$B$6/27.2155)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16346</v>
      </c>
      <c r="B308" s="17" t="n">
        <v>1944</v>
      </c>
      <c r="C308" s="17" t="n">
        <v>10</v>
      </c>
      <c r="D308" s="18" t="n">
        <v>2.04</v>
      </c>
      <c r="E308" s="18">
        <f>IF(D308="","",D308*'参数与说明'!$B$6/27.2155)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16377</v>
      </c>
      <c r="B309" s="13" t="n">
        <v>1944</v>
      </c>
      <c r="C309" s="13" t="n">
        <v>11</v>
      </c>
      <c r="D309" s="14" t="n">
        <v>2.05</v>
      </c>
      <c r="E309" s="14">
        <f>IF(D309="","",D309*'参数与说明'!$B$6/27.2155)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16407</v>
      </c>
      <c r="B310" s="17" t="n">
        <v>1944</v>
      </c>
      <c r="C310" s="17" t="n">
        <v>12</v>
      </c>
      <c r="D310" s="18" t="n">
        <v>2.05</v>
      </c>
      <c r="E310" s="18">
        <f>IF(D310="","",D310*'参数与说明'!$B$6/27.2155)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16438</v>
      </c>
      <c r="B311" s="13" t="n">
        <v>1945</v>
      </c>
      <c r="C311" s="13" t="n">
        <v>1</v>
      </c>
      <c r="D311" s="14" t="n">
        <v>2.06</v>
      </c>
      <c r="E311" s="14">
        <f>IF(D311="","",D311*'参数与说明'!$B$6/27.2155)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16469</v>
      </c>
      <c r="B312" s="17" t="n">
        <v>1945</v>
      </c>
      <c r="C312" s="17" t="n">
        <v>2</v>
      </c>
      <c r="D312" s="18" t="n">
        <v>2.1</v>
      </c>
      <c r="E312" s="18">
        <f>IF(D312="","",D312*'参数与说明'!$B$6/27.2155)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16497</v>
      </c>
      <c r="B313" s="13" t="n">
        <v>1945</v>
      </c>
      <c r="C313" s="13" t="n">
        <v>3</v>
      </c>
      <c r="D313" s="14" t="n">
        <v>2.13</v>
      </c>
      <c r="E313" s="14">
        <f>IF(D313="","",D313*'参数与说明'!$B$6/27.2155)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16528</v>
      </c>
      <c r="B314" s="17" t="n">
        <v>1945</v>
      </c>
      <c r="C314" s="17" t="n">
        <v>4</v>
      </c>
      <c r="D314" s="18" t="n">
        <v>2.13</v>
      </c>
      <c r="E314" s="18">
        <f>IF(D314="","",D314*'参数与说明'!$B$6/27.2155)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16558</v>
      </c>
      <c r="B315" s="13" t="n">
        <v>1945</v>
      </c>
      <c r="C315" s="13" t="n">
        <v>5</v>
      </c>
      <c r="D315" s="14" t="n">
        <v>2.15</v>
      </c>
      <c r="E315" s="14">
        <f>IF(D315="","",D315*'参数与说明'!$B$6/27.2155)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16589</v>
      </c>
      <c r="B316" s="17" t="n">
        <v>1945</v>
      </c>
      <c r="C316" s="17" t="n">
        <v>6</v>
      </c>
      <c r="D316" s="18" t="n">
        <v>2.17</v>
      </c>
      <c r="E316" s="18">
        <f>IF(D316="","",D316*'参数与说明'!$B$6/27.2155)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16619</v>
      </c>
      <c r="B317" s="13" t="n">
        <v>1945</v>
      </c>
      <c r="C317" s="13" t="n">
        <v>7</v>
      </c>
      <c r="D317" s="14" t="n">
        <v>2.16</v>
      </c>
      <c r="E317" s="14">
        <f>IF(D317="","",D317*'参数与说明'!$B$6/27.2155)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16650</v>
      </c>
      <c r="B318" s="17" t="n">
        <v>1945</v>
      </c>
      <c r="C318" s="17" t="n">
        <v>8</v>
      </c>
      <c r="D318" s="18" t="n">
        <v>2.12</v>
      </c>
      <c r="E318" s="18">
        <f>IF(D318="","",D318*'参数与说明'!$B$6/27.2155)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16681</v>
      </c>
      <c r="B319" s="13" t="n">
        <v>1945</v>
      </c>
      <c r="C319" s="13" t="n">
        <v>9</v>
      </c>
      <c r="D319" s="14" t="n">
        <v>2.07</v>
      </c>
      <c r="E319" s="14">
        <f>IF(D319="","",D319*'参数与说明'!$B$6/27.2155)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16711</v>
      </c>
      <c r="B320" s="17" t="n">
        <v>1945</v>
      </c>
      <c r="C320" s="17" t="n">
        <v>10</v>
      </c>
      <c r="D320" s="18" t="n">
        <v>2.06</v>
      </c>
      <c r="E320" s="18">
        <f>IF(D320="","",D320*'参数与说明'!$B$6/27.2155)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16742</v>
      </c>
      <c r="B321" s="13" t="n">
        <v>1945</v>
      </c>
      <c r="C321" s="13" t="n">
        <v>11</v>
      </c>
      <c r="D321" s="14" t="n">
        <v>2.09</v>
      </c>
      <c r="E321" s="14">
        <f>IF(D321="","",D321*'参数与说明'!$B$6/27.2155)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16772</v>
      </c>
      <c r="B322" s="17" t="n">
        <v>1945</v>
      </c>
      <c r="C322" s="17" t="n">
        <v>12</v>
      </c>
      <c r="D322" s="18" t="n">
        <v>2.09</v>
      </c>
      <c r="E322" s="18">
        <f>IF(D322="","",D322*'参数与说明'!$B$6/27.2155)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16803</v>
      </c>
      <c r="B323" s="13" t="n">
        <v>1946</v>
      </c>
      <c r="C323" s="13" t="n">
        <v>1</v>
      </c>
      <c r="D323" s="14" t="n">
        <v>2.09</v>
      </c>
      <c r="E323" s="14">
        <f>IF(D323="","",D323*'参数与说明'!$B$6/27.2155)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16834</v>
      </c>
      <c r="B324" s="17" t="n">
        <v>1946</v>
      </c>
      <c r="C324" s="17" t="n">
        <v>2</v>
      </c>
      <c r="D324" s="18" t="n">
        <v>2.11</v>
      </c>
      <c r="E324" s="18">
        <f>IF(D324="","",D324*'参数与说明'!$B$6/27.2155)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16862</v>
      </c>
      <c r="B325" s="13" t="n">
        <v>1946</v>
      </c>
      <c r="C325" s="13" t="n">
        <v>3</v>
      </c>
      <c r="D325" s="14" t="n">
        <v>2.12</v>
      </c>
      <c r="E325" s="14">
        <f>IF(D325="","",D325*'参数与说明'!$B$6/27.2155)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16893</v>
      </c>
      <c r="B326" s="17" t="n">
        <v>1946</v>
      </c>
      <c r="C326" s="17" t="n">
        <v>4</v>
      </c>
      <c r="D326" s="18" t="n">
        <v>2.14</v>
      </c>
      <c r="E326" s="18">
        <f>IF(D326="","",D326*'参数与说明'!$B$6/27.2155)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16923</v>
      </c>
      <c r="B327" s="13" t="n">
        <v>1946</v>
      </c>
      <c r="C327" s="13" t="n">
        <v>5</v>
      </c>
      <c r="D327" s="14" t="n">
        <v>2.16</v>
      </c>
      <c r="E327" s="14">
        <f>IF(D327="","",D327*'参数与说明'!$B$6/27.2155)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16954</v>
      </c>
      <c r="B328" s="17" t="n">
        <v>1946</v>
      </c>
      <c r="C328" s="17" t="n">
        <v>6</v>
      </c>
      <c r="D328" s="18" t="n">
        <v>2.17</v>
      </c>
      <c r="E328" s="18">
        <f>IF(D328="","",D328*'参数与说明'!$B$6/27.2155)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16984</v>
      </c>
      <c r="B329" s="13" t="n">
        <v>1946</v>
      </c>
      <c r="C329" s="13" t="n">
        <v>7</v>
      </c>
      <c r="D329" s="14" t="n">
        <v>2.31</v>
      </c>
      <c r="E329" s="14">
        <f>IF(D329="","",D329*'参数与说明'!$B$6/27.2155)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17015</v>
      </c>
      <c r="B330" s="17" t="n">
        <v>1946</v>
      </c>
      <c r="C330" s="17" t="n">
        <v>8</v>
      </c>
      <c r="D330" s="18" t="n">
        <v>2.35</v>
      </c>
      <c r="E330" s="18">
        <f>IF(D330="","",D330*'参数与说明'!$B$6/27.2155)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17046</v>
      </c>
      <c r="B331" s="13" t="n">
        <v>1946</v>
      </c>
      <c r="C331" s="13" t="n">
        <v>9</v>
      </c>
      <c r="D331" s="14" t="n">
        <v>2.13</v>
      </c>
      <c r="E331" s="14">
        <f>IF(D331="","",D331*'参数与说明'!$B$6/27.2155)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17076</v>
      </c>
      <c r="B332" s="17" t="n">
        <v>1946</v>
      </c>
      <c r="C332" s="17" t="n">
        <v>10</v>
      </c>
      <c r="D332" s="18" t="n">
        <v>2.28</v>
      </c>
      <c r="E332" s="18">
        <f>IF(D332="","",D332*'参数与说明'!$B$6/27.2155)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17107</v>
      </c>
      <c r="B333" s="13" t="n">
        <v>1946</v>
      </c>
      <c r="C333" s="13" t="n">
        <v>11</v>
      </c>
      <c r="D333" s="14" t="n">
        <v>3.09</v>
      </c>
      <c r="E333" s="14">
        <f>IF(D333="","",D333*'参数与说明'!$B$6/27.2155)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17137</v>
      </c>
      <c r="B334" s="17" t="n">
        <v>1946</v>
      </c>
      <c r="C334" s="17" t="n">
        <v>12</v>
      </c>
      <c r="D334" s="18" t="n">
        <v>2.75</v>
      </c>
      <c r="E334" s="18">
        <f>IF(D334="","",D334*'参数与说明'!$B$6/27.2155)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17168</v>
      </c>
      <c r="B335" s="13" t="n">
        <v>1947</v>
      </c>
      <c r="C335" s="13" t="n">
        <v>1</v>
      </c>
      <c r="D335" s="14" t="n">
        <v>2.93</v>
      </c>
      <c r="E335" s="14">
        <f>IF(D335="","",D335*'参数与说明'!$B$6/27.2155)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17199</v>
      </c>
      <c r="B336" s="17" t="n">
        <v>1947</v>
      </c>
      <c r="C336" s="17" t="n">
        <v>2</v>
      </c>
      <c r="D336" s="18" t="n">
        <v>3</v>
      </c>
      <c r="E336" s="18">
        <f>IF(D336="","",D336*'参数与说明'!$B$6/27.2155)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17227</v>
      </c>
      <c r="B337" s="13" t="n">
        <v>1947</v>
      </c>
      <c r="C337" s="13" t="n">
        <v>3</v>
      </c>
      <c r="D337" s="14" t="n">
        <v>3.67</v>
      </c>
      <c r="E337" s="14">
        <f>IF(D337="","",D337*'参数与说明'!$B$6/27.2155)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17258</v>
      </c>
      <c r="B338" s="17" t="n">
        <v>1947</v>
      </c>
      <c r="C338" s="17" t="n">
        <v>4</v>
      </c>
      <c r="D338" s="18" t="n">
        <v>3.62</v>
      </c>
      <c r="E338" s="18">
        <f>IF(D338="","",D338*'参数与说明'!$B$6/27.2155)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17288</v>
      </c>
      <c r="B339" s="13" t="n">
        <v>1947</v>
      </c>
      <c r="C339" s="13" t="n">
        <v>5</v>
      </c>
      <c r="D339" s="14" t="n">
        <v>3.01</v>
      </c>
      <c r="E339" s="14">
        <f>IF(D339="","",D339*'参数与说明'!$B$6/27.2155)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17319</v>
      </c>
      <c r="B340" s="17" t="n">
        <v>1947</v>
      </c>
      <c r="C340" s="17" t="n">
        <v>6</v>
      </c>
      <c r="D340" s="18" t="n">
        <v>3.07</v>
      </c>
      <c r="E340" s="18">
        <f>IF(D340="","",D340*'参数与说明'!$B$6/27.2155)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17349</v>
      </c>
      <c r="B341" s="13" t="n">
        <v>1947</v>
      </c>
      <c r="C341" s="13" t="n">
        <v>7</v>
      </c>
      <c r="D341" s="14" t="n">
        <v>3.09</v>
      </c>
      <c r="E341" s="14">
        <f>IF(D341="","",D341*'参数与说明'!$B$6/27.2155)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17380</v>
      </c>
      <c r="B342" s="17" t="n">
        <v>1947</v>
      </c>
      <c r="C342" s="17" t="n">
        <v>8</v>
      </c>
      <c r="D342" s="18" t="n">
        <v>3.07</v>
      </c>
      <c r="E342" s="18">
        <f>IF(D342="","",D342*'参数与说明'!$B$6/27.2155)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17411</v>
      </c>
      <c r="B343" s="13" t="n">
        <v>1947</v>
      </c>
      <c r="C343" s="13" t="n">
        <v>9</v>
      </c>
      <c r="D343" s="14" t="n">
        <v>3.05</v>
      </c>
      <c r="E343" s="14">
        <f>IF(D343="","",D343*'参数与说明'!$B$6/27.2155)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17441</v>
      </c>
      <c r="B344" s="17" t="n">
        <v>1947</v>
      </c>
      <c r="C344" s="17" t="n">
        <v>10</v>
      </c>
      <c r="D344" s="18" t="n">
        <v>3.11</v>
      </c>
      <c r="E344" s="18">
        <f>IF(D344="","",D344*'参数与说明'!$B$6/27.2155)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17472</v>
      </c>
      <c r="B345" s="13" t="n">
        <v>1947</v>
      </c>
      <c r="C345" s="13" t="n">
        <v>11</v>
      </c>
      <c r="D345" s="14" t="n">
        <v>3.43</v>
      </c>
      <c r="E345" s="14">
        <f>IF(D345="","",D345*'参数与说明'!$B$6/27.2155)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17502</v>
      </c>
      <c r="B346" s="17" t="n">
        <v>1947</v>
      </c>
      <c r="C346" s="17" t="n">
        <v>12</v>
      </c>
      <c r="D346" s="18" t="n">
        <v>3.69</v>
      </c>
      <c r="E346" s="18">
        <f>IF(D346="","",D346*'参数与说明'!$B$6/27.2155)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17533</v>
      </c>
      <c r="B347" s="13" t="n">
        <v>1948</v>
      </c>
      <c r="C347" s="13" t="n">
        <v>1</v>
      </c>
      <c r="D347" s="14" t="n">
        <v>4.11</v>
      </c>
      <c r="E347" s="14">
        <f>IF(D347="","",D347*'参数与说明'!$B$6/27.2155)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17564</v>
      </c>
      <c r="B348" s="17" t="n">
        <v>1948</v>
      </c>
      <c r="C348" s="17" t="n">
        <v>2</v>
      </c>
      <c r="D348" s="18" t="n">
        <v>2.97</v>
      </c>
      <c r="E348" s="18">
        <f>IF(D348="","",D348*'参数与说明'!$B$6/27.2155)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17593</v>
      </c>
      <c r="B349" s="13" t="n">
        <v>1948</v>
      </c>
      <c r="C349" s="13" t="n">
        <v>3</v>
      </c>
      <c r="D349" s="14" t="n">
        <v>3.23</v>
      </c>
      <c r="E349" s="14">
        <f>IF(D349="","",D349*'参数与说明'!$B$6/27.2155)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17624</v>
      </c>
      <c r="B350" s="17" t="n">
        <v>1948</v>
      </c>
      <c r="C350" s="17" t="n">
        <v>4</v>
      </c>
      <c r="D350" s="18" t="n">
        <v>3.64</v>
      </c>
      <c r="E350" s="18">
        <f>IF(D350="","",D350*'参数与说明'!$B$6/27.2155)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17654</v>
      </c>
      <c r="B351" s="13" t="n">
        <v>1948</v>
      </c>
      <c r="C351" s="13" t="n">
        <v>5</v>
      </c>
      <c r="D351" s="14" t="n">
        <v>3.74</v>
      </c>
      <c r="E351" s="14">
        <f>IF(D351="","",D351*'参数与说明'!$B$6/27.2155)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17685</v>
      </c>
      <c r="B352" s="17" t="n">
        <v>1948</v>
      </c>
      <c r="C352" s="17" t="n">
        <v>6</v>
      </c>
      <c r="D352" s="18" t="n">
        <v>3.9</v>
      </c>
      <c r="E352" s="18">
        <f>IF(D352="","",D352*'参数与说明'!$B$6/27.2155)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17715</v>
      </c>
      <c r="B353" s="13" t="n">
        <v>1948</v>
      </c>
      <c r="C353" s="13" t="n">
        <v>7</v>
      </c>
      <c r="D353" s="14" t="n">
        <v>3.66</v>
      </c>
      <c r="E353" s="14">
        <f>IF(D353="","",D353*'参数与说明'!$B$6/27.2155)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17746</v>
      </c>
      <c r="B354" s="17" t="n">
        <v>1948</v>
      </c>
      <c r="C354" s="17" t="n">
        <v>8</v>
      </c>
      <c r="D354" s="18" t="n">
        <v>2.91</v>
      </c>
      <c r="E354" s="18">
        <f>IF(D354="","",D354*'参数与说明'!$B$6/27.2155)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17777</v>
      </c>
      <c r="B355" s="13" t="n">
        <v>1948</v>
      </c>
      <c r="C355" s="13" t="n">
        <v>9</v>
      </c>
      <c r="D355" s="14" t="n">
        <v>2.45</v>
      </c>
      <c r="E355" s="14">
        <f>IF(D355="","",D355*'参数与说明'!$B$6/27.2155)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17807</v>
      </c>
      <c r="B356" s="17" t="n">
        <v>1948</v>
      </c>
      <c r="C356" s="17" t="n">
        <v>10</v>
      </c>
      <c r="D356" s="18" t="n">
        <v>2.27</v>
      </c>
      <c r="E356" s="18">
        <f>IF(D356="","",D356*'参数与说明'!$B$6/27.2155)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17838</v>
      </c>
      <c r="B357" s="13" t="n">
        <v>1948</v>
      </c>
      <c r="C357" s="13" t="n">
        <v>11</v>
      </c>
      <c r="D357" s="14" t="n">
        <v>2.36</v>
      </c>
      <c r="E357" s="14">
        <f>IF(D357="","",D357*'参数与说明'!$B$6/27.2155)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17868</v>
      </c>
      <c r="B358" s="17" t="n">
        <v>1948</v>
      </c>
      <c r="C358" s="17" t="n">
        <v>12</v>
      </c>
      <c r="D358" s="18" t="n">
        <v>2.36</v>
      </c>
      <c r="E358" s="18">
        <f>IF(D358="","",D358*'参数与说明'!$B$6/27.2155)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17899</v>
      </c>
      <c r="B359" s="13" t="n">
        <v>1949</v>
      </c>
      <c r="C359" s="13" t="n">
        <v>1</v>
      </c>
      <c r="D359" s="14" t="n">
        <v>2.27</v>
      </c>
      <c r="E359" s="14">
        <f>IF(D359="","",D359*'参数与说明'!$B$6/27.2155)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17930</v>
      </c>
      <c r="B360" s="17" t="n">
        <v>1949</v>
      </c>
      <c r="C360" s="17" t="n">
        <v>2</v>
      </c>
      <c r="D360" s="18" t="n">
        <v>2.05</v>
      </c>
      <c r="E360" s="18">
        <f>IF(D360="","",D360*'参数与说明'!$B$6/27.2155)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17958</v>
      </c>
      <c r="B361" s="13" t="n">
        <v>1949</v>
      </c>
      <c r="C361" s="13" t="n">
        <v>3</v>
      </c>
      <c r="D361" s="14" t="n">
        <v>2.12</v>
      </c>
      <c r="E361" s="14">
        <f>IF(D361="","",D361*'参数与说明'!$B$6/27.2155)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17989</v>
      </c>
      <c r="B362" s="17" t="n">
        <v>1949</v>
      </c>
      <c r="C362" s="17" t="n">
        <v>4</v>
      </c>
      <c r="D362" s="18" t="n">
        <v>2.08</v>
      </c>
      <c r="E362" s="18">
        <f>IF(D362="","",D362*'参数与说明'!$B$6/27.2155)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18019</v>
      </c>
      <c r="B363" s="13" t="n">
        <v>1949</v>
      </c>
      <c r="C363" s="13" t="n">
        <v>5</v>
      </c>
      <c r="D363" s="14" t="n">
        <v>2.18</v>
      </c>
      <c r="E363" s="14">
        <f>IF(D363="","",D363*'参数与说明'!$B$6/27.2155)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18050</v>
      </c>
      <c r="B364" s="17" t="n">
        <v>1949</v>
      </c>
      <c r="C364" s="17" t="n">
        <v>6</v>
      </c>
      <c r="D364" s="18" t="n">
        <v>2.1</v>
      </c>
      <c r="E364" s="18">
        <f>IF(D364="","",D364*'参数与说明'!$B$6/27.2155)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18080</v>
      </c>
      <c r="B365" s="13" t="n">
        <v>1949</v>
      </c>
      <c r="C365" s="13" t="n">
        <v>7</v>
      </c>
      <c r="D365" s="14" t="n">
        <v>2.27</v>
      </c>
      <c r="E365" s="14">
        <f>IF(D365="","",D365*'参数与说明'!$B$6/27.2155)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18111</v>
      </c>
      <c r="B366" s="17" t="n">
        <v>1949</v>
      </c>
      <c r="C366" s="17" t="n">
        <v>8</v>
      </c>
      <c r="D366" s="18" t="n">
        <v>2.6</v>
      </c>
      <c r="E366" s="18">
        <f>IF(D366="","",D366*'参数与说明'!$B$6/27.2155)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18142</v>
      </c>
      <c r="B367" s="13" t="n">
        <v>1949</v>
      </c>
      <c r="C367" s="13" t="n">
        <v>9</v>
      </c>
      <c r="D367" s="14" t="n">
        <v>2.14</v>
      </c>
      <c r="E367" s="14">
        <f>IF(D367="","",D367*'参数与说明'!$B$6/27.2155)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18172</v>
      </c>
      <c r="B368" s="17" t="n">
        <v>1949</v>
      </c>
      <c r="C368" s="17" t="n">
        <v>10</v>
      </c>
      <c r="D368" s="18" t="n">
        <v>2.09</v>
      </c>
      <c r="E368" s="18">
        <f>IF(D368="","",D368*'参数与说明'!$B$6/27.2155)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18203</v>
      </c>
      <c r="B369" s="13" t="n">
        <v>1949</v>
      </c>
      <c r="C369" s="13" t="n">
        <v>11</v>
      </c>
      <c r="D369" s="14" t="n">
        <v>1.95</v>
      </c>
      <c r="E369" s="14">
        <f>IF(D369="","",D369*'参数与说明'!$B$6/27.2155)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18233</v>
      </c>
      <c r="B370" s="17" t="n">
        <v>1949</v>
      </c>
      <c r="C370" s="17" t="n">
        <v>12</v>
      </c>
      <c r="D370" s="18" t="n">
        <v>2.09</v>
      </c>
      <c r="E370" s="18">
        <f>IF(D370="","",D370*'参数与说明'!$B$6/27.2155)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18264</v>
      </c>
      <c r="B371" s="13" t="n">
        <v>1950</v>
      </c>
      <c r="C371" s="13" t="n">
        <v>1</v>
      </c>
      <c r="D371" s="14" t="n">
        <v>2.11</v>
      </c>
      <c r="E371" s="14">
        <f>IF(D371="","",D371*'参数与说明'!$B$6/27.2155)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18295</v>
      </c>
      <c r="B372" s="17" t="n">
        <v>1950</v>
      </c>
      <c r="C372" s="17" t="n">
        <v>2</v>
      </c>
      <c r="D372" s="18" t="n">
        <v>2.12</v>
      </c>
      <c r="E372" s="18">
        <f>IF(D372="","",D372*'参数与说明'!$B$6/27.2155)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18323</v>
      </c>
      <c r="B373" s="13" t="n">
        <v>1950</v>
      </c>
      <c r="C373" s="13" t="n">
        <v>3</v>
      </c>
      <c r="D373" s="14" t="n">
        <v>2.25</v>
      </c>
      <c r="E373" s="14">
        <f>IF(D373="","",D373*'参数与说明'!$B$6/27.2155)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18354</v>
      </c>
      <c r="B374" s="17" t="n">
        <v>1950</v>
      </c>
      <c r="C374" s="17" t="n">
        <v>4</v>
      </c>
      <c r="D374" s="18" t="n">
        <v>2.48</v>
      </c>
      <c r="E374" s="18">
        <f>IF(D374="","",D374*'参数与说明'!$B$6/27.2155)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18384</v>
      </c>
      <c r="B375" s="13" t="n">
        <v>1950</v>
      </c>
      <c r="C375" s="13" t="n">
        <v>5</v>
      </c>
      <c r="D375" s="14" t="n">
        <v>2.71</v>
      </c>
      <c r="E375" s="14">
        <f>IF(D375="","",D375*'参数与说明'!$B$6/27.2155)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18415</v>
      </c>
      <c r="B376" s="17" t="n">
        <v>1950</v>
      </c>
      <c r="C376" s="17" t="n">
        <v>6</v>
      </c>
      <c r="D376" s="18" t="n">
        <v>2.8</v>
      </c>
      <c r="E376" s="18">
        <f>IF(D376="","",D376*'参数与说明'!$B$6/27.2155)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18445</v>
      </c>
      <c r="B377" s="13" t="n">
        <v>1950</v>
      </c>
      <c r="C377" s="13" t="n">
        <v>7</v>
      </c>
      <c r="D377" s="14" t="n">
        <v>2.93</v>
      </c>
      <c r="E377" s="14">
        <f>IF(D377="","",D377*'参数与说明'!$B$6/27.2155)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18476</v>
      </c>
      <c r="B378" s="17" t="n">
        <v>1950</v>
      </c>
      <c r="C378" s="17" t="n">
        <v>8</v>
      </c>
      <c r="D378" s="18" t="n">
        <v>2.42</v>
      </c>
      <c r="E378" s="18">
        <f>IF(D378="","",D378*'参数与说明'!$B$6/27.2155)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18507</v>
      </c>
      <c r="B379" s="13" t="n">
        <v>1950</v>
      </c>
      <c r="C379" s="13" t="n">
        <v>9</v>
      </c>
      <c r="D379" s="14" t="n">
        <v>2.26</v>
      </c>
      <c r="E379" s="14">
        <f>IF(D379="","",D379*'参数与说明'!$B$6/27.2155)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18537</v>
      </c>
      <c r="B380" s="17" t="n">
        <v>1950</v>
      </c>
      <c r="C380" s="17" t="n">
        <v>10</v>
      </c>
      <c r="D380" s="18" t="n">
        <v>2.03</v>
      </c>
      <c r="E380" s="18">
        <f>IF(D380="","",D380*'参数与说明'!$B$6/27.2155)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18568</v>
      </c>
      <c r="B381" s="13" t="n">
        <v>1950</v>
      </c>
      <c r="C381" s="13" t="n">
        <v>11</v>
      </c>
      <c r="D381" s="14" t="n">
        <v>2.54</v>
      </c>
      <c r="E381" s="14">
        <f>IF(D381="","",D381*'参数与说明'!$B$6/27.2155)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18598</v>
      </c>
      <c r="B382" s="17" t="n">
        <v>1950</v>
      </c>
      <c r="C382" s="17" t="n">
        <v>12</v>
      </c>
      <c r="D382" s="18" t="n">
        <v>2.7</v>
      </c>
      <c r="E382" s="18">
        <f>IF(D382="","",D382*'参数与说明'!$B$6/27.2155)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18629</v>
      </c>
      <c r="B383" s="13" t="n">
        <v>1951</v>
      </c>
      <c r="C383" s="13" t="n">
        <v>1</v>
      </c>
      <c r="D383" s="14" t="n">
        <v>2.9</v>
      </c>
      <c r="E383" s="14">
        <f>IF(D383="","",D383*'参数与说明'!$B$6/27.2155)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18660</v>
      </c>
      <c r="B384" s="17" t="n">
        <v>1951</v>
      </c>
      <c r="C384" s="17" t="n">
        <v>2</v>
      </c>
      <c r="D384" s="18" t="n">
        <v>3.08</v>
      </c>
      <c r="E384" s="18">
        <f>IF(D384="","",D384*'参数与说明'!$B$6/27.2155)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18688</v>
      </c>
      <c r="B385" s="13" t="n">
        <v>1951</v>
      </c>
      <c r="C385" s="13" t="n">
        <v>3</v>
      </c>
      <c r="D385" s="14" t="n">
        <v>3.1</v>
      </c>
      <c r="E385" s="14">
        <f>IF(D385="","",D385*'参数与说明'!$B$6/27.2155)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18719</v>
      </c>
      <c r="B386" s="17" t="n">
        <v>1951</v>
      </c>
      <c r="C386" s="17" t="n">
        <v>4</v>
      </c>
      <c r="D386" s="18" t="n">
        <v>3.12</v>
      </c>
      <c r="E386" s="18">
        <f>IF(D386="","",D386*'参数与说明'!$B$6/27.2155)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18749</v>
      </c>
      <c r="B387" s="13" t="n">
        <v>1951</v>
      </c>
      <c r="C387" s="13" t="n">
        <v>5</v>
      </c>
      <c r="D387" s="14" t="n">
        <v>3.13</v>
      </c>
      <c r="E387" s="14">
        <f>IF(D387="","",D387*'参数与说明'!$B$6/27.2155)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18780</v>
      </c>
      <c r="B388" s="17" t="n">
        <v>1951</v>
      </c>
      <c r="C388" s="17" t="n">
        <v>6</v>
      </c>
      <c r="D388" s="18" t="n">
        <v>2.98</v>
      </c>
      <c r="E388" s="18">
        <f>IF(D388="","",D388*'参数与说明'!$B$6/27.2155)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18810</v>
      </c>
      <c r="B389" s="13" t="n">
        <v>1951</v>
      </c>
      <c r="C389" s="13" t="n">
        <v>7</v>
      </c>
      <c r="D389" s="14" t="n">
        <v>2.86</v>
      </c>
      <c r="E389" s="14">
        <f>IF(D389="","",D389*'参数与说明'!$B$6/27.2155)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18841</v>
      </c>
      <c r="B390" s="17" t="n">
        <v>1951</v>
      </c>
      <c r="C390" s="17" t="n">
        <v>8</v>
      </c>
      <c r="D390" s="18" t="n">
        <v>2.71</v>
      </c>
      <c r="E390" s="18">
        <f>IF(D390="","",D390*'参数与说明'!$B$6/27.2155)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18872</v>
      </c>
      <c r="B391" s="13" t="n">
        <v>1951</v>
      </c>
      <c r="C391" s="13" t="n">
        <v>9</v>
      </c>
      <c r="D391" s="14" t="n">
        <v>2.59</v>
      </c>
      <c r="E391" s="14">
        <f>IF(D391="","",D391*'参数与说明'!$B$6/27.2155)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18902</v>
      </c>
      <c r="B392" s="17" t="n">
        <v>1951</v>
      </c>
      <c r="C392" s="17" t="n">
        <v>10</v>
      </c>
      <c r="D392" s="18" t="n">
        <v>2.62</v>
      </c>
      <c r="E392" s="18">
        <f>IF(D392="","",D392*'参数与说明'!$B$6/27.2155)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18933</v>
      </c>
      <c r="B393" s="13" t="n">
        <v>1951</v>
      </c>
      <c r="C393" s="13" t="n">
        <v>11</v>
      </c>
      <c r="D393" s="14" t="n">
        <v>2.77</v>
      </c>
      <c r="E393" s="14">
        <f>IF(D393="","",D393*'参数与说明'!$B$6/27.2155)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18963</v>
      </c>
      <c r="B394" s="17" t="n">
        <v>1951</v>
      </c>
      <c r="C394" s="17" t="n">
        <v>12</v>
      </c>
      <c r="D394" s="18" t="n">
        <v>2.83</v>
      </c>
      <c r="E394" s="18">
        <f>IF(D394="","",D394*'参数与说明'!$B$6/27.2155)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18994</v>
      </c>
      <c r="B395" s="13" t="n">
        <v>1952</v>
      </c>
      <c r="C395" s="13" t="n">
        <v>1</v>
      </c>
      <c r="D395" s="14" t="n">
        <v>2.78</v>
      </c>
      <c r="E395" s="14">
        <f>IF(D395="","",D395*'参数与说明'!$B$6/27.2155)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19025</v>
      </c>
      <c r="B396" s="17" t="n">
        <v>1952</v>
      </c>
      <c r="C396" s="17" t="n">
        <v>2</v>
      </c>
      <c r="D396" s="18" t="n">
        <v>2.78</v>
      </c>
      <c r="E396" s="18">
        <f>IF(D396="","",D396*'参数与说明'!$B$6/27.2155)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19054</v>
      </c>
      <c r="B397" s="13" t="n">
        <v>1952</v>
      </c>
      <c r="C397" s="13" t="n">
        <v>3</v>
      </c>
      <c r="D397" s="14" t="n">
        <v>2.76</v>
      </c>
      <c r="E397" s="14">
        <f>IF(D397="","",D397*'参数与说明'!$B$6/27.2155)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19085</v>
      </c>
      <c r="B398" s="17" t="n">
        <v>1952</v>
      </c>
      <c r="C398" s="17" t="n">
        <v>4</v>
      </c>
      <c r="D398" s="18" t="n">
        <v>2.72</v>
      </c>
      <c r="E398" s="18">
        <f>IF(D398="","",D398*'参数与说明'!$B$6/27.2155)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19115</v>
      </c>
      <c r="B399" s="13" t="n">
        <v>1952</v>
      </c>
      <c r="C399" s="13" t="n">
        <v>5</v>
      </c>
      <c r="D399" s="14" t="n">
        <v>2.77</v>
      </c>
      <c r="E399" s="14">
        <f>IF(D399="","",D399*'参数与说明'!$B$6/27.2155)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19146</v>
      </c>
      <c r="B400" s="17" t="n">
        <v>1952</v>
      </c>
      <c r="C400" s="17" t="n">
        <v>6</v>
      </c>
      <c r="D400" s="18" t="n">
        <v>3.02</v>
      </c>
      <c r="E400" s="18">
        <f>IF(D400="","",D400*'参数与说明'!$B$6/27.2155)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19176</v>
      </c>
      <c r="B401" s="13" t="n">
        <v>1952</v>
      </c>
      <c r="C401" s="13" t="n">
        <v>7</v>
      </c>
      <c r="D401" s="14" t="n">
        <v>3</v>
      </c>
      <c r="E401" s="14">
        <f>IF(D401="","",D401*'参数与说明'!$B$6/27.2155)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19207</v>
      </c>
      <c r="B402" s="17" t="n">
        <v>1952</v>
      </c>
      <c r="C402" s="17" t="n">
        <v>8</v>
      </c>
      <c r="D402" s="18" t="n">
        <v>3.05</v>
      </c>
      <c r="E402" s="18">
        <f>IF(D402="","",D402*'参数与说明'!$B$6/27.2155)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19238</v>
      </c>
      <c r="B403" s="13" t="n">
        <v>1952</v>
      </c>
      <c r="C403" s="13" t="n">
        <v>9</v>
      </c>
      <c r="D403" s="14" t="n">
        <v>2.83</v>
      </c>
      <c r="E403" s="14">
        <f>IF(D403="","",D403*'参数与说明'!$B$6/27.2155)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19268</v>
      </c>
      <c r="B404" s="17" t="n">
        <v>1952</v>
      </c>
      <c r="C404" s="17" t="n">
        <v>10</v>
      </c>
      <c r="D404" s="18" t="n">
        <v>2.71</v>
      </c>
      <c r="E404" s="18">
        <f>IF(D404="","",D404*'参数与说明'!$B$6/27.2155)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19299</v>
      </c>
      <c r="B405" s="13" t="n">
        <v>1952</v>
      </c>
      <c r="C405" s="13" t="n">
        <v>11</v>
      </c>
      <c r="D405" s="14" t="n">
        <v>2.71</v>
      </c>
      <c r="E405" s="14">
        <f>IF(D405="","",D405*'参数与说明'!$B$6/27.2155)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19329</v>
      </c>
      <c r="B406" s="17" t="n">
        <v>1952</v>
      </c>
      <c r="C406" s="17" t="n">
        <v>12</v>
      </c>
      <c r="D406" s="18" t="n">
        <v>2.75</v>
      </c>
      <c r="E406" s="18">
        <f>IF(D406="","",D406*'参数与说明'!$B$6/27.2155)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19360</v>
      </c>
      <c r="B407" s="13" t="n">
        <v>1953</v>
      </c>
      <c r="C407" s="13" t="n">
        <v>1</v>
      </c>
      <c r="D407" s="14" t="n">
        <v>2.69</v>
      </c>
      <c r="E407" s="14">
        <f>IF(D407="","",D407*'参数与说明'!$B$6/27.2155)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19391</v>
      </c>
      <c r="B408" s="17" t="n">
        <v>1953</v>
      </c>
      <c r="C408" s="17" t="n">
        <v>2</v>
      </c>
      <c r="D408" s="18" t="n">
        <v>2.63</v>
      </c>
      <c r="E408" s="18">
        <f>IF(D408="","",D408*'参数与说明'!$B$6/27.2155)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19419</v>
      </c>
      <c r="B409" s="13" t="n">
        <v>1953</v>
      </c>
      <c r="C409" s="13" t="n">
        <v>3</v>
      </c>
      <c r="D409" s="14" t="n">
        <v>2.81</v>
      </c>
      <c r="E409" s="14">
        <f>IF(D409="","",D409*'参数与说明'!$B$6/27.2155)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19450</v>
      </c>
      <c r="B410" s="17" t="n">
        <v>1953</v>
      </c>
      <c r="C410" s="17" t="n">
        <v>4</v>
      </c>
      <c r="D410" s="18" t="n">
        <v>2.81</v>
      </c>
      <c r="E410" s="18">
        <f>IF(D410="","",D410*'参数与说明'!$B$6/27.2155)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19480</v>
      </c>
      <c r="B411" s="13" t="n">
        <v>1953</v>
      </c>
      <c r="C411" s="13" t="n">
        <v>5</v>
      </c>
      <c r="D411" s="14" t="n">
        <v>2.78</v>
      </c>
      <c r="E411" s="14">
        <f>IF(D411="","",D411*'参数与说明'!$B$6/27.2155)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19511</v>
      </c>
      <c r="B412" s="17" t="n">
        <v>1953</v>
      </c>
      <c r="C412" s="17" t="n">
        <v>6</v>
      </c>
      <c r="D412" s="18" t="n">
        <v>2.66</v>
      </c>
      <c r="E412" s="18">
        <f>IF(D412="","",D412*'参数与说明'!$B$6/27.2155)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19541</v>
      </c>
      <c r="B413" s="13" t="n">
        <v>1953</v>
      </c>
      <c r="C413" s="13" t="n">
        <v>7</v>
      </c>
      <c r="D413" s="14" t="n">
        <v>2.44</v>
      </c>
      <c r="E413" s="14">
        <f>IF(D413="","",D413*'参数与说明'!$B$6/27.2155)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19572</v>
      </c>
      <c r="B414" s="17" t="n">
        <v>1953</v>
      </c>
      <c r="C414" s="17" t="n">
        <v>8</v>
      </c>
      <c r="D414" s="18" t="n">
        <v>2.4</v>
      </c>
      <c r="E414" s="18">
        <f>IF(D414="","",D414*'参数与说明'!$B$6/27.2155)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19603</v>
      </c>
      <c r="B415" s="13" t="n">
        <v>1953</v>
      </c>
      <c r="C415" s="13" t="n">
        <v>9</v>
      </c>
      <c r="D415" s="14" t="n">
        <v>2.33</v>
      </c>
      <c r="E415" s="14">
        <f>IF(D415="","",D415*'参数与说明'!$B$6/27.2155)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19633</v>
      </c>
      <c r="B416" s="17" t="n">
        <v>1953</v>
      </c>
      <c r="C416" s="17" t="n">
        <v>10</v>
      </c>
      <c r="D416" s="18" t="n">
        <v>2.41</v>
      </c>
      <c r="E416" s="18">
        <f>IF(D416="","",D416*'参数与说明'!$B$6/27.2155)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19664</v>
      </c>
      <c r="B417" s="13" t="n">
        <v>1953</v>
      </c>
      <c r="C417" s="13" t="n">
        <v>11</v>
      </c>
      <c r="D417" s="14" t="n">
        <v>2.6</v>
      </c>
      <c r="E417" s="14">
        <f>IF(D417="","",D417*'参数与说明'!$B$6/27.2155)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19694</v>
      </c>
      <c r="B418" s="17" t="n">
        <v>1953</v>
      </c>
      <c r="C418" s="17" t="n">
        <v>12</v>
      </c>
      <c r="D418" s="18" t="n">
        <v>2.81</v>
      </c>
      <c r="E418" s="18">
        <f>IF(D418="","",D418*'参数与说明'!$B$6/27.2155)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19725</v>
      </c>
      <c r="B419" s="13" t="n">
        <v>1954</v>
      </c>
      <c r="C419" s="13" t="n">
        <v>1</v>
      </c>
      <c r="D419" s="14" t="n">
        <v>2.83</v>
      </c>
      <c r="E419" s="14">
        <f>IF(D419="","",D419*'参数与说明'!$B$6/27.2155)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19756</v>
      </c>
      <c r="B420" s="17" t="n">
        <v>1954</v>
      </c>
      <c r="C420" s="17" t="n">
        <v>2</v>
      </c>
      <c r="D420" s="18" t="n">
        <v>2.97</v>
      </c>
      <c r="E420" s="18">
        <f>IF(D420="","",D420*'参数与说明'!$B$6/27.2155)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19784</v>
      </c>
      <c r="B421" s="13" t="n">
        <v>1954</v>
      </c>
      <c r="C421" s="13" t="n">
        <v>3</v>
      </c>
      <c r="D421" s="14" t="n">
        <v>3.22</v>
      </c>
      <c r="E421" s="14">
        <f>IF(D421="","",D421*'参数与说明'!$B$6/27.2155)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19815</v>
      </c>
      <c r="B422" s="17" t="n">
        <v>1954</v>
      </c>
      <c r="C422" s="17" t="n">
        <v>4</v>
      </c>
      <c r="D422" s="18" t="n">
        <v>3.52</v>
      </c>
      <c r="E422" s="18">
        <f>IF(D422="","",D422*'参数与说明'!$B$6/27.2155)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19845</v>
      </c>
      <c r="B423" s="13" t="n">
        <v>1954</v>
      </c>
      <c r="C423" s="13" t="n">
        <v>5</v>
      </c>
      <c r="D423" s="14" t="n">
        <v>3.55</v>
      </c>
      <c r="E423" s="14">
        <f>IF(D423="","",D423*'参数与说明'!$B$6/27.2155)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19876</v>
      </c>
      <c r="B424" s="17" t="n">
        <v>1954</v>
      </c>
      <c r="C424" s="17" t="n">
        <v>6</v>
      </c>
      <c r="D424" s="18" t="n">
        <v>3.49</v>
      </c>
      <c r="E424" s="18">
        <f>IF(D424="","",D424*'参数与说明'!$B$6/27.2155)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19906</v>
      </c>
      <c r="B425" s="13" t="n">
        <v>1954</v>
      </c>
      <c r="C425" s="13" t="n">
        <v>7</v>
      </c>
      <c r="D425" s="14" t="n">
        <v>3.47</v>
      </c>
      <c r="E425" s="14">
        <f>IF(D425="","",D425*'参数与说明'!$B$6/27.2155)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19937</v>
      </c>
      <c r="B426" s="17" t="n">
        <v>1954</v>
      </c>
      <c r="C426" s="17" t="n">
        <v>8</v>
      </c>
      <c r="D426" s="18" t="n">
        <v>3.23</v>
      </c>
      <c r="E426" s="18">
        <f>IF(D426="","",D426*'参数与说明'!$B$6/27.2155)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19968</v>
      </c>
      <c r="B427" s="13" t="n">
        <v>1954</v>
      </c>
      <c r="C427" s="13" t="n">
        <v>9</v>
      </c>
      <c r="D427" s="14" t="n">
        <v>2.51</v>
      </c>
      <c r="E427" s="14">
        <f>IF(D427="","",D427*'参数与说明'!$B$6/27.2155)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19998</v>
      </c>
      <c r="B428" s="17" t="n">
        <v>1954</v>
      </c>
      <c r="C428" s="17" t="n">
        <v>10</v>
      </c>
      <c r="D428" s="18" t="n">
        <v>2.54</v>
      </c>
      <c r="E428" s="18">
        <f>IF(D428="","",D428*'参数与说明'!$B$6/27.2155)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20029</v>
      </c>
      <c r="B429" s="13" t="n">
        <v>1954</v>
      </c>
      <c r="C429" s="13" t="n">
        <v>11</v>
      </c>
      <c r="D429" s="14" t="n">
        <v>2.57</v>
      </c>
      <c r="E429" s="14">
        <f>IF(D429="","",D429*'参数与说明'!$B$6/27.2155)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20059</v>
      </c>
      <c r="B430" s="17" t="n">
        <v>1954</v>
      </c>
      <c r="C430" s="17" t="n">
        <v>12</v>
      </c>
      <c r="D430" s="18" t="n">
        <v>2.57</v>
      </c>
      <c r="E430" s="18">
        <f>IF(D430="","",D430*'参数与说明'!$B$6/27.2155)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20090</v>
      </c>
      <c r="B431" s="13" t="n">
        <v>1955</v>
      </c>
      <c r="C431" s="13" t="n">
        <v>1</v>
      </c>
      <c r="D431" s="14" t="n">
        <v>2.58</v>
      </c>
      <c r="E431" s="14">
        <f>IF(D431="","",D431*'参数与说明'!$B$6/27.2155)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20121</v>
      </c>
      <c r="B432" s="17" t="n">
        <v>1955</v>
      </c>
      <c r="C432" s="17" t="n">
        <v>2</v>
      </c>
      <c r="D432" s="18" t="n">
        <v>2.61</v>
      </c>
      <c r="E432" s="18">
        <f>IF(D432="","",D432*'参数与说明'!$B$6/27.2155)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20149</v>
      </c>
      <c r="B433" s="13" t="n">
        <v>1955</v>
      </c>
      <c r="C433" s="13" t="n">
        <v>3</v>
      </c>
      <c r="D433" s="14" t="n">
        <v>2.54</v>
      </c>
      <c r="E433" s="14">
        <f>IF(D433="","",D433*'参数与说明'!$B$6/27.2155)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20180</v>
      </c>
      <c r="B434" s="17" t="n">
        <v>1955</v>
      </c>
      <c r="C434" s="17" t="n">
        <v>4</v>
      </c>
      <c r="D434" s="18" t="n">
        <v>2.42</v>
      </c>
      <c r="E434" s="18">
        <f>IF(D434="","",D434*'参数与说明'!$B$6/27.2155)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20210</v>
      </c>
      <c r="B435" s="13" t="n">
        <v>1955</v>
      </c>
      <c r="C435" s="13" t="n">
        <v>5</v>
      </c>
      <c r="D435" s="14" t="n">
        <v>2.36</v>
      </c>
      <c r="E435" s="14">
        <f>IF(D435="","",D435*'参数与说明'!$B$6/27.2155)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20241</v>
      </c>
      <c r="B436" s="17" t="n">
        <v>1955</v>
      </c>
      <c r="C436" s="17" t="n">
        <v>6</v>
      </c>
      <c r="D436" s="18" t="n">
        <v>2.32</v>
      </c>
      <c r="E436" s="18">
        <f>IF(D436="","",D436*'参数与说明'!$B$6/27.2155)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20271</v>
      </c>
      <c r="B437" s="13" t="n">
        <v>1955</v>
      </c>
      <c r="C437" s="13" t="n">
        <v>7</v>
      </c>
      <c r="D437" s="14" t="n">
        <v>2.23</v>
      </c>
      <c r="E437" s="14">
        <f>IF(D437="","",D437*'参数与说明'!$B$6/27.2155)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20302</v>
      </c>
      <c r="B438" s="17" t="n">
        <v>1955</v>
      </c>
      <c r="C438" s="17" t="n">
        <v>8</v>
      </c>
      <c r="D438" s="18" t="n">
        <v>2.2</v>
      </c>
      <c r="E438" s="18">
        <f>IF(D438="","",D438*'参数与说明'!$B$6/27.2155)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20333</v>
      </c>
      <c r="B439" s="13" t="n">
        <v>1955</v>
      </c>
      <c r="C439" s="13" t="n">
        <v>9</v>
      </c>
      <c r="D439" s="14" t="n">
        <v>2</v>
      </c>
      <c r="E439" s="14">
        <f>IF(D439="","",D439*'参数与说明'!$B$6/27.2155)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20363</v>
      </c>
      <c r="B440" s="17" t="n">
        <v>1955</v>
      </c>
      <c r="C440" s="17" t="n">
        <v>10</v>
      </c>
      <c r="D440" s="18" t="n">
        <v>2.08</v>
      </c>
      <c r="E440" s="18">
        <f>IF(D440="","",D440*'参数与说明'!$B$6/27.2155)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20394</v>
      </c>
      <c r="B441" s="13" t="n">
        <v>1955</v>
      </c>
      <c r="C441" s="13" t="n">
        <v>11</v>
      </c>
      <c r="D441" s="14" t="n">
        <v>2.06</v>
      </c>
      <c r="E441" s="14">
        <f>IF(D441="","",D441*'参数与说明'!$B$6/27.2155)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20424</v>
      </c>
      <c r="B442" s="17" t="n">
        <v>1955</v>
      </c>
      <c r="C442" s="17" t="n">
        <v>12</v>
      </c>
      <c r="D442" s="18" t="n">
        <v>2.11</v>
      </c>
      <c r="E442" s="18">
        <f>IF(D442="","",D442*'参数与说明'!$B$6/27.2155)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20455</v>
      </c>
      <c r="B443" s="13" t="n">
        <v>1956</v>
      </c>
      <c r="C443" s="13" t="n">
        <v>1</v>
      </c>
      <c r="D443" s="14" t="n">
        <v>2.19</v>
      </c>
      <c r="E443" s="14">
        <f>IF(D443="","",D443*'参数与说明'!$B$6/27.2155)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20486</v>
      </c>
      <c r="B444" s="17" t="n">
        <v>1956</v>
      </c>
      <c r="C444" s="17" t="n">
        <v>2</v>
      </c>
      <c r="D444" s="18" t="n">
        <v>2.25</v>
      </c>
      <c r="E444" s="18">
        <f>IF(D444="","",D444*'参数与说明'!$B$6/27.2155)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20515</v>
      </c>
      <c r="B445" s="13" t="n">
        <v>1956</v>
      </c>
      <c r="C445" s="13" t="n">
        <v>3</v>
      </c>
      <c r="D445" s="14" t="n">
        <v>2.38</v>
      </c>
      <c r="E445" s="14">
        <f>IF(D445="","",D445*'参数与说明'!$B$6/27.2155)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20546</v>
      </c>
      <c r="B446" s="17" t="n">
        <v>1956</v>
      </c>
      <c r="C446" s="17" t="n">
        <v>4</v>
      </c>
      <c r="D446" s="18" t="n">
        <v>2.63</v>
      </c>
      <c r="E446" s="18">
        <f>IF(D446="","",D446*'参数与说明'!$B$6/27.2155)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20576</v>
      </c>
      <c r="B447" s="13" t="n">
        <v>1956</v>
      </c>
      <c r="C447" s="13" t="n">
        <v>5</v>
      </c>
      <c r="D447" s="14" t="n">
        <v>2.98</v>
      </c>
      <c r="E447" s="14">
        <f>IF(D447="","",D447*'参数与说明'!$B$6/27.2155)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20607</v>
      </c>
      <c r="B448" s="17" t="n">
        <v>1956</v>
      </c>
      <c r="C448" s="17" t="n">
        <v>6</v>
      </c>
      <c r="D448" s="18" t="n">
        <v>2.87</v>
      </c>
      <c r="E448" s="18">
        <f>IF(D448="","",D448*'参数与说明'!$B$6/27.2155)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20637</v>
      </c>
      <c r="B449" s="13" t="n">
        <v>1956</v>
      </c>
      <c r="C449" s="13" t="n">
        <v>7</v>
      </c>
      <c r="D449" s="14" t="n">
        <v>2.47</v>
      </c>
      <c r="E449" s="14">
        <f>IF(D449="","",D449*'参数与说明'!$B$6/27.2155)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20668</v>
      </c>
      <c r="B450" s="17" t="n">
        <v>1956</v>
      </c>
      <c r="C450" s="17" t="n">
        <v>8</v>
      </c>
      <c r="D450" s="18" t="n">
        <v>2.33</v>
      </c>
      <c r="E450" s="18">
        <f>IF(D450="","",D450*'参数与说明'!$B$6/27.2155)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20699</v>
      </c>
      <c r="B451" s="13" t="n">
        <v>1956</v>
      </c>
      <c r="C451" s="13" t="n">
        <v>9</v>
      </c>
      <c r="D451" s="14" t="n">
        <v>2.07</v>
      </c>
      <c r="E451" s="14">
        <f>IF(D451="","",D451*'参数与说明'!$B$6/27.2155)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20729</v>
      </c>
      <c r="B452" s="17" t="n">
        <v>1956</v>
      </c>
      <c r="C452" s="17" t="n">
        <v>10</v>
      </c>
      <c r="D452" s="18" t="n">
        <v>2.07</v>
      </c>
      <c r="E452" s="18">
        <f>IF(D452="","",D452*'参数与说明'!$B$6/27.2155)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20760</v>
      </c>
      <c r="B453" s="13" t="n">
        <v>1956</v>
      </c>
      <c r="C453" s="13" t="n">
        <v>11</v>
      </c>
      <c r="D453" s="14" t="n">
        <v>2.27</v>
      </c>
      <c r="E453" s="14">
        <f>IF(D453="","",D453*'参数与说明'!$B$6/27.2155)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20790</v>
      </c>
      <c r="B454" s="17" t="n">
        <v>1956</v>
      </c>
      <c r="C454" s="17" t="n">
        <v>12</v>
      </c>
      <c r="D454" s="18" t="n">
        <v>2.27</v>
      </c>
      <c r="E454" s="18">
        <f>IF(D454="","",D454*'参数与说明'!$B$6/27.2155)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20821</v>
      </c>
      <c r="B455" s="13" t="n">
        <v>1957</v>
      </c>
      <c r="C455" s="13" t="n">
        <v>1</v>
      </c>
      <c r="D455" s="14" t="n">
        <v>2.31</v>
      </c>
      <c r="E455" s="14">
        <f>IF(D455="","",D455*'参数与说明'!$B$6/27.2155)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20852</v>
      </c>
      <c r="B456" s="17" t="n">
        <v>1957</v>
      </c>
      <c r="C456" s="17" t="n">
        <v>2</v>
      </c>
      <c r="D456" s="18" t="n">
        <v>2.25</v>
      </c>
      <c r="E456" s="18">
        <f>IF(D456="","",D456*'参数与说明'!$B$6/27.2155)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20880</v>
      </c>
      <c r="B457" s="13" t="n">
        <v>1957</v>
      </c>
      <c r="C457" s="13" t="n">
        <v>3</v>
      </c>
      <c r="D457" s="14" t="n">
        <v>2.26</v>
      </c>
      <c r="E457" s="14">
        <f>IF(D457="","",D457*'参数与说明'!$B$6/27.2155)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20911</v>
      </c>
      <c r="B458" s="17" t="n">
        <v>1957</v>
      </c>
      <c r="C458" s="17" t="n">
        <v>4</v>
      </c>
      <c r="D458" s="18" t="n">
        <v>2.24</v>
      </c>
      <c r="E458" s="18">
        <f>IF(D458="","",D458*'参数与说明'!$B$6/27.2155)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20941</v>
      </c>
      <c r="B459" s="13" t="n">
        <v>1957</v>
      </c>
      <c r="C459" s="13" t="n">
        <v>5</v>
      </c>
      <c r="D459" s="14" t="n">
        <v>2.23</v>
      </c>
      <c r="E459" s="14">
        <f>IF(D459="","",D459*'参数与说明'!$B$6/27.2155)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20972</v>
      </c>
      <c r="B460" s="17" t="n">
        <v>1957</v>
      </c>
      <c r="C460" s="17" t="n">
        <v>6</v>
      </c>
      <c r="D460" s="18" t="n">
        <v>2.18</v>
      </c>
      <c r="E460" s="18">
        <f>IF(D460="","",D460*'参数与说明'!$B$6/27.2155)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21002</v>
      </c>
      <c r="B461" s="13" t="n">
        <v>1957</v>
      </c>
      <c r="C461" s="13" t="n">
        <v>7</v>
      </c>
      <c r="D461" s="14" t="n">
        <v>2.24</v>
      </c>
      <c r="E461" s="14">
        <f>IF(D461="","",D461*'参数与说明'!$B$6/27.2155)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21033</v>
      </c>
      <c r="B462" s="17" t="n">
        <v>1957</v>
      </c>
      <c r="C462" s="17" t="n">
        <v>8</v>
      </c>
      <c r="D462" s="18" t="n">
        <v>2.27</v>
      </c>
      <c r="E462" s="18">
        <f>IF(D462="","",D462*'参数与说明'!$B$6/27.2155)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21064</v>
      </c>
      <c r="B463" s="13" t="n">
        <v>1957</v>
      </c>
      <c r="C463" s="13" t="n">
        <v>9</v>
      </c>
      <c r="D463" s="14" t="n">
        <v>2.13</v>
      </c>
      <c r="E463" s="14">
        <f>IF(D463="","",D463*'参数与说明'!$B$6/27.2155)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21094</v>
      </c>
      <c r="B464" s="17" t="n">
        <v>1957</v>
      </c>
      <c r="C464" s="17" t="n">
        <v>10</v>
      </c>
      <c r="D464" s="18" t="n">
        <v>2.04</v>
      </c>
      <c r="E464" s="18">
        <f>IF(D464="","",D464*'参数与说明'!$B$6/27.2155)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21125</v>
      </c>
      <c r="B465" s="13" t="n">
        <v>1957</v>
      </c>
      <c r="C465" s="13" t="n">
        <v>11</v>
      </c>
      <c r="D465" s="14" t="n">
        <v>2.04</v>
      </c>
      <c r="E465" s="14">
        <f>IF(D465="","",D465*'参数与说明'!$B$6/27.2155)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21155</v>
      </c>
      <c r="B466" s="17" t="n">
        <v>1957</v>
      </c>
      <c r="C466" s="17" t="n">
        <v>12</v>
      </c>
      <c r="D466" s="18" t="n">
        <v>2.06</v>
      </c>
      <c r="E466" s="18">
        <f>IF(D466="","",D466*'参数与说明'!$B$6/27.2155)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21186</v>
      </c>
      <c r="B467" s="13" t="n">
        <v>1958</v>
      </c>
      <c r="C467" s="13" t="n">
        <v>1</v>
      </c>
      <c r="D467" s="14" t="n">
        <v>2.05</v>
      </c>
      <c r="E467" s="14">
        <f>IF(D467="","",D467*'参数与说明'!$B$6/27.2155)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21217</v>
      </c>
      <c r="B468" s="17" t="n">
        <v>1958</v>
      </c>
      <c r="C468" s="17" t="n">
        <v>2</v>
      </c>
      <c r="D468" s="18" t="n">
        <v>2.05</v>
      </c>
      <c r="E468" s="18">
        <f>IF(D468="","",D468*'参数与说明'!$B$6/27.2155)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21245</v>
      </c>
      <c r="B469" s="13" t="n">
        <v>1958</v>
      </c>
      <c r="C469" s="13" t="n">
        <v>3</v>
      </c>
      <c r="D469" s="14" t="n">
        <v>2.1</v>
      </c>
      <c r="E469" s="14">
        <f>IF(D469="","",D469*'参数与说明'!$B$6/27.2155)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21276</v>
      </c>
      <c r="B470" s="17" t="n">
        <v>1958</v>
      </c>
      <c r="C470" s="17" t="n">
        <v>4</v>
      </c>
      <c r="D470" s="18" t="n">
        <v>2.16</v>
      </c>
      <c r="E470" s="18">
        <f>IF(D470="","",D470*'参数与说明'!$B$6/27.2155)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21306</v>
      </c>
      <c r="B471" s="13" t="n">
        <v>1958</v>
      </c>
      <c r="C471" s="13" t="n">
        <v>5</v>
      </c>
      <c r="D471" s="14" t="n">
        <v>2.13</v>
      </c>
      <c r="E471" s="14">
        <f>IF(D471="","",D471*'参数与说明'!$B$6/27.2155)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21337</v>
      </c>
      <c r="B472" s="17" t="n">
        <v>1958</v>
      </c>
      <c r="C472" s="17" t="n">
        <v>6</v>
      </c>
      <c r="D472" s="18" t="n">
        <v>2.13</v>
      </c>
      <c r="E472" s="18">
        <f>IF(D472="","",D472*'参数与说明'!$B$6/27.2155)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21367</v>
      </c>
      <c r="B473" s="13" t="n">
        <v>1958</v>
      </c>
      <c r="C473" s="13" t="n">
        <v>7</v>
      </c>
      <c r="D473" s="14" t="n">
        <v>2.11</v>
      </c>
      <c r="E473" s="14">
        <f>IF(D473="","",D473*'参数与说明'!$B$6/27.2155)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21398</v>
      </c>
      <c r="B474" s="17" t="n">
        <v>1958</v>
      </c>
      <c r="C474" s="17" t="n">
        <v>8</v>
      </c>
      <c r="D474" s="18" t="n">
        <v>2.11</v>
      </c>
      <c r="E474" s="18">
        <f>IF(D474="","",D474*'参数与说明'!$B$6/27.2155)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21429</v>
      </c>
      <c r="B475" s="13" t="n">
        <v>1958</v>
      </c>
      <c r="C475" s="13" t="n">
        <v>9</v>
      </c>
      <c r="D475" s="14" t="n">
        <v>1.98</v>
      </c>
      <c r="E475" s="14">
        <f>IF(D475="","",D475*'参数与说明'!$B$6/27.2155)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21459</v>
      </c>
      <c r="B476" s="17" t="n">
        <v>1958</v>
      </c>
      <c r="C476" s="17" t="n">
        <v>10</v>
      </c>
      <c r="D476" s="18" t="n">
        <v>1.93</v>
      </c>
      <c r="E476" s="18">
        <f>IF(D476="","",D476*'参数与说明'!$B$6/27.2155)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21490</v>
      </c>
      <c r="B477" s="13" t="n">
        <v>1958</v>
      </c>
      <c r="C477" s="13" t="n">
        <v>11</v>
      </c>
      <c r="D477" s="14" t="n">
        <v>1.89</v>
      </c>
      <c r="E477" s="14">
        <f>IF(D477="","",D477*'参数与说明'!$B$6/27.2155)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21520</v>
      </c>
      <c r="B478" s="17" t="n">
        <v>1958</v>
      </c>
      <c r="C478" s="17" t="n">
        <v>12</v>
      </c>
      <c r="D478" s="18" t="n">
        <v>1.97</v>
      </c>
      <c r="E478" s="18">
        <f>IF(D478="","",D478*'参数与说明'!$B$6/27.2155)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21551</v>
      </c>
      <c r="B479" s="13" t="n">
        <v>1959</v>
      </c>
      <c r="C479" s="13" t="n">
        <v>1</v>
      </c>
      <c r="D479" s="14" t="n">
        <v>2.02</v>
      </c>
      <c r="E479" s="14">
        <f>IF(D479="","",D479*'参数与说明'!$B$6/27.2155)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21582</v>
      </c>
      <c r="B480" s="17" t="n">
        <v>1959</v>
      </c>
      <c r="C480" s="17" t="n">
        <v>2</v>
      </c>
      <c r="D480" s="18" t="n">
        <v>2.05</v>
      </c>
      <c r="E480" s="18">
        <f>IF(D480="","",D480*'参数与说明'!$B$6/27.2155)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21610</v>
      </c>
      <c r="B481" s="13" t="n">
        <v>1959</v>
      </c>
      <c r="C481" s="13" t="n">
        <v>3</v>
      </c>
      <c r="D481" s="14" t="n">
        <v>2.07</v>
      </c>
      <c r="E481" s="14">
        <f>IF(D481="","",D481*'参数与说明'!$B$6/27.2155)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21641</v>
      </c>
      <c r="B482" s="17" t="n">
        <v>1959</v>
      </c>
      <c r="C482" s="17" t="n">
        <v>4</v>
      </c>
      <c r="D482" s="18" t="n">
        <v>2.1</v>
      </c>
      <c r="E482" s="18">
        <f>IF(D482="","",D482*'参数与说明'!$B$6/27.2155)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21671</v>
      </c>
      <c r="B483" s="13" t="n">
        <v>1959</v>
      </c>
      <c r="C483" s="13" t="n">
        <v>5</v>
      </c>
      <c r="D483" s="14" t="n">
        <v>2.13</v>
      </c>
      <c r="E483" s="14">
        <f>IF(D483="","",D483*'参数与说明'!$B$6/27.2155)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21702</v>
      </c>
      <c r="B484" s="17" t="n">
        <v>1959</v>
      </c>
      <c r="C484" s="17" t="n">
        <v>6</v>
      </c>
      <c r="D484" s="18" t="n">
        <v>2.09</v>
      </c>
      <c r="E484" s="18">
        <f>IF(D484="","",D484*'参数与说明'!$B$6/27.2155)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21732</v>
      </c>
      <c r="B485" s="13" t="n">
        <v>1959</v>
      </c>
      <c r="C485" s="13" t="n">
        <v>7</v>
      </c>
      <c r="D485" s="14" t="n">
        <v>2.05</v>
      </c>
      <c r="E485" s="14">
        <f>IF(D485="","",D485*'参数与说明'!$B$6/27.2155)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21763</v>
      </c>
      <c r="B486" s="17" t="n">
        <v>1959</v>
      </c>
      <c r="C486" s="17" t="n">
        <v>8</v>
      </c>
      <c r="D486" s="18" t="n">
        <v>1.98</v>
      </c>
      <c r="E486" s="18">
        <f>IF(D486="","",D486*'参数与说明'!$B$6/27.2155)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21794</v>
      </c>
      <c r="B487" s="13" t="n">
        <v>1959</v>
      </c>
      <c r="C487" s="13" t="n">
        <v>9</v>
      </c>
      <c r="D487" s="14" t="n">
        <v>1.9</v>
      </c>
      <c r="E487" s="14">
        <f>IF(D487="","",D487*'参数与说明'!$B$6/27.2155)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21824</v>
      </c>
      <c r="B488" s="17" t="n">
        <v>1959</v>
      </c>
      <c r="C488" s="17" t="n">
        <v>10</v>
      </c>
      <c r="D488" s="18" t="n">
        <v>1.93</v>
      </c>
      <c r="E488" s="18">
        <f>IF(D488="","",D488*'参数与说明'!$B$6/27.2155)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21855</v>
      </c>
      <c r="B489" s="13" t="n">
        <v>1959</v>
      </c>
      <c r="C489" s="13" t="n">
        <v>11</v>
      </c>
      <c r="D489" s="14" t="n">
        <v>2</v>
      </c>
      <c r="E489" s="14">
        <f>IF(D489="","",D489*'参数与说明'!$B$6/27.2155)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21885</v>
      </c>
      <c r="B490" s="17" t="n">
        <v>1959</v>
      </c>
      <c r="C490" s="17" t="n">
        <v>12</v>
      </c>
      <c r="D490" s="18" t="n">
        <v>1.98</v>
      </c>
      <c r="E490" s="18">
        <f>IF(D490="","",D490*'参数与说明'!$B$6/27.2155)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21916</v>
      </c>
      <c r="B491" s="13" t="n">
        <v>1960</v>
      </c>
      <c r="C491" s="13" t="n">
        <v>1</v>
      </c>
      <c r="D491" s="14" t="n">
        <v>2.01</v>
      </c>
      <c r="E491" s="14">
        <f>IF(D491="","",D491*'参数与说明'!$B$6/27.2155)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21947</v>
      </c>
      <c r="B492" s="17" t="n">
        <v>1960</v>
      </c>
      <c r="C492" s="17" t="n">
        <v>2</v>
      </c>
      <c r="D492" s="18" t="n">
        <v>1.99</v>
      </c>
      <c r="E492" s="18">
        <f>IF(D492="","",D492*'参数与说明'!$B$6/27.2155)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21976</v>
      </c>
      <c r="B493" s="13" t="n">
        <v>1960</v>
      </c>
      <c r="C493" s="13" t="n">
        <v>3</v>
      </c>
      <c r="D493" s="14" t="n">
        <v>1.99</v>
      </c>
      <c r="E493" s="14">
        <f>IF(D493="","",D493*'参数与说明'!$B$6/27.2155)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22007</v>
      </c>
      <c r="B494" s="17" t="n">
        <v>1960</v>
      </c>
      <c r="C494" s="17" t="n">
        <v>4</v>
      </c>
      <c r="D494" s="18" t="n">
        <v>2.02</v>
      </c>
      <c r="E494" s="18">
        <f>IF(D494="","",D494*'参数与说明'!$B$6/27.2155)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22037</v>
      </c>
      <c r="B495" s="13" t="n">
        <v>1960</v>
      </c>
      <c r="C495" s="13" t="n">
        <v>5</v>
      </c>
      <c r="D495" s="14" t="n">
        <v>2</v>
      </c>
      <c r="E495" s="14">
        <f>IF(D495="","",D495*'参数与说明'!$B$6/27.2155)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22068</v>
      </c>
      <c r="B496" s="17" t="n">
        <v>1960</v>
      </c>
      <c r="C496" s="17" t="n">
        <v>6</v>
      </c>
      <c r="D496" s="18" t="n">
        <v>1.97</v>
      </c>
      <c r="E496" s="18">
        <f>IF(D496="","",D496*'参数与说明'!$B$6/27.2155)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22098</v>
      </c>
      <c r="B497" s="13" t="n">
        <v>1960</v>
      </c>
      <c r="C497" s="13" t="n">
        <v>7</v>
      </c>
      <c r="D497" s="14" t="n">
        <v>1.97</v>
      </c>
      <c r="E497" s="14">
        <f>IF(D497="","",D497*'参数与说明'!$B$6/27.2155)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22129</v>
      </c>
      <c r="B498" s="17" t="n">
        <v>1960</v>
      </c>
      <c r="C498" s="17" t="n">
        <v>8</v>
      </c>
      <c r="D498" s="18" t="n">
        <v>1.99</v>
      </c>
      <c r="E498" s="18">
        <f>IF(D498="","",D498*'参数与说明'!$B$6/27.2155)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22160</v>
      </c>
      <c r="B499" s="13" t="n">
        <v>1960</v>
      </c>
      <c r="C499" s="13" t="n">
        <v>9</v>
      </c>
      <c r="D499" s="14" t="n">
        <v>1.97</v>
      </c>
      <c r="E499" s="14">
        <f>IF(D499="","",D499*'参数与说明'!$B$6/27.2155)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22190</v>
      </c>
      <c r="B500" s="17" t="n">
        <v>1960</v>
      </c>
      <c r="C500" s="17" t="n">
        <v>10</v>
      </c>
      <c r="D500" s="18" t="n">
        <v>1.94</v>
      </c>
      <c r="E500" s="18">
        <f>IF(D500="","",D500*'参数与说明'!$B$6/27.2155)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22221</v>
      </c>
      <c r="B501" s="13" t="n">
        <v>1960</v>
      </c>
      <c r="C501" s="13" t="n">
        <v>11</v>
      </c>
      <c r="D501" s="14" t="n">
        <v>1.96</v>
      </c>
      <c r="E501" s="14">
        <f>IF(D501="","",D501*'参数与说明'!$B$6/27.2155)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22251</v>
      </c>
      <c r="B502" s="17" t="n">
        <v>1960</v>
      </c>
      <c r="C502" s="17" t="n">
        <v>12</v>
      </c>
      <c r="D502" s="18" t="n">
        <v>1.99</v>
      </c>
      <c r="E502" s="18">
        <f>IF(D502="","",D502*'参数与说明'!$B$6/27.2155)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22282</v>
      </c>
      <c r="B503" s="13" t="n">
        <v>1961</v>
      </c>
      <c r="C503" s="13" t="n">
        <v>1</v>
      </c>
      <c r="D503" s="14" t="n">
        <v>2.23</v>
      </c>
      <c r="E503" s="14">
        <f>IF(D503="","",D503*'参数与说明'!$B$6/27.2155)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22313</v>
      </c>
      <c r="B504" s="17" t="n">
        <v>1961</v>
      </c>
      <c r="C504" s="17" t="n">
        <v>2</v>
      </c>
      <c r="D504" s="18" t="n">
        <v>2.48</v>
      </c>
      <c r="E504" s="18">
        <f>IF(D504="","",D504*'参数与说明'!$B$6/27.2155)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22341</v>
      </c>
      <c r="B505" s="13" t="n">
        <v>1961</v>
      </c>
      <c r="C505" s="13" t="n">
        <v>3</v>
      </c>
      <c r="D505" s="14" t="n">
        <v>2.68</v>
      </c>
      <c r="E505" s="14">
        <f>IF(D505="","",D505*'参数与说明'!$B$6/27.2155)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22372</v>
      </c>
      <c r="B506" s="17" t="n">
        <v>1961</v>
      </c>
      <c r="C506" s="17" t="n">
        <v>4</v>
      </c>
      <c r="D506" s="18" t="n">
        <v>3.02</v>
      </c>
      <c r="E506" s="18">
        <f>IF(D506="","",D506*'参数与说明'!$B$6/27.2155)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22402</v>
      </c>
      <c r="B507" s="13" t="n">
        <v>1961</v>
      </c>
      <c r="C507" s="13" t="n">
        <v>5</v>
      </c>
      <c r="D507" s="14" t="n">
        <v>2.96</v>
      </c>
      <c r="E507" s="14">
        <f>IF(D507="","",D507*'参数与说明'!$B$6/27.2155)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22433</v>
      </c>
      <c r="B508" s="17" t="n">
        <v>1961</v>
      </c>
      <c r="C508" s="17" t="n">
        <v>6</v>
      </c>
      <c r="D508" s="18" t="n">
        <v>2.6</v>
      </c>
      <c r="E508" s="18">
        <f>IF(D508="","",D508*'参数与说明'!$B$6/27.2155)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22463</v>
      </c>
      <c r="B509" s="13" t="n">
        <v>1961</v>
      </c>
      <c r="C509" s="13" t="n">
        <v>7</v>
      </c>
      <c r="D509" s="14" t="n">
        <v>2.48</v>
      </c>
      <c r="E509" s="14">
        <f>IF(D509="","",D509*'参数与说明'!$B$6/27.2155)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22494</v>
      </c>
      <c r="B510" s="17" t="n">
        <v>1961</v>
      </c>
      <c r="C510" s="17" t="n">
        <v>8</v>
      </c>
      <c r="D510" s="18" t="n">
        <v>2.49</v>
      </c>
      <c r="E510" s="18">
        <f>IF(D510="","",D510*'参数与说明'!$B$6/27.2155)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22525</v>
      </c>
      <c r="B511" s="13" t="n">
        <v>1961</v>
      </c>
      <c r="C511" s="13" t="n">
        <v>9</v>
      </c>
      <c r="D511" s="14" t="n">
        <v>2.34</v>
      </c>
      <c r="E511" s="14">
        <f>IF(D511="","",D511*'参数与说明'!$B$6/27.2155)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22555</v>
      </c>
      <c r="B512" s="17" t="n">
        <v>1961</v>
      </c>
      <c r="C512" s="17" t="n">
        <v>10</v>
      </c>
      <c r="D512" s="18" t="n">
        <v>2.2</v>
      </c>
      <c r="E512" s="18">
        <f>IF(D512="","",D512*'参数与说明'!$B$6/27.2155)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22586</v>
      </c>
      <c r="B513" s="13" t="n">
        <v>1961</v>
      </c>
      <c r="C513" s="13" t="n">
        <v>11</v>
      </c>
      <c r="D513" s="14" t="n">
        <v>2.27</v>
      </c>
      <c r="E513" s="14">
        <f>IF(D513="","",D513*'参数与说明'!$B$6/27.2155)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22616</v>
      </c>
      <c r="B514" s="17" t="n">
        <v>1961</v>
      </c>
      <c r="C514" s="17" t="n">
        <v>12</v>
      </c>
      <c r="D514" s="18" t="n">
        <v>2.3</v>
      </c>
      <c r="E514" s="18">
        <f>IF(D514="","",D514*'参数与说明'!$B$6/27.2155)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22647</v>
      </c>
      <c r="B515" s="13" t="n">
        <v>1962</v>
      </c>
      <c r="C515" s="13" t="n">
        <v>1</v>
      </c>
      <c r="D515" s="14" t="n">
        <v>2.32</v>
      </c>
      <c r="E515" s="14">
        <f>IF(D515="","",D515*'参数与说明'!$B$6/27.2155)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22678</v>
      </c>
      <c r="B516" s="17" t="n">
        <v>1962</v>
      </c>
      <c r="C516" s="17" t="n">
        <v>2</v>
      </c>
      <c r="D516" s="18" t="n">
        <v>2.32</v>
      </c>
      <c r="E516" s="18">
        <f>IF(D516="","",D516*'参数与说明'!$B$6/27.2155)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22706</v>
      </c>
      <c r="B517" s="13" t="n">
        <v>1962</v>
      </c>
      <c r="C517" s="13" t="n">
        <v>3</v>
      </c>
      <c r="D517" s="14" t="n">
        <v>2.34</v>
      </c>
      <c r="E517" s="14">
        <f>IF(D517="","",D517*'参数与说明'!$B$6/27.2155)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22737</v>
      </c>
      <c r="B518" s="17" t="n">
        <v>1962</v>
      </c>
      <c r="C518" s="17" t="n">
        <v>4</v>
      </c>
      <c r="D518" s="18" t="n">
        <v>2.38</v>
      </c>
      <c r="E518" s="18">
        <f>IF(D518="","",D518*'参数与说明'!$B$6/27.2155)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22767</v>
      </c>
      <c r="B519" s="13" t="n">
        <v>1962</v>
      </c>
      <c r="C519" s="13" t="n">
        <v>5</v>
      </c>
      <c r="D519" s="14" t="n">
        <v>2.36</v>
      </c>
      <c r="E519" s="14">
        <f>IF(D519="","",D519*'参数与说明'!$B$6/27.2155)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22798</v>
      </c>
      <c r="B520" s="17" t="n">
        <v>1962</v>
      </c>
      <c r="C520" s="17" t="n">
        <v>6</v>
      </c>
      <c r="D520" s="18" t="n">
        <v>2.34</v>
      </c>
      <c r="E520" s="18">
        <f>IF(D520="","",D520*'参数与说明'!$B$6/27.2155)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22828</v>
      </c>
      <c r="B521" s="13" t="n">
        <v>1962</v>
      </c>
      <c r="C521" s="13" t="n">
        <v>7</v>
      </c>
      <c r="D521" s="14" t="n">
        <v>2.35</v>
      </c>
      <c r="E521" s="14">
        <f>IF(D521="","",D521*'参数与说明'!$B$6/27.2155)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22859</v>
      </c>
      <c r="B522" s="17" t="n">
        <v>1962</v>
      </c>
      <c r="C522" s="17" t="n">
        <v>8</v>
      </c>
      <c r="D522" s="18" t="n">
        <v>2.33</v>
      </c>
      <c r="E522" s="18">
        <f>IF(D522="","",D522*'参数与说明'!$B$6/27.2155)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22890</v>
      </c>
      <c r="B523" s="13" t="n">
        <v>1962</v>
      </c>
      <c r="C523" s="13" t="n">
        <v>9</v>
      </c>
      <c r="D523" s="14" t="n">
        <v>2.25</v>
      </c>
      <c r="E523" s="14">
        <f>IF(D523="","",D523*'参数与说明'!$B$6/27.2155)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22920</v>
      </c>
      <c r="B524" s="17" t="n">
        <v>1962</v>
      </c>
      <c r="C524" s="17" t="n">
        <v>10</v>
      </c>
      <c r="D524" s="18" t="n">
        <v>2.23</v>
      </c>
      <c r="E524" s="18">
        <f>IF(D524="","",D524*'参数与说明'!$B$6/27.2155)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22951</v>
      </c>
      <c r="B525" s="13" t="n">
        <v>1962</v>
      </c>
      <c r="C525" s="13" t="n">
        <v>11</v>
      </c>
      <c r="D525" s="14" t="n">
        <v>2.3</v>
      </c>
      <c r="E525" s="14">
        <f>IF(D525="","",D525*'参数与说明'!$B$6/27.2155)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22981</v>
      </c>
      <c r="B526" s="17" t="n">
        <v>1962</v>
      </c>
      <c r="C526" s="17" t="n">
        <v>12</v>
      </c>
      <c r="D526" s="18" t="n">
        <v>2.35</v>
      </c>
      <c r="E526" s="18">
        <f>IF(D526="","",D526*'参数与说明'!$B$6/27.2155)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23012</v>
      </c>
      <c r="B527" s="13" t="n">
        <v>1963</v>
      </c>
      <c r="C527" s="13" t="n">
        <v>1</v>
      </c>
      <c r="D527" s="14" t="n">
        <v>2.41</v>
      </c>
      <c r="E527" s="14">
        <f>IF(D527="","",D527*'参数与说明'!$B$6/27.2155)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23043</v>
      </c>
      <c r="B528" s="17" t="n">
        <v>1963</v>
      </c>
      <c r="C528" s="17" t="n">
        <v>2</v>
      </c>
      <c r="D528" s="18" t="n">
        <v>2.5</v>
      </c>
      <c r="E528" s="18">
        <f>IF(D528="","",D528*'参数与说明'!$B$6/27.2155)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23071</v>
      </c>
      <c r="B529" s="13" t="n">
        <v>1963</v>
      </c>
      <c r="C529" s="13" t="n">
        <v>3</v>
      </c>
      <c r="D529" s="14" t="n">
        <v>2.51</v>
      </c>
      <c r="E529" s="14">
        <f>IF(D529="","",D529*'参数与说明'!$B$6/27.2155)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23102</v>
      </c>
      <c r="B530" s="17" t="n">
        <v>1963</v>
      </c>
      <c r="C530" s="17" t="n">
        <v>4</v>
      </c>
      <c r="D530" s="18" t="n">
        <v>2.45</v>
      </c>
      <c r="E530" s="18">
        <f>IF(D530="","",D530*'参数与说明'!$B$6/27.2155)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23132</v>
      </c>
      <c r="B531" s="13" t="n">
        <v>1963</v>
      </c>
      <c r="C531" s="13" t="n">
        <v>5</v>
      </c>
      <c r="D531" s="14" t="n">
        <v>2.47</v>
      </c>
      <c r="E531" s="14">
        <f>IF(D531="","",D531*'参数与说明'!$B$6/27.2155)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23163</v>
      </c>
      <c r="B532" s="17" t="n">
        <v>1963</v>
      </c>
      <c r="C532" s="17" t="n">
        <v>6</v>
      </c>
      <c r="D532" s="18" t="n">
        <v>2.48</v>
      </c>
      <c r="E532" s="18">
        <f>IF(D532="","",D532*'参数与说明'!$B$6/27.2155)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23193</v>
      </c>
      <c r="B533" s="13" t="n">
        <v>1963</v>
      </c>
      <c r="C533" s="13" t="n">
        <v>7</v>
      </c>
      <c r="D533" s="14" t="n">
        <v>2.44</v>
      </c>
      <c r="E533" s="14">
        <f>IF(D533="","",D533*'参数与说明'!$B$6/27.2155)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23224</v>
      </c>
      <c r="B534" s="17" t="n">
        <v>1963</v>
      </c>
      <c r="C534" s="17" t="n">
        <v>8</v>
      </c>
      <c r="D534" s="18" t="n">
        <v>2.45</v>
      </c>
      <c r="E534" s="18">
        <f>IF(D534="","",D534*'参数与说明'!$B$6/27.2155)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23255</v>
      </c>
      <c r="B535" s="13" t="n">
        <v>1963</v>
      </c>
      <c r="C535" s="13" t="n">
        <v>9</v>
      </c>
      <c r="D535" s="14" t="n">
        <v>2.44</v>
      </c>
      <c r="E535" s="14">
        <f>IF(D535="","",D535*'参数与说明'!$B$6/27.2155)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23285</v>
      </c>
      <c r="B536" s="17" t="n">
        <v>1963</v>
      </c>
      <c r="C536" s="17" t="n">
        <v>10</v>
      </c>
      <c r="D536" s="18" t="n">
        <v>2.56</v>
      </c>
      <c r="E536" s="18">
        <f>IF(D536="","",D536*'参数与说明'!$B$6/27.2155)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23316</v>
      </c>
      <c r="B537" s="13" t="n">
        <v>1963</v>
      </c>
      <c r="C537" s="13" t="n">
        <v>11</v>
      </c>
      <c r="D537" s="14" t="n">
        <v>2.66</v>
      </c>
      <c r="E537" s="14">
        <f>IF(D537="","",D537*'参数与说明'!$B$6/27.2155)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23346</v>
      </c>
      <c r="B538" s="17" t="n">
        <v>1963</v>
      </c>
      <c r="C538" s="17" t="n">
        <v>12</v>
      </c>
      <c r="D538" s="18" t="n">
        <v>2.58</v>
      </c>
      <c r="E538" s="18">
        <f>IF(D538="","",D538*'参数与说明'!$B$6/27.2155)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23377</v>
      </c>
      <c r="B539" s="13" t="n">
        <v>1964</v>
      </c>
      <c r="C539" s="13" t="n">
        <v>1</v>
      </c>
      <c r="D539" s="14" t="n">
        <v>2.65</v>
      </c>
      <c r="E539" s="14">
        <f>IF(D539="","",D539*'参数与说明'!$B$6/27.2155)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23408</v>
      </c>
      <c r="B540" s="17" t="n">
        <v>1964</v>
      </c>
      <c r="C540" s="17" t="n">
        <v>2</v>
      </c>
      <c r="D540" s="18" t="n">
        <v>2.57</v>
      </c>
      <c r="E540" s="18">
        <f>IF(D540="","",D540*'参数与说明'!$B$6/27.2155)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23437</v>
      </c>
      <c r="B541" s="13" t="n">
        <v>1964</v>
      </c>
      <c r="C541" s="13" t="n">
        <v>3</v>
      </c>
      <c r="D541" s="14" t="n">
        <v>2.55</v>
      </c>
      <c r="E541" s="14">
        <f>IF(D541="","",D541*'参数与说明'!$B$6/27.2155)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23468</v>
      </c>
      <c r="B542" s="17" t="n">
        <v>1964</v>
      </c>
      <c r="C542" s="17" t="n">
        <v>4</v>
      </c>
      <c r="D542" s="18" t="n">
        <v>2.45</v>
      </c>
      <c r="E542" s="18">
        <f>IF(D542="","",D542*'参数与说明'!$B$6/27.2155)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23498</v>
      </c>
      <c r="B543" s="13" t="n">
        <v>1964</v>
      </c>
      <c r="C543" s="13" t="n">
        <v>5</v>
      </c>
      <c r="D543" s="14" t="n">
        <v>2.36</v>
      </c>
      <c r="E543" s="14">
        <f>IF(D543="","",D543*'参数与说明'!$B$6/27.2155)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23529</v>
      </c>
      <c r="B544" s="17" t="n">
        <v>1964</v>
      </c>
      <c r="C544" s="17" t="n">
        <v>6</v>
      </c>
      <c r="D544" s="18" t="n">
        <v>2.35</v>
      </c>
      <c r="E544" s="18">
        <f>IF(D544="","",D544*'参数与说明'!$B$6/27.2155)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23559</v>
      </c>
      <c r="B545" s="13" t="n">
        <v>1964</v>
      </c>
      <c r="C545" s="13" t="n">
        <v>7</v>
      </c>
      <c r="D545" s="14" t="n">
        <v>2.34</v>
      </c>
      <c r="E545" s="14">
        <f>IF(D545="","",D545*'参数与说明'!$B$6/27.2155)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23590</v>
      </c>
      <c r="B546" s="17" t="n">
        <v>1964</v>
      </c>
      <c r="C546" s="17" t="n">
        <v>8</v>
      </c>
      <c r="D546" s="18" t="n">
        <v>2.35</v>
      </c>
      <c r="E546" s="18">
        <f>IF(D546="","",D546*'参数与说明'!$B$6/27.2155)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23621</v>
      </c>
      <c r="B547" s="13" t="n">
        <v>1964</v>
      </c>
      <c r="C547" s="13" t="n">
        <v>9</v>
      </c>
      <c r="D547" s="14" t="n">
        <v>2.51</v>
      </c>
      <c r="E547" s="14">
        <f>IF(D547="","",D547*'参数与说明'!$B$6/27.2155)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23651</v>
      </c>
      <c r="B548" s="17" t="n">
        <v>1964</v>
      </c>
      <c r="C548" s="17" t="n">
        <v>10</v>
      </c>
      <c r="D548" s="18" t="n">
        <v>2.55</v>
      </c>
      <c r="E548" s="18">
        <f>IF(D548="","",D548*'参数与说明'!$B$6/27.2155)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23682</v>
      </c>
      <c r="B549" s="13" t="n">
        <v>1964</v>
      </c>
      <c r="C549" s="13" t="n">
        <v>11</v>
      </c>
      <c r="D549" s="14" t="n">
        <v>2.57</v>
      </c>
      <c r="E549" s="14">
        <f>IF(D549="","",D549*'参数与说明'!$B$6/27.2155)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23712</v>
      </c>
      <c r="B550" s="17" t="n">
        <v>1964</v>
      </c>
      <c r="C550" s="17" t="n">
        <v>12</v>
      </c>
      <c r="D550" s="18" t="n">
        <v>2.71</v>
      </c>
      <c r="E550" s="18">
        <f>IF(D550="","",D550*'参数与说明'!$B$6/27.2155)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23743</v>
      </c>
      <c r="B551" s="13" t="n">
        <v>1965</v>
      </c>
      <c r="C551" s="13" t="n">
        <v>1</v>
      </c>
      <c r="D551" s="14" t="n">
        <v>2.73</v>
      </c>
      <c r="E551" s="14">
        <f>IF(D551="","",D551*'参数与说明'!$B$6/27.2155)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23774</v>
      </c>
      <c r="B552" s="17" t="n">
        <v>1965</v>
      </c>
      <c r="C552" s="17" t="n">
        <v>2</v>
      </c>
      <c r="D552" s="18" t="n">
        <v>2.81</v>
      </c>
      <c r="E552" s="18">
        <f>IF(D552="","",D552*'参数与说明'!$B$6/27.2155)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23802</v>
      </c>
      <c r="B553" s="13" t="n">
        <v>1965</v>
      </c>
      <c r="C553" s="13" t="n">
        <v>3</v>
      </c>
      <c r="D553" s="14" t="n">
        <v>2.85</v>
      </c>
      <c r="E553" s="14">
        <f>IF(D553="","",D553*'参数与说明'!$B$6/27.2155)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23833</v>
      </c>
      <c r="B554" s="17" t="n">
        <v>1965</v>
      </c>
      <c r="C554" s="17" t="n">
        <v>4</v>
      </c>
      <c r="D554" s="18" t="n">
        <v>2.85</v>
      </c>
      <c r="E554" s="18">
        <f>IF(D554="","",D554*'参数与说明'!$B$6/27.2155)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23863</v>
      </c>
      <c r="B555" s="13" t="n">
        <v>1965</v>
      </c>
      <c r="C555" s="13" t="n">
        <v>5</v>
      </c>
      <c r="D555" s="14" t="n">
        <v>2.72</v>
      </c>
      <c r="E555" s="14">
        <f>IF(D555="","",D555*'参数与说明'!$B$6/27.2155)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23894</v>
      </c>
      <c r="B556" s="17" t="n">
        <v>1965</v>
      </c>
      <c r="C556" s="17" t="n">
        <v>6</v>
      </c>
      <c r="D556" s="18" t="n">
        <v>2.74</v>
      </c>
      <c r="E556" s="18">
        <f>IF(D556="","",D556*'参数与说明'!$B$6/27.2155)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23924</v>
      </c>
      <c r="B557" s="13" t="n">
        <v>1965</v>
      </c>
      <c r="C557" s="13" t="n">
        <v>7</v>
      </c>
      <c r="D557" s="14" t="n">
        <v>2.69</v>
      </c>
      <c r="E557" s="14">
        <f>IF(D557="","",D557*'参数与说明'!$B$6/27.2155)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23955</v>
      </c>
      <c r="B558" s="17" t="n">
        <v>1965</v>
      </c>
      <c r="C558" s="17" t="n">
        <v>8</v>
      </c>
      <c r="D558" s="18" t="n">
        <v>2.53</v>
      </c>
      <c r="E558" s="18">
        <f>IF(D558="","",D558*'参数与说明'!$B$6/27.2155)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23986</v>
      </c>
      <c r="B559" s="13" t="n">
        <v>1965</v>
      </c>
      <c r="C559" s="13" t="n">
        <v>9</v>
      </c>
      <c r="D559" s="14" t="n">
        <v>2.35</v>
      </c>
      <c r="E559" s="14">
        <f>IF(D559="","",D559*'参数与说明'!$B$6/27.2155)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24016</v>
      </c>
      <c r="B560" s="17" t="n">
        <v>1965</v>
      </c>
      <c r="C560" s="17" t="n">
        <v>10</v>
      </c>
      <c r="D560" s="18" t="n">
        <v>2.31</v>
      </c>
      <c r="E560" s="18">
        <f>IF(D560="","",D560*'参数与说明'!$B$6/27.2155)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24047</v>
      </c>
      <c r="B561" s="13" t="n">
        <v>1965</v>
      </c>
      <c r="C561" s="13" t="n">
        <v>11</v>
      </c>
      <c r="D561" s="14" t="n">
        <v>2.36</v>
      </c>
      <c r="E561" s="14">
        <f>IF(D561="","",D561*'参数与说明'!$B$6/27.2155)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24077</v>
      </c>
      <c r="B562" s="17" t="n">
        <v>1965</v>
      </c>
      <c r="C562" s="17" t="n">
        <v>12</v>
      </c>
      <c r="D562" s="18" t="n">
        <v>2.48</v>
      </c>
      <c r="E562" s="18">
        <f>IF(D562="","",D562*'参数与说明'!$B$6/27.2155)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24108</v>
      </c>
      <c r="B563" s="13" t="n">
        <v>1966</v>
      </c>
      <c r="C563" s="13" t="n">
        <v>1</v>
      </c>
      <c r="D563" s="14" t="n">
        <v>2.67</v>
      </c>
      <c r="E563" s="14">
        <f>IF(D563="","",D563*'参数与说明'!$B$6/27.2155)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24139</v>
      </c>
      <c r="B564" s="17" t="n">
        <v>1966</v>
      </c>
      <c r="C564" s="17" t="n">
        <v>2</v>
      </c>
      <c r="D564" s="18" t="n">
        <v>2.77</v>
      </c>
      <c r="E564" s="18">
        <f>IF(D564="","",D564*'参数与说明'!$B$6/27.2155)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24167</v>
      </c>
      <c r="B565" s="13" t="n">
        <v>1966</v>
      </c>
      <c r="C565" s="13" t="n">
        <v>3</v>
      </c>
      <c r="D565" s="14" t="n">
        <v>2.71</v>
      </c>
      <c r="E565" s="14">
        <f>IF(D565="","",D565*'参数与说明'!$B$6/27.2155)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24198</v>
      </c>
      <c r="B566" s="17" t="n">
        <v>1966</v>
      </c>
      <c r="C566" s="17" t="n">
        <v>4</v>
      </c>
      <c r="D566" s="18" t="n">
        <v>2.78</v>
      </c>
      <c r="E566" s="18">
        <f>IF(D566="","",D566*'参数与说明'!$B$6/27.2155)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24228</v>
      </c>
      <c r="B567" s="13" t="n">
        <v>1966</v>
      </c>
      <c r="C567" s="13" t="n">
        <v>5</v>
      </c>
      <c r="D567" s="14" t="n">
        <v>2.9</v>
      </c>
      <c r="E567" s="14">
        <f>IF(D567="","",D567*'参数与说明'!$B$6/27.2155)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24259</v>
      </c>
      <c r="B568" s="17" t="n">
        <v>1966</v>
      </c>
      <c r="C568" s="17" t="n">
        <v>6</v>
      </c>
      <c r="D568" s="18" t="n">
        <v>3.04</v>
      </c>
      <c r="E568" s="18">
        <f>IF(D568="","",D568*'参数与说明'!$B$6/27.2155)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24289</v>
      </c>
      <c r="B569" s="13" t="n">
        <v>1966</v>
      </c>
      <c r="C569" s="13" t="n">
        <v>7</v>
      </c>
      <c r="D569" s="14" t="n">
        <v>3.37</v>
      </c>
      <c r="E569" s="14">
        <f>IF(D569="","",D569*'参数与说明'!$B$6/27.2155)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24320</v>
      </c>
      <c r="B570" s="17" t="n">
        <v>1966</v>
      </c>
      <c r="C570" s="17" t="n">
        <v>8</v>
      </c>
      <c r="D570" s="18" t="n">
        <v>3.49</v>
      </c>
      <c r="E570" s="18">
        <f>IF(D570="","",D570*'参数与说明'!$B$6/27.2155)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24351</v>
      </c>
      <c r="B571" s="13" t="n">
        <v>1966</v>
      </c>
      <c r="C571" s="13" t="n">
        <v>9</v>
      </c>
      <c r="D571" s="14" t="n">
        <v>2.97</v>
      </c>
      <c r="E571" s="14">
        <f>IF(D571="","",D571*'参数与说明'!$B$6/27.2155)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24381</v>
      </c>
      <c r="B572" s="17" t="n">
        <v>1966</v>
      </c>
      <c r="C572" s="17" t="n">
        <v>10</v>
      </c>
      <c r="D572" s="18" t="n">
        <v>2.78</v>
      </c>
      <c r="E572" s="18">
        <f>IF(D572="","",D572*'参数与说明'!$B$6/27.2155)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24412</v>
      </c>
      <c r="B573" s="13" t="n">
        <v>1966</v>
      </c>
      <c r="C573" s="13" t="n">
        <v>11</v>
      </c>
      <c r="D573" s="14" t="n">
        <v>2.8</v>
      </c>
      <c r="E573" s="14">
        <f>IF(D573="","",D573*'参数与说明'!$B$6/27.2155)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24442</v>
      </c>
      <c r="B574" s="17" t="n">
        <v>1966</v>
      </c>
      <c r="C574" s="17" t="n">
        <v>12</v>
      </c>
      <c r="D574" s="18" t="n">
        <v>2.82</v>
      </c>
      <c r="E574" s="18">
        <f>IF(D574="","",D574*'参数与说明'!$B$6/27.2155)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24473</v>
      </c>
      <c r="B575" s="13" t="n">
        <v>1967</v>
      </c>
      <c r="C575" s="13" t="n">
        <v>1</v>
      </c>
      <c r="D575" s="14" t="n">
        <v>2.77</v>
      </c>
      <c r="E575" s="14">
        <f>IF(D575="","",D575*'参数与说明'!$B$6/27.2155)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24504</v>
      </c>
      <c r="B576" s="17" t="n">
        <v>1967</v>
      </c>
      <c r="C576" s="17" t="n">
        <v>2</v>
      </c>
      <c r="D576" s="18" t="n">
        <v>2.71</v>
      </c>
      <c r="E576" s="18">
        <f>IF(D576="","",D576*'参数与说明'!$B$6/27.2155)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24532</v>
      </c>
      <c r="B577" s="13" t="n">
        <v>1967</v>
      </c>
      <c r="C577" s="13" t="n">
        <v>3</v>
      </c>
      <c r="D577" s="14" t="n">
        <v>2.74</v>
      </c>
      <c r="E577" s="14">
        <f>IF(D577="","",D577*'参数与说明'!$B$6/27.2155)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24563</v>
      </c>
      <c r="B578" s="17" t="n">
        <v>1967</v>
      </c>
      <c r="C578" s="17" t="n">
        <v>4</v>
      </c>
      <c r="D578" s="18" t="n">
        <v>2.71</v>
      </c>
      <c r="E578" s="18">
        <f>IF(D578="","",D578*'参数与说明'!$B$6/27.2155)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24593</v>
      </c>
      <c r="B579" s="13" t="n">
        <v>1967</v>
      </c>
      <c r="C579" s="13" t="n">
        <v>5</v>
      </c>
      <c r="D579" s="14" t="n">
        <v>2.69</v>
      </c>
      <c r="E579" s="14">
        <f>IF(D579="","",D579*'参数与说明'!$B$6/27.2155)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24624</v>
      </c>
      <c r="B580" s="17" t="n">
        <v>1967</v>
      </c>
      <c r="C580" s="17" t="n">
        <v>6</v>
      </c>
      <c r="D580" s="18" t="n">
        <v>2.71</v>
      </c>
      <c r="E580" s="18">
        <f>IF(D580="","",D580*'参数与说明'!$B$6/27.2155)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24654</v>
      </c>
      <c r="B581" s="13" t="n">
        <v>1967</v>
      </c>
      <c r="C581" s="13" t="n">
        <v>7</v>
      </c>
      <c r="D581" s="14" t="n">
        <v>2.66</v>
      </c>
      <c r="E581" s="14">
        <f>IF(D581="","",D581*'参数与说明'!$B$6/27.2155)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24685</v>
      </c>
      <c r="B582" s="17" t="n">
        <v>1967</v>
      </c>
      <c r="C582" s="17" t="n">
        <v>8</v>
      </c>
      <c r="D582" s="18" t="n">
        <v>2.56</v>
      </c>
      <c r="E582" s="18">
        <f>IF(D582="","",D582*'参数与说明'!$B$6/27.2155)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24716</v>
      </c>
      <c r="B583" s="13" t="n">
        <v>1967</v>
      </c>
      <c r="C583" s="13" t="n">
        <v>9</v>
      </c>
      <c r="D583" s="14" t="n">
        <v>2.53</v>
      </c>
      <c r="E583" s="14">
        <f>IF(D583="","",D583*'参数与说明'!$B$6/27.2155)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24746</v>
      </c>
      <c r="B584" s="17" t="n">
        <v>1967</v>
      </c>
      <c r="C584" s="17" t="n">
        <v>10</v>
      </c>
      <c r="D584" s="18" t="n">
        <v>2.44</v>
      </c>
      <c r="E584" s="18">
        <f>IF(D584="","",D584*'参数与说明'!$B$6/27.2155)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24777</v>
      </c>
      <c r="B585" s="13" t="n">
        <v>1967</v>
      </c>
      <c r="C585" s="13" t="n">
        <v>11</v>
      </c>
      <c r="D585" s="14" t="n">
        <v>2.43</v>
      </c>
      <c r="E585" s="14">
        <f>IF(D585="","",D585*'参数与说明'!$B$6/27.2155)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24807</v>
      </c>
      <c r="B586" s="17" t="n">
        <v>1967</v>
      </c>
      <c r="C586" s="17" t="n">
        <v>12</v>
      </c>
      <c r="D586" s="18" t="n">
        <v>2.48</v>
      </c>
      <c r="E586" s="18">
        <f>IF(D586="","",D586*'参数与说明'!$B$6/27.2155)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24838</v>
      </c>
      <c r="B587" s="13" t="n">
        <v>1968</v>
      </c>
      <c r="C587" s="13" t="n">
        <v>1</v>
      </c>
      <c r="D587" s="14" t="n">
        <v>2.53</v>
      </c>
      <c r="E587" s="14">
        <f>IF(D587="","",D587*'参数与说明'!$B$6/27.2155)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24869</v>
      </c>
      <c r="B588" s="17" t="n">
        <v>1968</v>
      </c>
      <c r="C588" s="17" t="n">
        <v>2</v>
      </c>
      <c r="D588" s="18" t="n">
        <v>2.57</v>
      </c>
      <c r="E588" s="18">
        <f>IF(D588="","",D588*'参数与说明'!$B$6/27.2155)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24898</v>
      </c>
      <c r="B589" s="13" t="n">
        <v>1968</v>
      </c>
      <c r="C589" s="13" t="n">
        <v>3</v>
      </c>
      <c r="D589" s="14" t="n">
        <v>2.57</v>
      </c>
      <c r="E589" s="14">
        <f>IF(D589="","",D589*'参数与说明'!$B$6/27.2155)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24929</v>
      </c>
      <c r="B590" s="17" t="n">
        <v>1968</v>
      </c>
      <c r="C590" s="17" t="n">
        <v>4</v>
      </c>
      <c r="D590" s="18" t="n">
        <v>2.56</v>
      </c>
      <c r="E590" s="18">
        <f>IF(D590="","",D590*'参数与说明'!$B$6/27.2155)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24959</v>
      </c>
      <c r="B591" s="13" t="n">
        <v>1968</v>
      </c>
      <c r="C591" s="13" t="n">
        <v>5</v>
      </c>
      <c r="D591" s="14" t="n">
        <v>2.58</v>
      </c>
      <c r="E591" s="14">
        <f>IF(D591="","",D591*'参数与说明'!$B$6/27.2155)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24990</v>
      </c>
      <c r="B592" s="17" t="n">
        <v>1968</v>
      </c>
      <c r="C592" s="17" t="n">
        <v>6</v>
      </c>
      <c r="D592" s="18" t="n">
        <v>2.54</v>
      </c>
      <c r="E592" s="18">
        <f>IF(D592="","",D592*'参数与说明'!$B$6/27.2155)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25020</v>
      </c>
      <c r="B593" s="13" t="n">
        <v>1968</v>
      </c>
      <c r="C593" s="13" t="n">
        <v>7</v>
      </c>
      <c r="D593" s="14" t="n">
        <v>2.52</v>
      </c>
      <c r="E593" s="14">
        <f>IF(D593="","",D593*'参数与说明'!$B$6/27.2155)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25051</v>
      </c>
      <c r="B594" s="17" t="n">
        <v>1968</v>
      </c>
      <c r="C594" s="17" t="n">
        <v>8</v>
      </c>
      <c r="D594" s="18" t="n">
        <v>2.51</v>
      </c>
      <c r="E594" s="18">
        <f>IF(D594="","",D594*'参数与说明'!$B$6/27.2155)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25082</v>
      </c>
      <c r="B595" s="13" t="n">
        <v>1968</v>
      </c>
      <c r="C595" s="13" t="n">
        <v>9</v>
      </c>
      <c r="D595" s="14" t="n">
        <v>2.4</v>
      </c>
      <c r="E595" s="14">
        <f>IF(D595="","",D595*'参数与说明'!$B$6/27.2155)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25112</v>
      </c>
      <c r="B596" s="17" t="n">
        <v>1968</v>
      </c>
      <c r="C596" s="17" t="n">
        <v>10</v>
      </c>
      <c r="D596" s="18" t="n">
        <v>2.32</v>
      </c>
      <c r="E596" s="18">
        <f>IF(D596="","",D596*'参数与说明'!$B$6/27.2155)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25143</v>
      </c>
      <c r="B597" s="13" t="n">
        <v>1968</v>
      </c>
      <c r="C597" s="13" t="n">
        <v>11</v>
      </c>
      <c r="D597" s="14" t="n">
        <v>2.4</v>
      </c>
      <c r="E597" s="14">
        <f>IF(D597="","",D597*'参数与说明'!$B$6/27.2155)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25173</v>
      </c>
      <c r="B598" s="17" t="n">
        <v>1968</v>
      </c>
      <c r="C598" s="17" t="n">
        <v>12</v>
      </c>
      <c r="D598" s="18" t="n">
        <v>2.42</v>
      </c>
      <c r="E598" s="18">
        <f>IF(D598="","",D598*'参数与说明'!$B$6/27.2155)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25204</v>
      </c>
      <c r="B599" s="13" t="n">
        <v>1969</v>
      </c>
      <c r="C599" s="13" t="n">
        <v>1</v>
      </c>
      <c r="D599" s="14" t="n">
        <v>2.46</v>
      </c>
      <c r="E599" s="14">
        <f>IF(D599="","",D599*'参数与说明'!$B$6/27.2155)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25235</v>
      </c>
      <c r="B600" s="17" t="n">
        <v>1969</v>
      </c>
      <c r="C600" s="17" t="n">
        <v>2</v>
      </c>
      <c r="D600" s="18" t="n">
        <v>2.48</v>
      </c>
      <c r="E600" s="18">
        <f>IF(D600="","",D600*'参数与说明'!$B$6/27.2155)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25263</v>
      </c>
      <c r="B601" s="13" t="n">
        <v>1969</v>
      </c>
      <c r="C601" s="13" t="n">
        <v>3</v>
      </c>
      <c r="D601" s="14" t="n">
        <v>2.48</v>
      </c>
      <c r="E601" s="14">
        <f>IF(D601="","",D601*'参数与说明'!$B$6/27.2155)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25294</v>
      </c>
      <c r="B602" s="17" t="n">
        <v>1969</v>
      </c>
      <c r="C602" s="17" t="n">
        <v>4</v>
      </c>
      <c r="D602" s="18" t="n">
        <v>2.51</v>
      </c>
      <c r="E602" s="18">
        <f>IF(D602="","",D602*'参数与说明'!$B$6/27.2155)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25324</v>
      </c>
      <c r="B603" s="13" t="n">
        <v>1969</v>
      </c>
      <c r="C603" s="13" t="n">
        <v>5</v>
      </c>
      <c r="D603" s="14" t="n">
        <v>2.56</v>
      </c>
      <c r="E603" s="14">
        <f>IF(D603="","",D603*'参数与说明'!$B$6/27.2155)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25355</v>
      </c>
      <c r="B604" s="17" t="n">
        <v>1969</v>
      </c>
      <c r="C604" s="17" t="n">
        <v>6</v>
      </c>
      <c r="D604" s="18" t="n">
        <v>2.52</v>
      </c>
      <c r="E604" s="18">
        <f>IF(D604="","",D604*'参数与说明'!$B$6/27.2155)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25385</v>
      </c>
      <c r="B605" s="13" t="n">
        <v>1969</v>
      </c>
      <c r="C605" s="13" t="n">
        <v>7</v>
      </c>
      <c r="D605" s="14" t="n">
        <v>2.52</v>
      </c>
      <c r="E605" s="14">
        <f>IF(D605="","",D605*'参数与说明'!$B$6/27.2155)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25416</v>
      </c>
      <c r="B606" s="17" t="n">
        <v>1969</v>
      </c>
      <c r="C606" s="17" t="n">
        <v>8</v>
      </c>
      <c r="D606" s="18" t="n">
        <v>2.51</v>
      </c>
      <c r="E606" s="18">
        <f>IF(D606="","",D606*'参数与说明'!$B$6/27.2155)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25447</v>
      </c>
      <c r="B607" s="13" t="n">
        <v>1969</v>
      </c>
      <c r="C607" s="13" t="n">
        <v>9</v>
      </c>
      <c r="D607" s="14" t="n">
        <v>2.28</v>
      </c>
      <c r="E607" s="14">
        <f>IF(D607="","",D607*'参数与说明'!$B$6/27.2155)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25477</v>
      </c>
      <c r="B608" s="17" t="n">
        <v>1969</v>
      </c>
      <c r="C608" s="17" t="n">
        <v>10</v>
      </c>
      <c r="D608" s="18" t="n">
        <v>2.23</v>
      </c>
      <c r="E608" s="18">
        <f>IF(D608="","",D608*'参数与说明'!$B$6/27.2155)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25508</v>
      </c>
      <c r="B609" s="13" t="n">
        <v>1969</v>
      </c>
      <c r="C609" s="13" t="n">
        <v>11</v>
      </c>
      <c r="D609" s="14" t="n">
        <v>2.3</v>
      </c>
      <c r="E609" s="14">
        <f>IF(D609="","",D609*'参数与说明'!$B$6/27.2155)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25538</v>
      </c>
      <c r="B610" s="17" t="n">
        <v>1969</v>
      </c>
      <c r="C610" s="17" t="n">
        <v>12</v>
      </c>
      <c r="D610" s="18" t="n">
        <v>2.3</v>
      </c>
      <c r="E610" s="18">
        <f>IF(D610="","",D610*'参数与说明'!$B$6/27.2155)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25569</v>
      </c>
      <c r="B611" s="13" t="n">
        <v>1970</v>
      </c>
      <c r="C611" s="13" t="n">
        <v>1</v>
      </c>
      <c r="D611" s="14" t="n">
        <v>2.36</v>
      </c>
      <c r="E611" s="14">
        <f>IF(D611="","",D611*'参数与说明'!$B$6/27.2155)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25600</v>
      </c>
      <c r="B612" s="17" t="n">
        <v>1970</v>
      </c>
      <c r="C612" s="17" t="n">
        <v>2</v>
      </c>
      <c r="D612" s="18" t="n">
        <v>2.4</v>
      </c>
      <c r="E612" s="18">
        <f>IF(D612="","",D612*'参数与说明'!$B$6/27.2155)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25628</v>
      </c>
      <c r="B613" s="13" t="n">
        <v>1970</v>
      </c>
      <c r="C613" s="13" t="n">
        <v>3</v>
      </c>
      <c r="D613" s="14" t="n">
        <v>2.42</v>
      </c>
      <c r="E613" s="14">
        <f>IF(D613="","",D613*'参数与说明'!$B$6/27.2155)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25659</v>
      </c>
      <c r="B614" s="17" t="n">
        <v>1970</v>
      </c>
      <c r="C614" s="17" t="n">
        <v>4</v>
      </c>
      <c r="D614" s="18" t="n">
        <v>2.48</v>
      </c>
      <c r="E614" s="18">
        <f>IF(D614="","",D614*'参数与说明'!$B$6/27.2155)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25689</v>
      </c>
      <c r="B615" s="13" t="n">
        <v>1970</v>
      </c>
      <c r="C615" s="13" t="n">
        <v>5</v>
      </c>
      <c r="D615" s="14" t="n">
        <v>2.52</v>
      </c>
      <c r="E615" s="14">
        <f>IF(D615="","",D615*'参数与说明'!$B$6/27.2155)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25720</v>
      </c>
      <c r="B616" s="17" t="n">
        <v>1970</v>
      </c>
      <c r="C616" s="17" t="n">
        <v>6</v>
      </c>
      <c r="D616" s="18" t="n">
        <v>2.6</v>
      </c>
      <c r="E616" s="18">
        <f>IF(D616="","",D616*'参数与说明'!$B$6/27.2155)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25750</v>
      </c>
      <c r="B617" s="13" t="n">
        <v>1970</v>
      </c>
      <c r="C617" s="13" t="n">
        <v>7</v>
      </c>
      <c r="D617" s="14" t="n">
        <v>2.72</v>
      </c>
      <c r="E617" s="14">
        <f>IF(D617="","",D617*'参数与说明'!$B$6/27.2155)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25781</v>
      </c>
      <c r="B618" s="17" t="n">
        <v>1970</v>
      </c>
      <c r="C618" s="17" t="n">
        <v>8</v>
      </c>
      <c r="D618" s="18" t="n">
        <v>2.65</v>
      </c>
      <c r="E618" s="18">
        <f>IF(D618="","",D618*'参数与说明'!$B$6/27.2155)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25812</v>
      </c>
      <c r="B619" s="13" t="n">
        <v>1970</v>
      </c>
      <c r="C619" s="13" t="n">
        <v>9</v>
      </c>
      <c r="D619" s="14" t="n">
        <v>2.66</v>
      </c>
      <c r="E619" s="14">
        <f>IF(D619="","",D619*'参数与说明'!$B$6/27.2155)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25842</v>
      </c>
      <c r="B620" s="17" t="n">
        <v>1970</v>
      </c>
      <c r="C620" s="17" t="n">
        <v>10</v>
      </c>
      <c r="D620" s="18" t="n">
        <v>2.77</v>
      </c>
      <c r="E620" s="18">
        <f>IF(D620="","",D620*'参数与说明'!$B$6/27.2155)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25873</v>
      </c>
      <c r="B621" s="13" t="n">
        <v>1970</v>
      </c>
      <c r="C621" s="13" t="n">
        <v>11</v>
      </c>
      <c r="D621" s="14" t="n">
        <v>2.86</v>
      </c>
      <c r="E621" s="14">
        <f>IF(D621="","",D621*'参数与说明'!$B$6/27.2155)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25903</v>
      </c>
      <c r="B622" s="17" t="n">
        <v>1970</v>
      </c>
      <c r="C622" s="17" t="n">
        <v>12</v>
      </c>
      <c r="D622" s="18" t="n">
        <v>2.77</v>
      </c>
      <c r="E622" s="18">
        <f>IF(D622="","",D622*'参数与说明'!$B$6/27.2155)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25934</v>
      </c>
      <c r="B623" s="13" t="n">
        <v>1971</v>
      </c>
      <c r="C623" s="13" t="n">
        <v>1</v>
      </c>
      <c r="D623" s="14" t="n">
        <v>2.86</v>
      </c>
      <c r="E623" s="14">
        <f>IF(D623="","",D623*'参数与说明'!$B$6/27.2155)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25965</v>
      </c>
      <c r="B624" s="17" t="n">
        <v>1971</v>
      </c>
      <c r="C624" s="17" t="n">
        <v>2</v>
      </c>
      <c r="D624" s="18" t="n">
        <v>2.92</v>
      </c>
      <c r="E624" s="18">
        <f>IF(D624="","",D624*'参数与说明'!$B$6/27.2155)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25993</v>
      </c>
      <c r="B625" s="13" t="n">
        <v>1971</v>
      </c>
      <c r="C625" s="13" t="n">
        <v>3</v>
      </c>
      <c r="D625" s="14" t="n">
        <v>2.91</v>
      </c>
      <c r="E625" s="14">
        <f>IF(D625="","",D625*'参数与说明'!$B$6/27.2155)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26024</v>
      </c>
      <c r="B626" s="17" t="n">
        <v>1971</v>
      </c>
      <c r="C626" s="17" t="n">
        <v>4</v>
      </c>
      <c r="D626" s="18" t="n">
        <v>2.8</v>
      </c>
      <c r="E626" s="18">
        <f>IF(D626="","",D626*'参数与说明'!$B$6/27.2155)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26054</v>
      </c>
      <c r="B627" s="13" t="n">
        <v>1971</v>
      </c>
      <c r="C627" s="13" t="n">
        <v>5</v>
      </c>
      <c r="D627" s="14" t="n">
        <v>2.85</v>
      </c>
      <c r="E627" s="14">
        <f>IF(D627="","",D627*'参数与说明'!$B$6/27.2155)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26085</v>
      </c>
      <c r="B628" s="17" t="n">
        <v>1971</v>
      </c>
      <c r="C628" s="17" t="n">
        <v>6</v>
      </c>
      <c r="D628" s="18" t="n">
        <v>2.98</v>
      </c>
      <c r="E628" s="18">
        <f>IF(D628="","",D628*'参数与说明'!$B$6/27.2155)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26115</v>
      </c>
      <c r="B629" s="13" t="n">
        <v>1971</v>
      </c>
      <c r="C629" s="13" t="n">
        <v>7</v>
      </c>
      <c r="D629" s="14" t="n">
        <v>3.18</v>
      </c>
      <c r="E629" s="14">
        <f>IF(D629="","",D629*'参数与说明'!$B$6/27.2155)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26146</v>
      </c>
      <c r="B630" s="17" t="n">
        <v>1971</v>
      </c>
      <c r="C630" s="17" t="n">
        <v>8</v>
      </c>
      <c r="D630" s="18" t="n">
        <v>3.09</v>
      </c>
      <c r="E630" s="18">
        <f>IF(D630="","",D630*'参数与说明'!$B$6/27.2155)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26177</v>
      </c>
      <c r="B631" s="13" t="n">
        <v>1971</v>
      </c>
      <c r="C631" s="13" t="n">
        <v>9</v>
      </c>
      <c r="D631" s="14" t="n">
        <v>2.95</v>
      </c>
      <c r="E631" s="14">
        <f>IF(D631="","",D631*'参数与说明'!$B$6/27.2155)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26207</v>
      </c>
      <c r="B632" s="17" t="n">
        <v>1971</v>
      </c>
      <c r="C632" s="17" t="n">
        <v>10</v>
      </c>
      <c r="D632" s="18" t="n">
        <v>2.96</v>
      </c>
      <c r="E632" s="18">
        <f>IF(D632="","",D632*'参数与说明'!$B$6/27.2155)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26238</v>
      </c>
      <c r="B633" s="13" t="n">
        <v>1971</v>
      </c>
      <c r="C633" s="13" t="n">
        <v>11</v>
      </c>
      <c r="D633" s="14" t="n">
        <v>2.84</v>
      </c>
      <c r="E633" s="14">
        <f>IF(D633="","",D633*'参数与说明'!$B$6/27.2155)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26268</v>
      </c>
      <c r="B634" s="17" t="n">
        <v>1971</v>
      </c>
      <c r="C634" s="17" t="n">
        <v>12</v>
      </c>
      <c r="D634" s="18" t="n">
        <v>2.93</v>
      </c>
      <c r="E634" s="18">
        <f>IF(D634="","",D634*'参数与说明'!$B$6/27.2155)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26299</v>
      </c>
      <c r="B635" s="13" t="n">
        <v>1972</v>
      </c>
      <c r="C635" s="13" t="n">
        <v>1</v>
      </c>
      <c r="D635" s="14" t="n">
        <v>2.92</v>
      </c>
      <c r="E635" s="14">
        <f>IF(D635="","",D635*'参数与说明'!$B$6/27.2155)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26330</v>
      </c>
      <c r="B636" s="17" t="n">
        <v>1972</v>
      </c>
      <c r="C636" s="17" t="n">
        <v>2</v>
      </c>
      <c r="D636" s="18" t="n">
        <v>3</v>
      </c>
      <c r="E636" s="18">
        <f>IF(D636="","",D636*'参数与说明'!$B$6/27.2155)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26359</v>
      </c>
      <c r="B637" s="13" t="n">
        <v>1972</v>
      </c>
      <c r="C637" s="13" t="n">
        <v>3</v>
      </c>
      <c r="D637" s="14" t="n">
        <v>3.2</v>
      </c>
      <c r="E637" s="14">
        <f>IF(D637="","",D637*'参数与说明'!$B$6/27.2155)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26390</v>
      </c>
      <c r="B638" s="17" t="n">
        <v>1972</v>
      </c>
      <c r="C638" s="17" t="n">
        <v>4</v>
      </c>
      <c r="D638" s="18" t="n">
        <v>3.37</v>
      </c>
      <c r="E638" s="18">
        <f>IF(D638="","",D638*'参数与说明'!$B$6/27.2155)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26420</v>
      </c>
      <c r="B639" s="13" t="n">
        <v>1972</v>
      </c>
      <c r="C639" s="13" t="n">
        <v>5</v>
      </c>
      <c r="D639" s="14" t="n">
        <v>3.35</v>
      </c>
      <c r="E639" s="14">
        <f>IF(D639="","",D639*'参数与说明'!$B$6/27.2155)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26451</v>
      </c>
      <c r="B640" s="17" t="n">
        <v>1972</v>
      </c>
      <c r="C640" s="17" t="n">
        <v>6</v>
      </c>
      <c r="D640" s="18" t="n">
        <v>3.32</v>
      </c>
      <c r="E640" s="18">
        <f>IF(D640="","",D640*'参数与说明'!$B$6/27.2155)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26481</v>
      </c>
      <c r="B641" s="13" t="n">
        <v>1972</v>
      </c>
      <c r="C641" s="13" t="n">
        <v>7</v>
      </c>
      <c r="D641" s="14" t="n">
        <v>3.34</v>
      </c>
      <c r="E641" s="14">
        <f>IF(D641="","",D641*'参数与说明'!$B$6/27.2155)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26512</v>
      </c>
      <c r="B642" s="17" t="n">
        <v>1972</v>
      </c>
      <c r="C642" s="17" t="n">
        <v>8</v>
      </c>
      <c r="D642" s="18" t="n">
        <v>3.36</v>
      </c>
      <c r="E642" s="18">
        <f>IF(D642="","",D642*'参数与说明'!$B$6/27.2155)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26543</v>
      </c>
      <c r="B643" s="13" t="n">
        <v>1972</v>
      </c>
      <c r="C643" s="13" t="n">
        <v>9</v>
      </c>
      <c r="D643" s="14" t="n">
        <v>3.26</v>
      </c>
      <c r="E643" s="14">
        <f>IF(D643="","",D643*'参数与说明'!$B$6/27.2155)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26573</v>
      </c>
      <c r="B644" s="17" t="n">
        <v>1972</v>
      </c>
      <c r="C644" s="17" t="n">
        <v>10</v>
      </c>
      <c r="D644" s="18" t="n">
        <v>3.13</v>
      </c>
      <c r="E644" s="18">
        <f>IF(D644="","",D644*'参数与说明'!$B$6/27.2155)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26604</v>
      </c>
      <c r="B645" s="13" t="n">
        <v>1972</v>
      </c>
      <c r="C645" s="13" t="n">
        <v>11</v>
      </c>
      <c r="D645" s="14" t="n">
        <v>3.38</v>
      </c>
      <c r="E645" s="14">
        <f>IF(D645="","",D645*'参数与说明'!$B$6/27.2155)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26634</v>
      </c>
      <c r="B646" s="17" t="n">
        <v>1972</v>
      </c>
      <c r="C646" s="17" t="n">
        <v>12</v>
      </c>
      <c r="D646" s="18" t="n">
        <v>3.95</v>
      </c>
      <c r="E646" s="18">
        <f>IF(D646="","",D646*'参数与说明'!$B$6/27.2155)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26665</v>
      </c>
      <c r="B647" s="13" t="n">
        <v>1973</v>
      </c>
      <c r="C647" s="13" t="n">
        <v>1</v>
      </c>
      <c r="D647" s="14" t="n">
        <v>4.11</v>
      </c>
      <c r="E647" s="14">
        <f>IF(D647="","",D647*'参数与说明'!$B$6/27.2155)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26696</v>
      </c>
      <c r="B648" s="17" t="n">
        <v>1973</v>
      </c>
      <c r="C648" s="17" t="n">
        <v>2</v>
      </c>
      <c r="D648" s="18" t="n">
        <v>5.49</v>
      </c>
      <c r="E648" s="18">
        <f>IF(D648="","",D648*'参数与说明'!$B$6/27.2155)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26724</v>
      </c>
      <c r="B649" s="13" t="n">
        <v>1973</v>
      </c>
      <c r="C649" s="13" t="n">
        <v>3</v>
      </c>
      <c r="D649" s="14" t="n">
        <v>6.04</v>
      </c>
      <c r="E649" s="14">
        <f>IF(D649="","",D649*'参数与说明'!$B$6/27.2155)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26755</v>
      </c>
      <c r="B650" s="17" t="n">
        <v>1973</v>
      </c>
      <c r="C650" s="17" t="n">
        <v>4</v>
      </c>
      <c r="D650" s="18" t="n">
        <v>6.14</v>
      </c>
      <c r="E650" s="18">
        <f>IF(D650="","",D650*'参数与说明'!$B$6/27.2155)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26785</v>
      </c>
      <c r="B651" s="13" t="n">
        <v>1973</v>
      </c>
      <c r="C651" s="13" t="n">
        <v>5</v>
      </c>
      <c r="D651" s="14" t="n">
        <v>8.27</v>
      </c>
      <c r="E651" s="14">
        <f>IF(D651="","",D651*'参数与说明'!$B$6/27.2155)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26816</v>
      </c>
      <c r="B652" s="17" t="n">
        <v>1973</v>
      </c>
      <c r="C652" s="17" t="n">
        <v>6</v>
      </c>
      <c r="D652" s="18" t="n">
        <v>10</v>
      </c>
      <c r="E652" s="18">
        <f>IF(D652="","",D652*'参数与说明'!$B$6/27.2155)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26846</v>
      </c>
      <c r="B653" s="13" t="n">
        <v>1973</v>
      </c>
      <c r="C653" s="13" t="n">
        <v>7</v>
      </c>
      <c r="D653" s="14" t="n">
        <v>6.69</v>
      </c>
      <c r="E653" s="14">
        <f>IF(D653="","",D653*'参数与说明'!$B$6/27.2155)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26877</v>
      </c>
      <c r="B654" s="17" t="n">
        <v>1973</v>
      </c>
      <c r="C654" s="17" t="n">
        <v>8</v>
      </c>
      <c r="D654" s="18" t="n">
        <v>8.99</v>
      </c>
      <c r="E654" s="18">
        <f>IF(D654="","",D654*'参数与说明'!$B$6/27.2155)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26908</v>
      </c>
      <c r="B655" s="13" t="n">
        <v>1973</v>
      </c>
      <c r="C655" s="13" t="n">
        <v>9</v>
      </c>
      <c r="D655" s="14" t="n">
        <v>5.81</v>
      </c>
      <c r="E655" s="14">
        <f>IF(D655="","",D655*'参数与说明'!$B$6/27.2155)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26938</v>
      </c>
      <c r="B656" s="17" t="n">
        <v>1973</v>
      </c>
      <c r="C656" s="17" t="n">
        <v>10</v>
      </c>
      <c r="D656" s="18" t="n">
        <v>5.63</v>
      </c>
      <c r="E656" s="18">
        <f>IF(D656="","",D656*'参数与说明'!$B$6/27.2155)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26969</v>
      </c>
      <c r="B657" s="13" t="n">
        <v>1973</v>
      </c>
      <c r="C657" s="13" t="n">
        <v>11</v>
      </c>
      <c r="D657" s="14" t="n">
        <v>5.14</v>
      </c>
      <c r="E657" s="14">
        <f>IF(D657="","",D657*'参数与说明'!$B$6/27.2155)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26999</v>
      </c>
      <c r="B658" s="17" t="n">
        <v>1973</v>
      </c>
      <c r="C658" s="17" t="n">
        <v>12</v>
      </c>
      <c r="D658" s="18" t="n">
        <v>5.65</v>
      </c>
      <c r="E658" s="18">
        <f>IF(D658="","",D658*'参数与说明'!$B$6/27.2155)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27030</v>
      </c>
      <c r="B659" s="13" t="n">
        <v>1974</v>
      </c>
      <c r="C659" s="13" t="n">
        <v>1</v>
      </c>
      <c r="D659" s="14" t="n">
        <v>5.87</v>
      </c>
      <c r="E659" s="14">
        <f>IF(D659="","",D659*'参数与说明'!$B$6/27.2155)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27061</v>
      </c>
      <c r="B660" s="17" t="n">
        <v>1974</v>
      </c>
      <c r="C660" s="17" t="n">
        <v>2</v>
      </c>
      <c r="D660" s="18" t="n">
        <v>6.07</v>
      </c>
      <c r="E660" s="18">
        <f>IF(D660="","",D660*'参数与说明'!$B$6/27.2155)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27089</v>
      </c>
      <c r="B661" s="13" t="n">
        <v>1974</v>
      </c>
      <c r="C661" s="13" t="n">
        <v>3</v>
      </c>
      <c r="D661" s="14" t="n">
        <v>5.96</v>
      </c>
      <c r="E661" s="14">
        <f>IF(D661="","",D661*'参数与说明'!$B$6/27.2155)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27120</v>
      </c>
      <c r="B662" s="17" t="n">
        <v>1974</v>
      </c>
      <c r="C662" s="17" t="n">
        <v>4</v>
      </c>
      <c r="D662" s="18" t="n">
        <v>5.15</v>
      </c>
      <c r="E662" s="18">
        <f>IF(D662="","",D662*'参数与说明'!$B$6/27.2155)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27150</v>
      </c>
      <c r="B663" s="13" t="n">
        <v>1974</v>
      </c>
      <c r="C663" s="13" t="n">
        <v>5</v>
      </c>
      <c r="D663" s="14" t="n">
        <v>5.21</v>
      </c>
      <c r="E663" s="14">
        <f>IF(D663="","",D663*'参数与说明'!$B$6/27.2155)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27181</v>
      </c>
      <c r="B664" s="17" t="n">
        <v>1974</v>
      </c>
      <c r="C664" s="17" t="n">
        <v>6</v>
      </c>
      <c r="D664" s="18" t="n">
        <v>5.13</v>
      </c>
      <c r="E664" s="18">
        <f>IF(D664="","",D664*'参数与说明'!$B$6/27.2155)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27211</v>
      </c>
      <c r="B665" s="13" t="n">
        <v>1974</v>
      </c>
      <c r="C665" s="13" t="n">
        <v>7</v>
      </c>
      <c r="D665" s="14" t="n">
        <v>6.11</v>
      </c>
      <c r="E665" s="14">
        <f>IF(D665="","",D665*'参数与说明'!$B$6/27.2155)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27242</v>
      </c>
      <c r="B666" s="17" t="n">
        <v>1974</v>
      </c>
      <c r="C666" s="17" t="n">
        <v>8</v>
      </c>
      <c r="D666" s="18" t="n">
        <v>7.55</v>
      </c>
      <c r="E666" s="18">
        <f>IF(D666="","",D666*'参数与说明'!$B$6/27.2155)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27273</v>
      </c>
      <c r="B667" s="13" t="n">
        <v>1974</v>
      </c>
      <c r="C667" s="13" t="n">
        <v>9</v>
      </c>
      <c r="D667" s="14" t="n">
        <v>7.32</v>
      </c>
      <c r="E667" s="14">
        <f>IF(D667="","",D667*'参数与说明'!$B$6/27.2155)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27303</v>
      </c>
      <c r="B668" s="17" t="n">
        <v>1974</v>
      </c>
      <c r="C668" s="17" t="n">
        <v>10</v>
      </c>
      <c r="D668" s="18" t="n">
        <v>8.17</v>
      </c>
      <c r="E668" s="18">
        <f>IF(D668="","",D668*'参数与说明'!$B$6/27.2155)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27334</v>
      </c>
      <c r="B669" s="13" t="n">
        <v>1974</v>
      </c>
      <c r="C669" s="13" t="n">
        <v>11</v>
      </c>
      <c r="D669" s="14" t="n">
        <v>7.44</v>
      </c>
      <c r="E669" s="14">
        <f>IF(D669="","",D669*'参数与说明'!$B$6/27.2155)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27364</v>
      </c>
      <c r="B670" s="17" t="n">
        <v>1974</v>
      </c>
      <c r="C670" s="17" t="n">
        <v>12</v>
      </c>
      <c r="D670" s="18" t="n">
        <v>7.03</v>
      </c>
      <c r="E670" s="18">
        <f>IF(D670="","",D670*'参数与说明'!$B$6/27.2155)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27395</v>
      </c>
      <c r="B671" s="13" t="n">
        <v>1975</v>
      </c>
      <c r="C671" s="13" t="n">
        <v>1</v>
      </c>
      <c r="D671" s="14" t="n">
        <v>6.3</v>
      </c>
      <c r="E671" s="14">
        <f>IF(D671="","",D671*'参数与说明'!$B$6/27.2155)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27426</v>
      </c>
      <c r="B672" s="17" t="n">
        <v>1975</v>
      </c>
      <c r="C672" s="17" t="n">
        <v>2</v>
      </c>
      <c r="D672" s="18" t="n">
        <v>5.72</v>
      </c>
      <c r="E672" s="18">
        <f>IF(D672="","",D672*'参数与说明'!$B$6/27.2155)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27454</v>
      </c>
      <c r="B673" s="13" t="n">
        <v>1975</v>
      </c>
      <c r="C673" s="13" t="n">
        <v>3</v>
      </c>
      <c r="D673" s="14" t="n">
        <v>5.31</v>
      </c>
      <c r="E673" s="14">
        <f>IF(D673="","",D673*'参数与说明'!$B$6/27.2155)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27485</v>
      </c>
      <c r="B674" s="17" t="n">
        <v>1975</v>
      </c>
      <c r="C674" s="17" t="n">
        <v>4</v>
      </c>
      <c r="D674" s="18" t="n">
        <v>5.6</v>
      </c>
      <c r="E674" s="18">
        <f>IF(D674="","",D674*'参数与说明'!$B$6/27.2155)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27515</v>
      </c>
      <c r="B675" s="13" t="n">
        <v>1975</v>
      </c>
      <c r="C675" s="13" t="n">
        <v>5</v>
      </c>
      <c r="D675" s="14" t="n">
        <v>5</v>
      </c>
      <c r="E675" s="14">
        <f>IF(D675="","",D675*'参数与说明'!$B$6/27.2155)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27546</v>
      </c>
      <c r="B676" s="17" t="n">
        <v>1975</v>
      </c>
      <c r="C676" s="17" t="n">
        <v>6</v>
      </c>
      <c r="D676" s="18" t="n">
        <v>4.9</v>
      </c>
      <c r="E676" s="18">
        <f>IF(D676="","",D676*'参数与说明'!$B$6/27.2155)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27576</v>
      </c>
      <c r="B677" s="13" t="n">
        <v>1975</v>
      </c>
      <c r="C677" s="13" t="n">
        <v>7</v>
      </c>
      <c r="D677" s="14" t="n">
        <v>5.28</v>
      </c>
      <c r="E677" s="14">
        <f>IF(D677="","",D677*'参数与说明'!$B$6/27.2155)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27607</v>
      </c>
      <c r="B678" s="17" t="n">
        <v>1975</v>
      </c>
      <c r="C678" s="17" t="n">
        <v>8</v>
      </c>
      <c r="D678" s="18" t="n">
        <v>5.8</v>
      </c>
      <c r="E678" s="18">
        <f>IF(D678="","",D678*'参数与说明'!$B$6/27.2155)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27638</v>
      </c>
      <c r="B679" s="13" t="n">
        <v>1975</v>
      </c>
      <c r="C679" s="13" t="n">
        <v>9</v>
      </c>
      <c r="D679" s="14" t="n">
        <v>5.32</v>
      </c>
      <c r="E679" s="14">
        <f>IF(D679="","",D679*'参数与说明'!$B$6/27.2155)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27668</v>
      </c>
      <c r="B680" s="17" t="n">
        <v>1975</v>
      </c>
      <c r="C680" s="17" t="n">
        <v>10</v>
      </c>
      <c r="D680" s="18" t="n">
        <v>4.92</v>
      </c>
      <c r="E680" s="18">
        <f>IF(D680="","",D680*'参数与说明'!$B$6/27.2155)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27699</v>
      </c>
      <c r="B681" s="13" t="n">
        <v>1975</v>
      </c>
      <c r="C681" s="13" t="n">
        <v>11</v>
      </c>
      <c r="D681" s="14" t="n">
        <v>4.45</v>
      </c>
      <c r="E681" s="14">
        <f>IF(D681="","",D681*'参数与说明'!$B$6/27.2155)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27729</v>
      </c>
      <c r="B682" s="17" t="n">
        <v>1975</v>
      </c>
      <c r="C682" s="17" t="n">
        <v>12</v>
      </c>
      <c r="D682" s="18" t="n">
        <v>4.28</v>
      </c>
      <c r="E682" s="18">
        <f>IF(D682="","",D682*'参数与说明'!$B$6/27.2155)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27760</v>
      </c>
      <c r="B683" s="13" t="n">
        <v>1976</v>
      </c>
      <c r="C683" s="13" t="n">
        <v>1</v>
      </c>
      <c r="D683" s="14" t="n">
        <v>4.46</v>
      </c>
      <c r="E683" s="14">
        <f>IF(D683="","",D683*'参数与说明'!$B$6/27.2155)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27791</v>
      </c>
      <c r="B684" s="17" t="n">
        <v>1976</v>
      </c>
      <c r="C684" s="17" t="n">
        <v>2</v>
      </c>
      <c r="D684" s="18" t="n">
        <v>4.5</v>
      </c>
      <c r="E684" s="18">
        <f>IF(D684="","",D684*'参数与说明'!$B$6/27.2155)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27820</v>
      </c>
      <c r="B685" s="13" t="n">
        <v>1976</v>
      </c>
      <c r="C685" s="13" t="n">
        <v>3</v>
      </c>
      <c r="D685" s="14" t="n">
        <v>4.46</v>
      </c>
      <c r="E685" s="14">
        <f>IF(D685="","",D685*'参数与说明'!$B$6/27.2155)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27851</v>
      </c>
      <c r="B686" s="17" t="n">
        <v>1976</v>
      </c>
      <c r="C686" s="17" t="n">
        <v>4</v>
      </c>
      <c r="D686" s="18" t="n">
        <v>4.52</v>
      </c>
      <c r="E686" s="18">
        <f>IF(D686="","",D686*'参数与说明'!$B$6/27.2155)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27881</v>
      </c>
      <c r="B687" s="13" t="n">
        <v>1976</v>
      </c>
      <c r="C687" s="13" t="n">
        <v>5</v>
      </c>
      <c r="D687" s="14" t="n">
        <v>4.87</v>
      </c>
      <c r="E687" s="14">
        <f>IF(D687="","",D687*'参数与说明'!$B$6/27.2155)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27912</v>
      </c>
      <c r="B688" s="17" t="n">
        <v>1976</v>
      </c>
      <c r="C688" s="17" t="n">
        <v>6</v>
      </c>
      <c r="D688" s="18" t="n">
        <v>6.16</v>
      </c>
      <c r="E688" s="18">
        <f>IF(D688="","",D688*'参数与说明'!$B$6/27.2155)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27942</v>
      </c>
      <c r="B689" s="13" t="n">
        <v>1976</v>
      </c>
      <c r="C689" s="13" t="n">
        <v>7</v>
      </c>
      <c r="D689" s="14" t="n">
        <v>6.73</v>
      </c>
      <c r="E689" s="14">
        <f>IF(D689="","",D689*'参数与说明'!$B$6/27.2155)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27973</v>
      </c>
      <c r="B690" s="17" t="n">
        <v>1976</v>
      </c>
      <c r="C690" s="17" t="n">
        <v>8</v>
      </c>
      <c r="D690" s="18" t="n">
        <v>6.07</v>
      </c>
      <c r="E690" s="18">
        <f>IF(D690="","",D690*'参数与说明'!$B$6/27.2155)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28004</v>
      </c>
      <c r="B691" s="13" t="n">
        <v>1976</v>
      </c>
      <c r="C691" s="13" t="n">
        <v>9</v>
      </c>
      <c r="D691" s="14" t="n">
        <v>6.65</v>
      </c>
      <c r="E691" s="14">
        <f>IF(D691="","",D691*'参数与说明'!$B$6/27.2155)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28034</v>
      </c>
      <c r="B692" s="17" t="n">
        <v>1976</v>
      </c>
      <c r="C692" s="17" t="n">
        <v>10</v>
      </c>
      <c r="D692" s="18" t="n">
        <v>5.9</v>
      </c>
      <c r="E692" s="18">
        <f>IF(D692="","",D692*'参数与说明'!$B$6/27.2155)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28065</v>
      </c>
      <c r="B693" s="13" t="n">
        <v>1976</v>
      </c>
      <c r="C693" s="13" t="n">
        <v>11</v>
      </c>
      <c r="D693" s="14" t="n">
        <v>6.11</v>
      </c>
      <c r="E693" s="14">
        <f>IF(D693="","",D693*'参数与说明'!$B$6/27.2155)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28095</v>
      </c>
      <c r="B694" s="17" t="n">
        <v>1976</v>
      </c>
      <c r="C694" s="17" t="n">
        <v>12</v>
      </c>
      <c r="D694" s="18" t="n">
        <v>6.56</v>
      </c>
      <c r="E694" s="18">
        <f>IF(D694="","",D694*'参数与说明'!$B$6/27.2155)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28126</v>
      </c>
      <c r="B695" s="13" t="n">
        <v>1977</v>
      </c>
      <c r="C695" s="13" t="n">
        <v>1</v>
      </c>
      <c r="D695" s="14" t="n">
        <v>6.81</v>
      </c>
      <c r="E695" s="14">
        <f>IF(D695="","",D695*'参数与说明'!$B$6/27.2155)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28157</v>
      </c>
      <c r="B696" s="17" t="n">
        <v>1977</v>
      </c>
      <c r="C696" s="17" t="n">
        <v>2</v>
      </c>
      <c r="D696" s="18" t="n">
        <v>7.06</v>
      </c>
      <c r="E696" s="18">
        <f>IF(D696="","",D696*'参数与说明'!$B$6/27.2155)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28185</v>
      </c>
      <c r="B697" s="13" t="n">
        <v>1977</v>
      </c>
      <c r="C697" s="13" t="n">
        <v>3</v>
      </c>
      <c r="D697" s="14" t="n">
        <v>7.83</v>
      </c>
      <c r="E697" s="14">
        <f>IF(D697="","",D697*'参数与说明'!$B$6/27.2155)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28216</v>
      </c>
      <c r="B698" s="17" t="n">
        <v>1977</v>
      </c>
      <c r="C698" s="17" t="n">
        <v>4</v>
      </c>
      <c r="D698" s="18" t="n">
        <v>9.050000000000001</v>
      </c>
      <c r="E698" s="18">
        <f>IF(D698="","",D698*'参数与说明'!$B$6/27.2155)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28246</v>
      </c>
      <c r="B699" s="13" t="n">
        <v>1977</v>
      </c>
      <c r="C699" s="13" t="n">
        <v>5</v>
      </c>
      <c r="D699" s="14" t="n">
        <v>9.24</v>
      </c>
      <c r="E699" s="14">
        <f>IF(D699="","",D699*'参数与说明'!$B$6/27.2155)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28277</v>
      </c>
      <c r="B700" s="17" t="n">
        <v>1977</v>
      </c>
      <c r="C700" s="17" t="n">
        <v>6</v>
      </c>
      <c r="D700" s="18" t="n">
        <v>8.130000000000001</v>
      </c>
      <c r="E700" s="18">
        <f>IF(D700="","",D700*'参数与说明'!$B$6/27.2155)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28307</v>
      </c>
      <c r="B701" s="13" t="n">
        <v>1977</v>
      </c>
      <c r="C701" s="13" t="n">
        <v>7</v>
      </c>
      <c r="D701" s="14" t="n">
        <v>6.52</v>
      </c>
      <c r="E701" s="14">
        <f>IF(D701="","",D701*'参数与说明'!$B$6/27.2155)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28338</v>
      </c>
      <c r="B702" s="17" t="n">
        <v>1977</v>
      </c>
      <c r="C702" s="17" t="n">
        <v>8</v>
      </c>
      <c r="D702" s="18" t="n">
        <v>5.48</v>
      </c>
      <c r="E702" s="18">
        <f>IF(D702="","",D702*'参数与说明'!$B$6/27.2155)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28369</v>
      </c>
      <c r="B703" s="13" t="n">
        <v>1977</v>
      </c>
      <c r="C703" s="13" t="n">
        <v>9</v>
      </c>
      <c r="D703" s="14" t="n">
        <v>5.17</v>
      </c>
      <c r="E703" s="14">
        <f>IF(D703="","",D703*'参数与说明'!$B$6/27.2155)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28399</v>
      </c>
      <c r="B704" s="17" t="n">
        <v>1977</v>
      </c>
      <c r="C704" s="17" t="n">
        <v>10</v>
      </c>
      <c r="D704" s="18" t="n">
        <v>5.28</v>
      </c>
      <c r="E704" s="18">
        <f>IF(D704="","",D704*'参数与说明'!$B$6/27.2155)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28430</v>
      </c>
      <c r="B705" s="13" t="n">
        <v>1977</v>
      </c>
      <c r="C705" s="13" t="n">
        <v>11</v>
      </c>
      <c r="D705" s="14" t="n">
        <v>5.61</v>
      </c>
      <c r="E705" s="14">
        <f>IF(D705="","",D705*'参数与说明'!$B$6/27.2155)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28460</v>
      </c>
      <c r="B706" s="17" t="n">
        <v>1977</v>
      </c>
      <c r="C706" s="17" t="n">
        <v>12</v>
      </c>
      <c r="D706" s="18" t="n">
        <v>5.68</v>
      </c>
      <c r="E706" s="18">
        <f>IF(D706="","",D706*'参数与说明'!$B$6/27.2155)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28491</v>
      </c>
      <c r="B707" s="13" t="n">
        <v>1978</v>
      </c>
      <c r="C707" s="13" t="n">
        <v>1</v>
      </c>
      <c r="D707" s="14" t="n">
        <v>5.75</v>
      </c>
      <c r="E707" s="14">
        <f>IF(D707="","",D707*'参数与说明'!$B$6/27.2155)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28522</v>
      </c>
      <c r="B708" s="17" t="n">
        <v>1978</v>
      </c>
      <c r="C708" s="17" t="n">
        <v>2</v>
      </c>
      <c r="D708" s="18" t="n">
        <v>5.53</v>
      </c>
      <c r="E708" s="18">
        <f>IF(D708="","",D708*'参数与说明'!$B$6/27.2155)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28550</v>
      </c>
      <c r="B709" s="13" t="n">
        <v>1978</v>
      </c>
      <c r="C709" s="13" t="n">
        <v>3</v>
      </c>
      <c r="D709" s="14" t="n">
        <v>6.2</v>
      </c>
      <c r="E709" s="14">
        <f>IF(D709="","",D709*'参数与说明'!$B$6/27.2155)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28581</v>
      </c>
      <c r="B710" s="17" t="n">
        <v>1978</v>
      </c>
      <c r="C710" s="17" t="n">
        <v>4</v>
      </c>
      <c r="D710" s="18" t="n">
        <v>6.49</v>
      </c>
      <c r="E710" s="18">
        <f>IF(D710="","",D710*'参数与说明'!$B$6/27.2155)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28611</v>
      </c>
      <c r="B711" s="13" t="n">
        <v>1978</v>
      </c>
      <c r="C711" s="13" t="n">
        <v>5</v>
      </c>
      <c r="D711" s="14" t="n">
        <v>6.77</v>
      </c>
      <c r="E711" s="14">
        <f>IF(D711="","",D711*'参数与说明'!$B$6/27.2155)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28642</v>
      </c>
      <c r="B712" s="17" t="n">
        <v>1978</v>
      </c>
      <c r="C712" s="17" t="n">
        <v>6</v>
      </c>
      <c r="D712" s="18" t="n">
        <v>6.69</v>
      </c>
      <c r="E712" s="18">
        <f>IF(D712="","",D712*'参数与说明'!$B$6/27.2155)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28672</v>
      </c>
      <c r="B713" s="13" t="n">
        <v>1978</v>
      </c>
      <c r="C713" s="13" t="n">
        <v>7</v>
      </c>
      <c r="D713" s="14" t="n">
        <v>6.4</v>
      </c>
      <c r="E713" s="14">
        <f>IF(D713="","",D713*'参数与说明'!$B$6/27.2155)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28703</v>
      </c>
      <c r="B714" s="17" t="n">
        <v>1978</v>
      </c>
      <c r="C714" s="17" t="n">
        <v>8</v>
      </c>
      <c r="D714" s="18" t="n">
        <v>6.21</v>
      </c>
      <c r="E714" s="18">
        <f>IF(D714="","",D714*'参数与说明'!$B$6/27.2155)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28734</v>
      </c>
      <c r="B715" s="13" t="n">
        <v>1978</v>
      </c>
      <c r="C715" s="13" t="n">
        <v>9</v>
      </c>
      <c r="D715" s="14" t="n">
        <v>6.2</v>
      </c>
      <c r="E715" s="14">
        <f>IF(D715="","",D715*'参数与说明'!$B$6/27.2155)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28764</v>
      </c>
      <c r="B716" s="17" t="n">
        <v>1978</v>
      </c>
      <c r="C716" s="17" t="n">
        <v>10</v>
      </c>
      <c r="D716" s="18" t="n">
        <v>6.26</v>
      </c>
      <c r="E716" s="18">
        <f>IF(D716="","",D716*'参数与说明'!$B$6/27.2155)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28795</v>
      </c>
      <c r="B717" s="13" t="n">
        <v>1978</v>
      </c>
      <c r="C717" s="13" t="n">
        <v>11</v>
      </c>
      <c r="D717" s="14" t="n">
        <v>6.41</v>
      </c>
      <c r="E717" s="14">
        <f>IF(D717="","",D717*'参数与说明'!$B$6/27.2155)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28825</v>
      </c>
      <c r="B718" s="17" t="n">
        <v>1978</v>
      </c>
      <c r="C718" s="17" t="n">
        <v>12</v>
      </c>
      <c r="D718" s="18" t="n">
        <v>6.49</v>
      </c>
      <c r="E718" s="18">
        <f>IF(D718="","",D718*'参数与说明'!$B$6/27.2155)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28856</v>
      </c>
      <c r="B719" s="13" t="n">
        <v>1979</v>
      </c>
      <c r="C719" s="13" t="n">
        <v>1</v>
      </c>
      <c r="D719" s="14" t="n">
        <v>6.58</v>
      </c>
      <c r="E719" s="14">
        <f>IF(D719="","",D719*'参数与说明'!$B$6/27.2155)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28887</v>
      </c>
      <c r="B720" s="17" t="n">
        <v>1979</v>
      </c>
      <c r="C720" s="17" t="n">
        <v>2</v>
      </c>
      <c r="D720" s="18" t="n">
        <v>6.99</v>
      </c>
      <c r="E720" s="18">
        <f>IF(D720="","",D720*'参数与说明'!$B$6/27.2155)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28915</v>
      </c>
      <c r="B721" s="13" t="n">
        <v>1979</v>
      </c>
      <c r="C721" s="13" t="n">
        <v>3</v>
      </c>
      <c r="D721" s="14" t="n">
        <v>7.16</v>
      </c>
      <c r="E721" s="14">
        <f>IF(D721="","",D721*'参数与说明'!$B$6/27.2155)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28946</v>
      </c>
      <c r="B722" s="17" t="n">
        <v>1979</v>
      </c>
      <c r="C722" s="17" t="n">
        <v>4</v>
      </c>
      <c r="D722" s="18" t="n">
        <v>7.06</v>
      </c>
      <c r="E722" s="18">
        <f>IF(D722="","",D722*'参数与说明'!$B$6/27.2155)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28976</v>
      </c>
      <c r="B723" s="13" t="n">
        <v>1979</v>
      </c>
      <c r="C723" s="13" t="n">
        <v>5</v>
      </c>
      <c r="D723" s="14" t="n">
        <v>7.06</v>
      </c>
      <c r="E723" s="14">
        <f>IF(D723="","",D723*'参数与说明'!$B$6/27.2155)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29007</v>
      </c>
      <c r="B724" s="17" t="n">
        <v>1979</v>
      </c>
      <c r="C724" s="17" t="n">
        <v>6</v>
      </c>
      <c r="D724" s="18" t="n">
        <v>7.36</v>
      </c>
      <c r="E724" s="18">
        <f>IF(D724="","",D724*'参数与说明'!$B$6/27.2155)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29037</v>
      </c>
      <c r="B725" s="13" t="n">
        <v>1979</v>
      </c>
      <c r="C725" s="13" t="n">
        <v>7</v>
      </c>
      <c r="D725" s="14" t="n">
        <v>7.36</v>
      </c>
      <c r="E725" s="14">
        <f>IF(D725="","",D725*'参数与说明'!$B$6/27.2155)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29068</v>
      </c>
      <c r="B726" s="17" t="n">
        <v>1979</v>
      </c>
      <c r="C726" s="17" t="n">
        <v>8</v>
      </c>
      <c r="D726" s="18" t="n">
        <v>7.07</v>
      </c>
      <c r="E726" s="18">
        <f>IF(D726="","",D726*'参数与说明'!$B$6/27.2155)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29099</v>
      </c>
      <c r="B727" s="13" t="n">
        <v>1979</v>
      </c>
      <c r="C727" s="13" t="n">
        <v>9</v>
      </c>
      <c r="D727" s="14" t="n">
        <v>6.81</v>
      </c>
      <c r="E727" s="14">
        <f>IF(D727="","",D727*'参数与说明'!$B$6/27.2155)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29129</v>
      </c>
      <c r="B728" s="17" t="n">
        <v>1979</v>
      </c>
      <c r="C728" s="17" t="n">
        <v>10</v>
      </c>
      <c r="D728" s="18" t="n">
        <v>6.35</v>
      </c>
      <c r="E728" s="18">
        <f>IF(D728="","",D728*'参数与说明'!$B$6/27.2155)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29160</v>
      </c>
      <c r="B729" s="13" t="n">
        <v>1979</v>
      </c>
      <c r="C729" s="13" t="n">
        <v>11</v>
      </c>
      <c r="D729" s="14" t="n">
        <v>6.3</v>
      </c>
      <c r="E729" s="14">
        <f>IF(D729="","",D729*'参数与说明'!$B$6/27.2155)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29190</v>
      </c>
      <c r="B730" s="17" t="n">
        <v>1979</v>
      </c>
      <c r="C730" s="17" t="n">
        <v>12</v>
      </c>
      <c r="D730" s="18" t="n">
        <v>6.27</v>
      </c>
      <c r="E730" s="18">
        <f>IF(D730="","",D730*'参数与说明'!$B$6/27.2155)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29221</v>
      </c>
      <c r="B731" s="13" t="n">
        <v>1980</v>
      </c>
      <c r="C731" s="13" t="n">
        <v>1</v>
      </c>
      <c r="D731" s="14" t="n">
        <v>6.39</v>
      </c>
      <c r="E731" s="14">
        <f>IF(D731="","",D731*'参数与说明'!$B$6/27.2155)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29252</v>
      </c>
      <c r="B732" s="17" t="n">
        <v>1980</v>
      </c>
      <c r="C732" s="17" t="n">
        <v>2</v>
      </c>
      <c r="D732" s="18" t="n">
        <v>6.2</v>
      </c>
      <c r="E732" s="18">
        <f>IF(D732="","",D732*'参数与说明'!$B$6/27.2155)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29281</v>
      </c>
      <c r="B733" s="13" t="n">
        <v>1980</v>
      </c>
      <c r="C733" s="13" t="n">
        <v>3</v>
      </c>
      <c r="D733" s="14" t="n">
        <v>5.94</v>
      </c>
      <c r="E733" s="14">
        <f>IF(D733="","",D733*'参数与说明'!$B$6/27.2155)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29312</v>
      </c>
      <c r="B734" s="17" t="n">
        <v>1980</v>
      </c>
      <c r="C734" s="17" t="n">
        <v>4</v>
      </c>
      <c r="D734" s="18" t="n">
        <v>5.63</v>
      </c>
      <c r="E734" s="18">
        <f>IF(D734="","",D734*'参数与说明'!$B$6/27.2155)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29342</v>
      </c>
      <c r="B735" s="13" t="n">
        <v>1980</v>
      </c>
      <c r="C735" s="13" t="n">
        <v>5</v>
      </c>
      <c r="D735" s="14" t="n">
        <v>5.76</v>
      </c>
      <c r="E735" s="14">
        <f>IF(D735="","",D735*'参数与说明'!$B$6/27.2155)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29373</v>
      </c>
      <c r="B736" s="17" t="n">
        <v>1980</v>
      </c>
      <c r="C736" s="17" t="n">
        <v>6</v>
      </c>
      <c r="D736" s="18" t="n">
        <v>5.91</v>
      </c>
      <c r="E736" s="18">
        <f>IF(D736="","",D736*'参数与说明'!$B$6/27.2155)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29403</v>
      </c>
      <c r="B737" s="13" t="n">
        <v>1980</v>
      </c>
      <c r="C737" s="13" t="n">
        <v>7</v>
      </c>
      <c r="D737" s="14" t="n">
        <v>6.75</v>
      </c>
      <c r="E737" s="14">
        <f>IF(D737="","",D737*'参数与说明'!$B$6/27.2155)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29434</v>
      </c>
      <c r="B738" s="17" t="n">
        <v>1980</v>
      </c>
      <c r="C738" s="17" t="n">
        <v>8</v>
      </c>
      <c r="D738" s="18" t="n">
        <v>7.18</v>
      </c>
      <c r="E738" s="18">
        <f>IF(D738="","",D738*'参数与说明'!$B$6/27.2155)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29465</v>
      </c>
      <c r="B739" s="13" t="n">
        <v>1980</v>
      </c>
      <c r="C739" s="13" t="n">
        <v>9</v>
      </c>
      <c r="D739" s="14" t="n">
        <v>7.59</v>
      </c>
      <c r="E739" s="14">
        <f>IF(D739="","",D739*'参数与说明'!$B$6/27.2155)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29495</v>
      </c>
      <c r="B740" s="17" t="n">
        <v>1980</v>
      </c>
      <c r="C740" s="17" t="n">
        <v>10</v>
      </c>
      <c r="D740" s="18" t="n">
        <v>7.68</v>
      </c>
      <c r="E740" s="18">
        <f>IF(D740="","",D740*'参数与说明'!$B$6/27.2155)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29526</v>
      </c>
      <c r="B741" s="13" t="n">
        <v>1980</v>
      </c>
      <c r="C741" s="13" t="n">
        <v>11</v>
      </c>
      <c r="D741" s="14" t="n">
        <v>8.18</v>
      </c>
      <c r="E741" s="14">
        <f>IF(D741="","",D741*'参数与说明'!$B$6/27.2155)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29556</v>
      </c>
      <c r="B742" s="17" t="n">
        <v>1980</v>
      </c>
      <c r="C742" s="17" t="n">
        <v>12</v>
      </c>
      <c r="D742" s="18" t="n">
        <v>7.8</v>
      </c>
      <c r="E742" s="18">
        <f>IF(D742="","",D742*'参数与说明'!$B$6/27.2155)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29587</v>
      </c>
      <c r="B743" s="13" t="n">
        <v>1981</v>
      </c>
      <c r="C743" s="13" t="n">
        <v>1</v>
      </c>
      <c r="D743" s="14" t="n">
        <v>7.8</v>
      </c>
      <c r="E743" s="14">
        <f>IF(D743="","",D743*'参数与说明'!$B$6/27.2155)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29618</v>
      </c>
      <c r="B744" s="17" t="n">
        <v>1981</v>
      </c>
      <c r="C744" s="17" t="n">
        <v>2</v>
      </c>
      <c r="D744" s="18" t="n">
        <v>7.5</v>
      </c>
      <c r="E744" s="18">
        <f>IF(D744="","",D744*'参数与说明'!$B$6/27.2155)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29646</v>
      </c>
      <c r="B745" s="13" t="n">
        <v>1981</v>
      </c>
      <c r="C745" s="13" t="n">
        <v>3</v>
      </c>
      <c r="D745" s="14" t="n">
        <v>7.59</v>
      </c>
      <c r="E745" s="14">
        <f>IF(D745="","",D745*'参数与说明'!$B$6/27.2155)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29677</v>
      </c>
      <c r="B746" s="17" t="n">
        <v>1981</v>
      </c>
      <c r="C746" s="17" t="n">
        <v>4</v>
      </c>
      <c r="D746" s="18" t="n">
        <v>7.6</v>
      </c>
      <c r="E746" s="18">
        <f>IF(D746="","",D746*'参数与说明'!$B$6/27.2155)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29707</v>
      </c>
      <c r="B747" s="13" t="n">
        <v>1981</v>
      </c>
      <c r="C747" s="13" t="n">
        <v>5</v>
      </c>
      <c r="D747" s="14" t="n">
        <v>7.4</v>
      </c>
      <c r="E747" s="14">
        <f>IF(D747="","",D747*'参数与说明'!$B$6/27.2155)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29738</v>
      </c>
      <c r="B748" s="17" t="n">
        <v>1981</v>
      </c>
      <c r="C748" s="17" t="n">
        <v>6</v>
      </c>
      <c r="D748" s="18" t="n">
        <v>7.05</v>
      </c>
      <c r="E748" s="18">
        <f>IF(D748="","",D748*'参数与说明'!$B$6/27.2155)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29768</v>
      </c>
      <c r="B749" s="13" t="n">
        <v>1981</v>
      </c>
      <c r="C749" s="13" t="n">
        <v>7</v>
      </c>
      <c r="D749" s="14" t="n">
        <v>7.13</v>
      </c>
      <c r="E749" s="14">
        <f>IF(D749="","",D749*'参数与说明'!$B$6/27.2155)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29799</v>
      </c>
      <c r="B750" s="17" t="n">
        <v>1981</v>
      </c>
      <c r="C750" s="17" t="n">
        <v>8</v>
      </c>
      <c r="D750" s="18" t="n">
        <v>6.71</v>
      </c>
      <c r="E750" s="18">
        <f>IF(D750="","",D750*'参数与说明'!$B$6/27.2155)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29830</v>
      </c>
      <c r="B751" s="13" t="n">
        <v>1981</v>
      </c>
      <c r="C751" s="13" t="n">
        <v>9</v>
      </c>
      <c r="D751" s="14" t="n">
        <v>6.21</v>
      </c>
      <c r="E751" s="14">
        <f>IF(D751="","",D751*'参数与说明'!$B$6/27.2155)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29860</v>
      </c>
      <c r="B752" s="17" t="n">
        <v>1981</v>
      </c>
      <c r="C752" s="17" t="n">
        <v>10</v>
      </c>
      <c r="D752" s="18" t="n">
        <v>6.06</v>
      </c>
      <c r="E752" s="18">
        <f>IF(D752="","",D752*'参数与说明'!$B$6/27.2155)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29891</v>
      </c>
      <c r="B753" s="13" t="n">
        <v>1981</v>
      </c>
      <c r="C753" s="13" t="n">
        <v>11</v>
      </c>
      <c r="D753" s="14" t="n">
        <v>6.04</v>
      </c>
      <c r="E753" s="14">
        <f>IF(D753="","",D753*'参数与说明'!$B$6/27.2155)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29921</v>
      </c>
      <c r="B754" s="17" t="n">
        <v>1981</v>
      </c>
      <c r="C754" s="17" t="n">
        <v>12</v>
      </c>
      <c r="D754" s="18" t="n">
        <v>6</v>
      </c>
      <c r="E754" s="18">
        <f>IF(D754="","",D754*'参数与说明'!$B$6/27.2155)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29952</v>
      </c>
      <c r="B755" s="13" t="n">
        <v>1982</v>
      </c>
      <c r="C755" s="13" t="n">
        <v>1</v>
      </c>
      <c r="D755" s="14" t="n">
        <v>6.13</v>
      </c>
      <c r="E755" s="14">
        <f>IF(D755="","",D755*'参数与说明'!$B$6/27.2155)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29983</v>
      </c>
      <c r="B756" s="17" t="n">
        <v>1982</v>
      </c>
      <c r="C756" s="17" t="n">
        <v>2</v>
      </c>
      <c r="D756" s="18" t="n">
        <v>6.04</v>
      </c>
      <c r="E756" s="18">
        <f>IF(D756="","",D756*'参数与说明'!$B$6/27.2155)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30011</v>
      </c>
      <c r="B757" s="13" t="n">
        <v>1982</v>
      </c>
      <c r="C757" s="13" t="n">
        <v>3</v>
      </c>
      <c r="D757" s="14" t="n">
        <v>5.99</v>
      </c>
      <c r="E757" s="14">
        <f>IF(D757="","",D757*'参数与说明'!$B$6/27.2155)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30042</v>
      </c>
      <c r="B758" s="17" t="n">
        <v>1982</v>
      </c>
      <c r="C758" s="17" t="n">
        <v>4</v>
      </c>
      <c r="D758" s="18" t="n">
        <v>6.17</v>
      </c>
      <c r="E758" s="18">
        <f>IF(D758="","",D758*'参数与说明'!$B$6/27.2155)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30072</v>
      </c>
      <c r="B759" s="13" t="n">
        <v>1982</v>
      </c>
      <c r="C759" s="13" t="n">
        <v>5</v>
      </c>
      <c r="D759" s="14" t="n">
        <v>6.27</v>
      </c>
      <c r="E759" s="14">
        <f>IF(D759="","",D759*'参数与说明'!$B$6/27.2155)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30103</v>
      </c>
      <c r="B760" s="17" t="n">
        <v>1982</v>
      </c>
      <c r="C760" s="17" t="n">
        <v>6</v>
      </c>
      <c r="D760" s="18" t="n">
        <v>6.12</v>
      </c>
      <c r="E760" s="18">
        <f>IF(D760="","",D760*'参数与说明'!$B$6/27.2155)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30133</v>
      </c>
      <c r="B761" s="13" t="n">
        <v>1982</v>
      </c>
      <c r="C761" s="13" t="n">
        <v>7</v>
      </c>
      <c r="D761" s="14" t="n">
        <v>5.99</v>
      </c>
      <c r="E761" s="14">
        <f>IF(D761="","",D761*'参数与说明'!$B$6/27.2155)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30164</v>
      </c>
      <c r="B762" s="17" t="n">
        <v>1982</v>
      </c>
      <c r="C762" s="17" t="n">
        <v>8</v>
      </c>
      <c r="D762" s="18" t="n">
        <v>5.59</v>
      </c>
      <c r="E762" s="18">
        <f>IF(D762="","",D762*'参数与说明'!$B$6/27.2155)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30195</v>
      </c>
      <c r="B763" s="13" t="n">
        <v>1982</v>
      </c>
      <c r="C763" s="13" t="n">
        <v>9</v>
      </c>
      <c r="D763" s="14" t="n">
        <v>5.22</v>
      </c>
      <c r="E763" s="14">
        <f>IF(D763="","",D763*'参数与说明'!$B$6/27.2155)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30225</v>
      </c>
      <c r="B764" s="17" t="n">
        <v>1982</v>
      </c>
      <c r="C764" s="17" t="n">
        <v>10</v>
      </c>
      <c r="D764" s="18" t="n">
        <v>5.06</v>
      </c>
      <c r="E764" s="18">
        <f>IF(D764="","",D764*'参数与说明'!$B$6/27.2155)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30256</v>
      </c>
      <c r="B765" s="13" t="n">
        <v>1982</v>
      </c>
      <c r="C765" s="13" t="n">
        <v>11</v>
      </c>
      <c r="D765" s="14" t="n">
        <v>5.34</v>
      </c>
      <c r="E765" s="14">
        <f>IF(D765="","",D765*'参数与说明'!$B$6/27.2155)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30286</v>
      </c>
      <c r="B766" s="17" t="n">
        <v>1982</v>
      </c>
      <c r="C766" s="17" t="n">
        <v>12</v>
      </c>
      <c r="D766" s="18" t="n">
        <v>5.46</v>
      </c>
      <c r="E766" s="18">
        <f>IF(D766="","",D766*'参数与说明'!$B$6/27.2155)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30317</v>
      </c>
      <c r="B767" s="13" t="n">
        <v>1983</v>
      </c>
      <c r="C767" s="13" t="n">
        <v>1</v>
      </c>
      <c r="D767" s="14" t="n">
        <v>5.56</v>
      </c>
      <c r="E767" s="14">
        <f>IF(D767="","",D767*'参数与说明'!$B$6/27.2155)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30348</v>
      </c>
      <c r="B768" s="17" t="n">
        <v>1983</v>
      </c>
      <c r="C768" s="17" t="n">
        <v>2</v>
      </c>
      <c r="D768" s="18" t="n">
        <v>5.66</v>
      </c>
      <c r="E768" s="18">
        <f>IF(D768="","",D768*'参数与说明'!$B$6/27.2155)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30376</v>
      </c>
      <c r="B769" s="13" t="n">
        <v>1983</v>
      </c>
      <c r="C769" s="13" t="n">
        <v>3</v>
      </c>
      <c r="D769" s="14" t="n">
        <v>5.82</v>
      </c>
      <c r="E769" s="14">
        <f>IF(D769="","",D769*'参数与说明'!$B$6/27.2155)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30407</v>
      </c>
      <c r="B770" s="17" t="n">
        <v>1983</v>
      </c>
      <c r="C770" s="17" t="n">
        <v>4</v>
      </c>
      <c r="D770" s="18" t="n">
        <v>6.09</v>
      </c>
      <c r="E770" s="18">
        <f>IF(D770="","",D770*'参数与说明'!$B$6/27.2155)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30437</v>
      </c>
      <c r="B771" s="13" t="n">
        <v>1983</v>
      </c>
      <c r="C771" s="13" t="n">
        <v>5</v>
      </c>
      <c r="D771" s="14" t="n">
        <v>6.06</v>
      </c>
      <c r="E771" s="14">
        <f>IF(D771="","",D771*'参数与说明'!$B$6/27.2155)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30468</v>
      </c>
      <c r="B772" s="17" t="n">
        <v>1983</v>
      </c>
      <c r="C772" s="17" t="n">
        <v>6</v>
      </c>
      <c r="D772" s="18" t="n">
        <v>5.9</v>
      </c>
      <c r="E772" s="18">
        <f>IF(D772="","",D772*'参数与说明'!$B$6/27.2155)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30498</v>
      </c>
      <c r="B773" s="13" t="n">
        <v>1983</v>
      </c>
      <c r="C773" s="13" t="n">
        <v>7</v>
      </c>
      <c r="D773" s="14" t="n">
        <v>6.27</v>
      </c>
      <c r="E773" s="14">
        <f>IF(D773="","",D773*'参数与说明'!$B$6/27.2155)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30529</v>
      </c>
      <c r="B774" s="17" t="n">
        <v>1983</v>
      </c>
      <c r="C774" s="17" t="n">
        <v>8</v>
      </c>
      <c r="D774" s="18" t="n">
        <v>7.57</v>
      </c>
      <c r="E774" s="18">
        <f>IF(D774="","",D774*'参数与说明'!$B$6/27.2155)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30560</v>
      </c>
      <c r="B775" s="13" t="n">
        <v>1983</v>
      </c>
      <c r="C775" s="13" t="n">
        <v>9</v>
      </c>
      <c r="D775" s="14" t="n">
        <v>8.279999999999999</v>
      </c>
      <c r="E775" s="14">
        <f>IF(D775="","",D775*'参数与说明'!$B$6/27.2155)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30590</v>
      </c>
      <c r="B776" s="17" t="n">
        <v>1983</v>
      </c>
      <c r="C776" s="17" t="n">
        <v>10</v>
      </c>
      <c r="D776" s="18" t="n">
        <v>7.96</v>
      </c>
      <c r="E776" s="18">
        <f>IF(D776="","",D776*'参数与说明'!$B$6/27.2155)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30621</v>
      </c>
      <c r="B777" s="13" t="n">
        <v>1983</v>
      </c>
      <c r="C777" s="13" t="n">
        <v>11</v>
      </c>
      <c r="D777" s="14" t="n">
        <v>7.81</v>
      </c>
      <c r="E777" s="14">
        <f>IF(D777="","",D777*'参数与说明'!$B$6/27.2155)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30651</v>
      </c>
      <c r="B778" s="17" t="n">
        <v>1983</v>
      </c>
      <c r="C778" s="17" t="n">
        <v>12</v>
      </c>
      <c r="D778" s="18" t="n">
        <v>7.75</v>
      </c>
      <c r="E778" s="18">
        <f>IF(D778="","",D778*'参数与说明'!$B$6/27.2155)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30682</v>
      </c>
      <c r="B779" s="13" t="n">
        <v>1984</v>
      </c>
      <c r="C779" s="13" t="n">
        <v>1</v>
      </c>
      <c r="D779" s="14" t="n">
        <v>7.85</v>
      </c>
      <c r="E779" s="14">
        <f>IF(D779="","",D779*'参数与说明'!$B$6/27.2155)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30713</v>
      </c>
      <c r="B780" s="17" t="n">
        <v>1984</v>
      </c>
      <c r="C780" s="17" t="n">
        <v>2</v>
      </c>
      <c r="D780" s="18" t="n">
        <v>7.28</v>
      </c>
      <c r="E780" s="18">
        <f>IF(D780="","",D780*'参数与说明'!$B$6/27.2155)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30742</v>
      </c>
      <c r="B781" s="13" t="n">
        <v>1984</v>
      </c>
      <c r="C781" s="13" t="n">
        <v>3</v>
      </c>
      <c r="D781" s="14" t="n">
        <v>7.68</v>
      </c>
      <c r="E781" s="14">
        <f>IF(D781="","",D781*'参数与说明'!$B$6/27.2155)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30773</v>
      </c>
      <c r="B782" s="17" t="n">
        <v>1984</v>
      </c>
      <c r="C782" s="17" t="n">
        <v>4</v>
      </c>
      <c r="D782" s="18" t="n">
        <v>7.83</v>
      </c>
      <c r="E782" s="18">
        <f>IF(D782="","",D782*'参数与说明'!$B$6/27.2155)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30803</v>
      </c>
      <c r="B783" s="13" t="n">
        <v>1984</v>
      </c>
      <c r="C783" s="13" t="n">
        <v>5</v>
      </c>
      <c r="D783" s="14" t="n">
        <v>8.119999999999999</v>
      </c>
      <c r="E783" s="14">
        <f>IF(D783="","",D783*'参数与说明'!$B$6/27.2155)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30834</v>
      </c>
      <c r="B784" s="17" t="n">
        <v>1984</v>
      </c>
      <c r="C784" s="17" t="n">
        <v>6</v>
      </c>
      <c r="D784" s="18" t="n">
        <v>7.99</v>
      </c>
      <c r="E784" s="18">
        <f>IF(D784="","",D784*'参数与说明'!$B$6/27.2155)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30864</v>
      </c>
      <c r="B785" s="13" t="n">
        <v>1984</v>
      </c>
      <c r="C785" s="13" t="n">
        <v>7</v>
      </c>
      <c r="D785" s="14" t="n">
        <v>6.95</v>
      </c>
      <c r="E785" s="14">
        <f>IF(D785="","",D785*'参数与说明'!$B$6/27.2155)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30895</v>
      </c>
      <c r="B786" s="17" t="n">
        <v>1984</v>
      </c>
      <c r="C786" s="17" t="n">
        <v>8</v>
      </c>
      <c r="D786" s="18" t="n">
        <v>6.5</v>
      </c>
      <c r="E786" s="18">
        <f>IF(D786="","",D786*'参数与说明'!$B$6/27.2155)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30926</v>
      </c>
      <c r="B787" s="13" t="n">
        <v>1984</v>
      </c>
      <c r="C787" s="13" t="n">
        <v>9</v>
      </c>
      <c r="D787" s="14" t="n">
        <v>6.09</v>
      </c>
      <c r="E787" s="14">
        <f>IF(D787="","",D787*'参数与说明'!$B$6/27.2155)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30956</v>
      </c>
      <c r="B788" s="17" t="n">
        <v>1984</v>
      </c>
      <c r="C788" s="17" t="n">
        <v>10</v>
      </c>
      <c r="D788" s="18" t="n">
        <v>6.07</v>
      </c>
      <c r="E788" s="18">
        <f>IF(D788="","",D788*'参数与说明'!$B$6/27.2155)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30987</v>
      </c>
      <c r="B789" s="13" t="n">
        <v>1984</v>
      </c>
      <c r="C789" s="13" t="n">
        <v>11</v>
      </c>
      <c r="D789" s="14" t="n">
        <v>6.01</v>
      </c>
      <c r="E789" s="14">
        <f>IF(D789="","",D789*'参数与说明'!$B$6/27.2155)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31017</v>
      </c>
      <c r="B790" s="17" t="n">
        <v>1984</v>
      </c>
      <c r="C790" s="17" t="n">
        <v>12</v>
      </c>
      <c r="D790" s="18" t="n">
        <v>5.82</v>
      </c>
      <c r="E790" s="18">
        <f>IF(D790="","",D790*'参数与说明'!$B$6/27.2155)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31048</v>
      </c>
      <c r="B791" s="13" t="n">
        <v>1985</v>
      </c>
      <c r="C791" s="13" t="n">
        <v>1</v>
      </c>
      <c r="D791" s="14" t="n">
        <v>5.91</v>
      </c>
      <c r="E791" s="14">
        <f>IF(D791="","",D791*'参数与说明'!$B$6/27.2155)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31079</v>
      </c>
      <c r="B792" s="17" t="n">
        <v>1985</v>
      </c>
      <c r="C792" s="17" t="n">
        <v>2</v>
      </c>
      <c r="D792" s="18" t="n">
        <v>5.77</v>
      </c>
      <c r="E792" s="18">
        <f>IF(D792="","",D792*'参数与说明'!$B$6/27.2155)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31107</v>
      </c>
      <c r="B793" s="13" t="n">
        <v>1985</v>
      </c>
      <c r="C793" s="13" t="n">
        <v>3</v>
      </c>
      <c r="D793" s="14" t="n">
        <v>5.88</v>
      </c>
      <c r="E793" s="14">
        <f>IF(D793="","",D793*'参数与说明'!$B$6/27.2155)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31138</v>
      </c>
      <c r="B794" s="17" t="n">
        <v>1985</v>
      </c>
      <c r="C794" s="17" t="n">
        <v>4</v>
      </c>
      <c r="D794" s="18" t="n">
        <v>5.88</v>
      </c>
      <c r="E794" s="18">
        <f>IF(D794="","",D794*'参数与说明'!$B$6/27.2155)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31168</v>
      </c>
      <c r="B795" s="13" t="n">
        <v>1985</v>
      </c>
      <c r="C795" s="13" t="n">
        <v>5</v>
      </c>
      <c r="D795" s="14" t="n">
        <v>5.7</v>
      </c>
      <c r="E795" s="14">
        <f>IF(D795="","",D795*'参数与说明'!$B$6/27.2155)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31199</v>
      </c>
      <c r="B796" s="17" t="n">
        <v>1985</v>
      </c>
      <c r="C796" s="17" t="n">
        <v>6</v>
      </c>
      <c r="D796" s="18" t="n">
        <v>5.62</v>
      </c>
      <c r="E796" s="18">
        <f>IF(D796="","",D796*'参数与说明'!$B$6/27.2155)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31229</v>
      </c>
      <c r="B797" s="13" t="n">
        <v>1985</v>
      </c>
      <c r="C797" s="13" t="n">
        <v>7</v>
      </c>
      <c r="D797" s="14" t="n">
        <v>5.42</v>
      </c>
      <c r="E797" s="14">
        <f>IF(D797="","",D797*'参数与说明'!$B$6/27.2155)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31260</v>
      </c>
      <c r="B798" s="17" t="n">
        <v>1985</v>
      </c>
      <c r="C798" s="17" t="n">
        <v>8</v>
      </c>
      <c r="D798" s="18" t="n">
        <v>5.1</v>
      </c>
      <c r="E798" s="18">
        <f>IF(D798="","",D798*'参数与说明'!$B$6/27.2155)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31291</v>
      </c>
      <c r="B799" s="13" t="n">
        <v>1985</v>
      </c>
      <c r="C799" s="13" t="n">
        <v>9</v>
      </c>
      <c r="D799" s="14" t="n">
        <v>4.99</v>
      </c>
      <c r="E799" s="14">
        <f>IF(D799="","",D799*'参数与说明'!$B$6/27.2155)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31321</v>
      </c>
      <c r="B800" s="17" t="n">
        <v>1985</v>
      </c>
      <c r="C800" s="17" t="n">
        <v>10</v>
      </c>
      <c r="D800" s="18" t="n">
        <v>4.85</v>
      </c>
      <c r="E800" s="18">
        <f>IF(D800="","",D800*'参数与说明'!$B$6/27.2155)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31352</v>
      </c>
      <c r="B801" s="13" t="n">
        <v>1985</v>
      </c>
      <c r="C801" s="13" t="n">
        <v>11</v>
      </c>
      <c r="D801" s="14" t="n">
        <v>4.92</v>
      </c>
      <c r="E801" s="14">
        <f>IF(D801="","",D801*'参数与说明'!$B$6/27.2155)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31382</v>
      </c>
      <c r="B802" s="17" t="n">
        <v>1985</v>
      </c>
      <c r="C802" s="17" t="n">
        <v>12</v>
      </c>
      <c r="D802" s="18" t="n">
        <v>5.01</v>
      </c>
      <c r="E802" s="18">
        <f>IF(D802="","",D802*'参数与说明'!$B$6/27.2155)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31413</v>
      </c>
      <c r="B803" s="13" t="n">
        <v>1986</v>
      </c>
      <c r="C803" s="13" t="n">
        <v>1</v>
      </c>
      <c r="D803" s="14" t="n">
        <v>5.16</v>
      </c>
      <c r="E803" s="14">
        <f>IF(D803="","",D803*'参数与说明'!$B$6/27.2155)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31444</v>
      </c>
      <c r="B804" s="17" t="n">
        <v>1986</v>
      </c>
      <c r="C804" s="17" t="n">
        <v>2</v>
      </c>
      <c r="D804" s="18" t="n">
        <v>5.18</v>
      </c>
      <c r="E804" s="18">
        <f>IF(D804="","",D804*'参数与说明'!$B$6/27.2155)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31472</v>
      </c>
      <c r="B805" s="13" t="n">
        <v>1986</v>
      </c>
      <c r="C805" s="13" t="n">
        <v>3</v>
      </c>
      <c r="D805" s="14" t="n">
        <v>5.23</v>
      </c>
      <c r="E805" s="14">
        <f>IF(D805="","",D805*'参数与说明'!$B$6/27.2155)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31503</v>
      </c>
      <c r="B806" s="17" t="n">
        <v>1986</v>
      </c>
      <c r="C806" s="17" t="n">
        <v>4</v>
      </c>
      <c r="D806" s="18" t="n">
        <v>5.23</v>
      </c>
      <c r="E806" s="18">
        <f>IF(D806="","",D806*'参数与说明'!$B$6/27.2155)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31533</v>
      </c>
      <c r="B807" s="13" t="n">
        <v>1986</v>
      </c>
      <c r="C807" s="13" t="n">
        <v>5</v>
      </c>
      <c r="D807" s="14" t="n">
        <v>5.25</v>
      </c>
      <c r="E807" s="14">
        <f>IF(D807="","",D807*'参数与说明'!$B$6/27.2155)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31564</v>
      </c>
      <c r="B808" s="17" t="n">
        <v>1986</v>
      </c>
      <c r="C808" s="17" t="n">
        <v>6</v>
      </c>
      <c r="D808" s="18" t="n">
        <v>5.19</v>
      </c>
      <c r="E808" s="18">
        <f>IF(D808="","",D808*'参数与说明'!$B$6/27.2155)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31594</v>
      </c>
      <c r="B809" s="13" t="n">
        <v>1986</v>
      </c>
      <c r="C809" s="13" t="n">
        <v>7</v>
      </c>
      <c r="D809" s="14" t="n">
        <v>5.11</v>
      </c>
      <c r="E809" s="14">
        <f>IF(D809="","",D809*'参数与说明'!$B$6/27.2155)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31625</v>
      </c>
      <c r="B810" s="17" t="n">
        <v>1986</v>
      </c>
      <c r="C810" s="17" t="n">
        <v>8</v>
      </c>
      <c r="D810" s="18" t="n">
        <v>4.99</v>
      </c>
      <c r="E810" s="18">
        <f>IF(D810="","",D810*'参数与说明'!$B$6/27.2155)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31656</v>
      </c>
      <c r="B811" s="13" t="n">
        <v>1986</v>
      </c>
      <c r="C811" s="13" t="n">
        <v>9</v>
      </c>
      <c r="D811" s="14" t="n">
        <v>4.85</v>
      </c>
      <c r="E811" s="14">
        <f>IF(D811="","",D811*'参数与说明'!$B$6/27.2155)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31686</v>
      </c>
      <c r="B812" s="17" t="n">
        <v>1986</v>
      </c>
      <c r="C812" s="17" t="n">
        <v>10</v>
      </c>
      <c r="D812" s="18" t="n">
        <v>4.55</v>
      </c>
      <c r="E812" s="18">
        <f>IF(D812="","",D812*'参数与说明'!$B$6/27.2155)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31717</v>
      </c>
      <c r="B813" s="13" t="n">
        <v>1986</v>
      </c>
      <c r="C813" s="13" t="n">
        <v>11</v>
      </c>
      <c r="D813" s="14" t="n">
        <v>4.64</v>
      </c>
      <c r="E813" s="14">
        <f>IF(D813="","",D813*'参数与说明'!$B$6/27.2155)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31747</v>
      </c>
      <c r="B814" s="17" t="n">
        <v>1986</v>
      </c>
      <c r="C814" s="17" t="n">
        <v>12</v>
      </c>
      <c r="D814" s="18" t="n">
        <v>4.67</v>
      </c>
      <c r="E814" s="18">
        <f>IF(D814="","",D814*'参数与说明'!$B$6/27.2155)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31778</v>
      </c>
      <c r="B815" s="13" t="n">
        <v>1987</v>
      </c>
      <c r="C815" s="13" t="n">
        <v>1</v>
      </c>
      <c r="D815" s="14" t="n">
        <v>4.7</v>
      </c>
      <c r="E815" s="14">
        <f>IF(D815="","",D815*'参数与说明'!$B$6/27.2155)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31809</v>
      </c>
      <c r="B816" s="17" t="n">
        <v>1987</v>
      </c>
      <c r="C816" s="17" t="n">
        <v>2</v>
      </c>
      <c r="D816" s="18" t="n">
        <v>4.69</v>
      </c>
      <c r="E816" s="18">
        <f>IF(D816="","",D816*'参数与说明'!$B$6/27.2155)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31837</v>
      </c>
      <c r="B817" s="13" t="n">
        <v>1987</v>
      </c>
      <c r="C817" s="13" t="n">
        <v>3</v>
      </c>
      <c r="D817" s="14" t="n">
        <v>4.73</v>
      </c>
      <c r="E817" s="14">
        <f>IF(D817="","",D817*'参数与说明'!$B$6/27.2155)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31868</v>
      </c>
      <c r="B818" s="17" t="n">
        <v>1987</v>
      </c>
      <c r="C818" s="17" t="n">
        <v>4</v>
      </c>
      <c r="D818" s="18" t="n">
        <v>4.9</v>
      </c>
      <c r="E818" s="18">
        <f>IF(D818="","",D818*'参数与说明'!$B$6/27.2155)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31898</v>
      </c>
      <c r="B819" s="13" t="n">
        <v>1987</v>
      </c>
      <c r="C819" s="13" t="n">
        <v>5</v>
      </c>
      <c r="D819" s="14" t="n">
        <v>5.2</v>
      </c>
      <c r="E819" s="14">
        <f>IF(D819="","",D819*'参数与说明'!$B$6/27.2155)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31929</v>
      </c>
      <c r="B820" s="17" t="n">
        <v>1987</v>
      </c>
      <c r="C820" s="17" t="n">
        <v>6</v>
      </c>
      <c r="D820" s="18" t="n">
        <v>5.36</v>
      </c>
      <c r="E820" s="18">
        <f>IF(D820="","",D820*'参数与说明'!$B$6/27.2155)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31959</v>
      </c>
      <c r="B821" s="13" t="n">
        <v>1987</v>
      </c>
      <c r="C821" s="13" t="n">
        <v>7</v>
      </c>
      <c r="D821" s="14" t="n">
        <v>5.25</v>
      </c>
      <c r="E821" s="14">
        <f>IF(D821="","",D821*'参数与说明'!$B$6/27.2155)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31990</v>
      </c>
      <c r="B822" s="17" t="n">
        <v>1987</v>
      </c>
      <c r="C822" s="17" t="n">
        <v>8</v>
      </c>
      <c r="D822" s="18" t="n">
        <v>5.02</v>
      </c>
      <c r="E822" s="18">
        <f>IF(D822="","",D822*'参数与说明'!$B$6/27.2155)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32021</v>
      </c>
      <c r="B823" s="13" t="n">
        <v>1987</v>
      </c>
      <c r="C823" s="13" t="n">
        <v>9</v>
      </c>
      <c r="D823" s="14" t="n">
        <v>5.02</v>
      </c>
      <c r="E823" s="14">
        <f>IF(D823="","",D823*'参数与说明'!$B$6/27.2155)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32051</v>
      </c>
      <c r="B824" s="17" t="n">
        <v>1987</v>
      </c>
      <c r="C824" s="17" t="n">
        <v>10</v>
      </c>
      <c r="D824" s="18" t="n">
        <v>5.04</v>
      </c>
      <c r="E824" s="18">
        <f>IF(D824="","",D824*'参数与说明'!$B$6/27.2155)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32082</v>
      </c>
      <c r="B825" s="13" t="n">
        <v>1987</v>
      </c>
      <c r="C825" s="13" t="n">
        <v>11</v>
      </c>
      <c r="D825" s="14" t="n">
        <v>5.36</v>
      </c>
      <c r="E825" s="14">
        <f>IF(D825="","",D825*'参数与说明'!$B$6/27.2155)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32112</v>
      </c>
      <c r="B826" s="17" t="n">
        <v>1987</v>
      </c>
      <c r="C826" s="17" t="n">
        <v>12</v>
      </c>
      <c r="D826" s="18" t="n">
        <v>5.63</v>
      </c>
      <c r="E826" s="18">
        <f>IF(D826="","",D826*'参数与说明'!$B$6/27.2155)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32143</v>
      </c>
      <c r="B827" s="13" t="n">
        <v>1988</v>
      </c>
      <c r="C827" s="13" t="n">
        <v>1</v>
      </c>
      <c r="D827" s="14" t="n">
        <v>5.73</v>
      </c>
      <c r="E827" s="14">
        <f>IF(D827="","",D827*'参数与说明'!$B$6/27.2155)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32174</v>
      </c>
      <c r="B828" s="17" t="n">
        <v>1988</v>
      </c>
      <c r="C828" s="17" t="n">
        <v>2</v>
      </c>
      <c r="D828" s="18" t="n">
        <v>5.96</v>
      </c>
      <c r="E828" s="18">
        <f>IF(D828="","",D828*'参数与说明'!$B$6/27.2155)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32203</v>
      </c>
      <c r="B829" s="13" t="n">
        <v>1988</v>
      </c>
      <c r="C829" s="13" t="n">
        <v>3</v>
      </c>
      <c r="D829" s="14" t="n">
        <v>6.05</v>
      </c>
      <c r="E829" s="14">
        <f>IF(D829="","",D829*'参数与说明'!$B$6/27.2155)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32234</v>
      </c>
      <c r="B830" s="17" t="n">
        <v>1988</v>
      </c>
      <c r="C830" s="17" t="n">
        <v>4</v>
      </c>
      <c r="D830" s="18" t="n">
        <v>6.39</v>
      </c>
      <c r="E830" s="18">
        <f>IF(D830="","",D830*'参数与说明'!$B$6/27.2155)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32264</v>
      </c>
      <c r="B831" s="13" t="n">
        <v>1988</v>
      </c>
      <c r="C831" s="13" t="n">
        <v>5</v>
      </c>
      <c r="D831" s="14" t="n">
        <v>6.98</v>
      </c>
      <c r="E831" s="14">
        <f>IF(D831="","",D831*'参数与说明'!$B$6/27.2155)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32295</v>
      </c>
      <c r="B832" s="17" t="n">
        <v>1988</v>
      </c>
      <c r="C832" s="17" t="n">
        <v>6</v>
      </c>
      <c r="D832" s="18" t="n">
        <v>8.18</v>
      </c>
      <c r="E832" s="18">
        <f>IF(D832="","",D832*'参数与说明'!$B$6/27.2155)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32325</v>
      </c>
      <c r="B833" s="13" t="n">
        <v>1988</v>
      </c>
      <c r="C833" s="13" t="n">
        <v>7</v>
      </c>
      <c r="D833" s="14" t="n">
        <v>8.5</v>
      </c>
      <c r="E833" s="14">
        <f>IF(D833="","",D833*'参数与说明'!$B$6/27.2155)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32356</v>
      </c>
      <c r="B834" s="17" t="n">
        <v>1988</v>
      </c>
      <c r="C834" s="17" t="n">
        <v>8</v>
      </c>
      <c r="D834" s="18" t="n">
        <v>8.33</v>
      </c>
      <c r="E834" s="18">
        <f>IF(D834="","",D834*'参数与说明'!$B$6/27.2155)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32387</v>
      </c>
      <c r="B835" s="13" t="n">
        <v>1988</v>
      </c>
      <c r="C835" s="13" t="n">
        <v>9</v>
      </c>
      <c r="D835" s="14" t="n">
        <v>7.93</v>
      </c>
      <c r="E835" s="14">
        <f>IF(D835="","",D835*'参数与说明'!$B$6/27.2155)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32417</v>
      </c>
      <c r="B836" s="17" t="n">
        <v>1988</v>
      </c>
      <c r="C836" s="17" t="n">
        <v>10</v>
      </c>
      <c r="D836" s="18" t="n">
        <v>7.53</v>
      </c>
      <c r="E836" s="18">
        <f>IF(D836="","",D836*'参数与说明'!$B$6/27.2155)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32448</v>
      </c>
      <c r="B837" s="13" t="n">
        <v>1988</v>
      </c>
      <c r="C837" s="13" t="n">
        <v>11</v>
      </c>
      <c r="D837" s="14" t="n">
        <v>7.43</v>
      </c>
      <c r="E837" s="14">
        <f>IF(D837="","",D837*'参数与说明'!$B$6/27.2155)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32478</v>
      </c>
      <c r="B838" s="17" t="n">
        <v>1988</v>
      </c>
      <c r="C838" s="17" t="n">
        <v>12</v>
      </c>
      <c r="D838" s="18" t="n">
        <v>7.53</v>
      </c>
      <c r="E838" s="18">
        <f>IF(D838="","",D838*'参数与说明'!$B$6/27.2155)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32509</v>
      </c>
      <c r="B839" s="13" t="n">
        <v>1989</v>
      </c>
      <c r="C839" s="13" t="n">
        <v>1</v>
      </c>
      <c r="D839" s="14" t="n">
        <v>7.69</v>
      </c>
      <c r="E839" s="14">
        <f>IF(D839="","",D839*'参数与说明'!$B$6/27.2155)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32540</v>
      </c>
      <c r="B840" s="17" t="n">
        <v>1989</v>
      </c>
      <c r="C840" s="17" t="n">
        <v>2</v>
      </c>
      <c r="D840" s="18" t="n">
        <v>7.41</v>
      </c>
      <c r="E840" s="18">
        <f>IF(D840="","",D840*'参数与说明'!$B$6/27.2155)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32568</v>
      </c>
      <c r="B841" s="13" t="n">
        <v>1989</v>
      </c>
      <c r="C841" s="13" t="n">
        <v>3</v>
      </c>
      <c r="D841" s="14" t="n">
        <v>7.51</v>
      </c>
      <c r="E841" s="14">
        <f>IF(D841="","",D841*'参数与说明'!$B$6/27.2155)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32599</v>
      </c>
      <c r="B842" s="17" t="n">
        <v>1989</v>
      </c>
      <c r="C842" s="17" t="n">
        <v>4</v>
      </c>
      <c r="D842" s="18" t="n">
        <v>7.29</v>
      </c>
      <c r="E842" s="18">
        <f>IF(D842="","",D842*'参数与说明'!$B$6/27.2155)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32629</v>
      </c>
      <c r="B843" s="13" t="n">
        <v>1989</v>
      </c>
      <c r="C843" s="13" t="n">
        <v>5</v>
      </c>
      <c r="D843" s="14" t="n">
        <v>7.2</v>
      </c>
      <c r="E843" s="14">
        <f>IF(D843="","",D843*'参数与说明'!$B$6/27.2155)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32660</v>
      </c>
      <c r="B844" s="17" t="n">
        <v>1989</v>
      </c>
      <c r="C844" s="17" t="n">
        <v>6</v>
      </c>
      <c r="D844" s="18" t="n">
        <v>7.05</v>
      </c>
      <c r="E844" s="18">
        <f>IF(D844="","",D844*'参数与说明'!$B$6/27.2155)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32690</v>
      </c>
      <c r="B845" s="13" t="n">
        <v>1989</v>
      </c>
      <c r="C845" s="13" t="n">
        <v>7</v>
      </c>
      <c r="D845" s="14" t="n">
        <v>6.83</v>
      </c>
      <c r="E845" s="14">
        <f>IF(D845="","",D845*'参数与说明'!$B$6/27.2155)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32721</v>
      </c>
      <c r="B846" s="17" t="n">
        <v>1989</v>
      </c>
      <c r="C846" s="17" t="n">
        <v>8</v>
      </c>
      <c r="D846" s="18" t="n">
        <v>6.07</v>
      </c>
      <c r="E846" s="18">
        <f>IF(D846="","",D846*'参数与说明'!$B$6/27.2155)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32752</v>
      </c>
      <c r="B847" s="13" t="n">
        <v>1989</v>
      </c>
      <c r="C847" s="13" t="n">
        <v>9</v>
      </c>
      <c r="D847" s="14" t="n">
        <v>5.7</v>
      </c>
      <c r="E847" s="14">
        <f>IF(D847="","",D847*'参数与说明'!$B$6/27.2155)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32782</v>
      </c>
      <c r="B848" s="17" t="n">
        <v>1989</v>
      </c>
      <c r="C848" s="17" t="n">
        <v>10</v>
      </c>
      <c r="D848" s="18" t="n">
        <v>5.55</v>
      </c>
      <c r="E848" s="18">
        <f>IF(D848="","",D848*'参数与说明'!$B$6/27.2155)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32813</v>
      </c>
      <c r="B849" s="13" t="n">
        <v>1989</v>
      </c>
      <c r="C849" s="13" t="n">
        <v>11</v>
      </c>
      <c r="D849" s="14" t="n">
        <v>5.66</v>
      </c>
      <c r="E849" s="14">
        <f>IF(D849="","",D849*'参数与说明'!$B$6/27.2155)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32843</v>
      </c>
      <c r="B850" s="17" t="n">
        <v>1989</v>
      </c>
      <c r="C850" s="17" t="n">
        <v>12</v>
      </c>
      <c r="D850" s="18" t="n">
        <v>5.64</v>
      </c>
      <c r="E850" s="18">
        <f>IF(D850="","",D850*'参数与说明'!$B$6/27.2155)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32874</v>
      </c>
      <c r="B851" s="13" t="n">
        <v>1990</v>
      </c>
      <c r="C851" s="13" t="n">
        <v>1</v>
      </c>
      <c r="D851" s="14" t="n">
        <v>5.65</v>
      </c>
      <c r="E851" s="14">
        <f>IF(D851="","",D851*'参数与说明'!$B$6/27.2155)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32905</v>
      </c>
      <c r="B852" s="17" t="n">
        <v>1990</v>
      </c>
      <c r="C852" s="17" t="n">
        <v>2</v>
      </c>
      <c r="D852" s="18" t="n">
        <v>5.56</v>
      </c>
      <c r="E852" s="18">
        <f>IF(D852="","",D852*'参数与说明'!$B$6/27.2155)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32933</v>
      </c>
      <c r="B853" s="13" t="n">
        <v>1990</v>
      </c>
      <c r="C853" s="13" t="n">
        <v>3</v>
      </c>
      <c r="D853" s="14" t="n">
        <v>5.65</v>
      </c>
      <c r="E853" s="14">
        <f>IF(D853="","",D853*'参数与说明'!$B$6/27.2155)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32964</v>
      </c>
      <c r="B854" s="17" t="n">
        <v>1990</v>
      </c>
      <c r="C854" s="17" t="n">
        <v>4</v>
      </c>
      <c r="D854" s="18" t="n">
        <v>5.82</v>
      </c>
      <c r="E854" s="18">
        <f>IF(D854="","",D854*'参数与说明'!$B$6/27.2155)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32994</v>
      </c>
      <c r="B855" s="13" t="n">
        <v>1990</v>
      </c>
      <c r="C855" s="13" t="n">
        <v>5</v>
      </c>
      <c r="D855" s="14" t="n">
        <v>5.97</v>
      </c>
      <c r="E855" s="14">
        <f>IF(D855="","",D855*'参数与说明'!$B$6/27.2155)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33025</v>
      </c>
      <c r="B856" s="17" t="n">
        <v>1990</v>
      </c>
      <c r="C856" s="17" t="n">
        <v>6</v>
      </c>
      <c r="D856" s="18" t="n">
        <v>5.88</v>
      </c>
      <c r="E856" s="18">
        <f>IF(D856="","",D856*'参数与说明'!$B$6/27.2155)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33055</v>
      </c>
      <c r="B857" s="13" t="n">
        <v>1990</v>
      </c>
      <c r="C857" s="13" t="n">
        <v>7</v>
      </c>
      <c r="D857" s="14" t="n">
        <v>5.97</v>
      </c>
      <c r="E857" s="14">
        <f>IF(D857="","",D857*'参数与说明'!$B$6/27.2155)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33086</v>
      </c>
      <c r="B858" s="17" t="n">
        <v>1990</v>
      </c>
      <c r="C858" s="17" t="n">
        <v>8</v>
      </c>
      <c r="D858" s="18" t="n">
        <v>6</v>
      </c>
      <c r="E858" s="18">
        <f>IF(D858="","",D858*'参数与说明'!$B$6/27.2155)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33117</v>
      </c>
      <c r="B859" s="13" t="n">
        <v>1990</v>
      </c>
      <c r="C859" s="13" t="n">
        <v>9</v>
      </c>
      <c r="D859" s="14" t="n">
        <v>5.99</v>
      </c>
      <c r="E859" s="14">
        <f>IF(D859="","",D859*'参数与说明'!$B$6/27.2155)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33147</v>
      </c>
      <c r="B860" s="17" t="n">
        <v>1990</v>
      </c>
      <c r="C860" s="17" t="n">
        <v>10</v>
      </c>
      <c r="D860" s="18" t="n">
        <v>5.88</v>
      </c>
      <c r="E860" s="18">
        <f>IF(D860="","",D860*'参数与说明'!$B$6/27.2155)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33178</v>
      </c>
      <c r="B861" s="13" t="n">
        <v>1990</v>
      </c>
      <c r="C861" s="13" t="n">
        <v>11</v>
      </c>
      <c r="D861" s="14" t="n">
        <v>5.78</v>
      </c>
      <c r="E861" s="14">
        <f>IF(D861="","",D861*'参数与说明'!$B$6/27.2155)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33208</v>
      </c>
      <c r="B862" s="17" t="n">
        <v>1990</v>
      </c>
      <c r="C862" s="17" t="n">
        <v>12</v>
      </c>
      <c r="D862" s="18" t="n">
        <v>5.72</v>
      </c>
      <c r="E862" s="18">
        <f>IF(D862="","",D862*'参数与说明'!$B$6/27.2155)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33239</v>
      </c>
      <c r="B863" s="13" t="n">
        <v>1991</v>
      </c>
      <c r="C863" s="13" t="n">
        <v>1</v>
      </c>
      <c r="D863" s="14" t="n">
        <v>5.71</v>
      </c>
      <c r="E863" s="14">
        <f>IF(D863="","",D863*'参数与说明'!$B$6/27.2155)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33270</v>
      </c>
      <c r="B864" s="17" t="n">
        <v>1991</v>
      </c>
      <c r="C864" s="17" t="n">
        <v>2</v>
      </c>
      <c r="D864" s="18" t="n">
        <v>5.65</v>
      </c>
      <c r="E864" s="18">
        <f>IF(D864="","",D864*'参数与说明'!$B$6/27.2155)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33298</v>
      </c>
      <c r="B865" s="13" t="n">
        <v>1991</v>
      </c>
      <c r="C865" s="13" t="n">
        <v>3</v>
      </c>
      <c r="D865" s="14" t="n">
        <v>5.76</v>
      </c>
      <c r="E865" s="14">
        <f>IF(D865="","",D865*'参数与说明'!$B$6/27.2155)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33329</v>
      </c>
      <c r="B866" s="17" t="n">
        <v>1991</v>
      </c>
      <c r="C866" s="17" t="n">
        <v>4</v>
      </c>
      <c r="D866" s="18" t="n">
        <v>5.77</v>
      </c>
      <c r="E866" s="18">
        <f>IF(D866="","",D866*'参数与说明'!$B$6/27.2155)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33359</v>
      </c>
      <c r="B867" s="13" t="n">
        <v>1991</v>
      </c>
      <c r="C867" s="13" t="n">
        <v>5</v>
      </c>
      <c r="D867" s="14" t="n">
        <v>5.67</v>
      </c>
      <c r="E867" s="14">
        <f>IF(D867="","",D867*'参数与说明'!$B$6/27.2155)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33390</v>
      </c>
      <c r="B868" s="17" t="n">
        <v>1991</v>
      </c>
      <c r="C868" s="17" t="n">
        <v>6</v>
      </c>
      <c r="D868" s="18" t="n">
        <v>5.56</v>
      </c>
      <c r="E868" s="18">
        <f>IF(D868="","",D868*'参数与说明'!$B$6/27.2155)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33420</v>
      </c>
      <c r="B869" s="13" t="n">
        <v>1991</v>
      </c>
      <c r="C869" s="13" t="n">
        <v>7</v>
      </c>
      <c r="D869" s="14" t="n">
        <v>5.36</v>
      </c>
      <c r="E869" s="14">
        <f>IF(D869="","",D869*'参数与说明'!$B$6/27.2155)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33451</v>
      </c>
      <c r="B870" s="17" t="n">
        <v>1991</v>
      </c>
      <c r="C870" s="17" t="n">
        <v>8</v>
      </c>
      <c r="D870" s="18" t="n">
        <v>5.66</v>
      </c>
      <c r="E870" s="18">
        <f>IF(D870="","",D870*'参数与说明'!$B$6/27.2155)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33482</v>
      </c>
      <c r="B871" s="13" t="n">
        <v>1991</v>
      </c>
      <c r="C871" s="13" t="n">
        <v>9</v>
      </c>
      <c r="D871" s="14" t="n">
        <v>5.64</v>
      </c>
      <c r="E871" s="14">
        <f>IF(D871="","",D871*'参数与说明'!$B$6/27.2155)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33512</v>
      </c>
      <c r="B872" s="17" t="n">
        <v>1991</v>
      </c>
      <c r="C872" s="17" t="n">
        <v>10</v>
      </c>
      <c r="D872" s="18" t="n">
        <v>5.48</v>
      </c>
      <c r="E872" s="18">
        <f>IF(D872="","",D872*'参数与说明'!$B$6/27.2155)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33543</v>
      </c>
      <c r="B873" s="13" t="n">
        <v>1991</v>
      </c>
      <c r="C873" s="13" t="n">
        <v>11</v>
      </c>
      <c r="D873" s="14" t="n">
        <v>5.48</v>
      </c>
      <c r="E873" s="14">
        <f>IF(D873="","",D873*'参数与说明'!$B$6/27.2155)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33573</v>
      </c>
      <c r="B874" s="17" t="n">
        <v>1991</v>
      </c>
      <c r="C874" s="17" t="n">
        <v>12</v>
      </c>
      <c r="D874" s="18" t="n">
        <v>5.45</v>
      </c>
      <c r="E874" s="18">
        <f>IF(D874="","",D874*'参数与说明'!$B$6/27.2155)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33604</v>
      </c>
      <c r="B875" s="13" t="n">
        <v>1992</v>
      </c>
      <c r="C875" s="13" t="n">
        <v>1</v>
      </c>
      <c r="D875" s="14" t="n">
        <v>5.54</v>
      </c>
      <c r="E875" s="14">
        <f>IF(D875="","",D875*'参数与说明'!$B$6/27.2155)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33635</v>
      </c>
      <c r="B876" s="17" t="n">
        <v>1992</v>
      </c>
      <c r="C876" s="17" t="n">
        <v>2</v>
      </c>
      <c r="D876" s="18" t="n">
        <v>5.59</v>
      </c>
      <c r="E876" s="18">
        <f>IF(D876="","",D876*'参数与说明'!$B$6/27.2155)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33664</v>
      </c>
      <c r="B877" s="13" t="n">
        <v>1992</v>
      </c>
      <c r="C877" s="13" t="n">
        <v>3</v>
      </c>
      <c r="D877" s="14" t="n">
        <v>5.67</v>
      </c>
      <c r="E877" s="14">
        <f>IF(D877="","",D877*'参数与说明'!$B$6/27.2155)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33695</v>
      </c>
      <c r="B878" s="17" t="n">
        <v>1992</v>
      </c>
      <c r="C878" s="17" t="n">
        <v>4</v>
      </c>
      <c r="D878" s="18" t="n">
        <v>5.66</v>
      </c>
      <c r="E878" s="18">
        <f>IF(D878="","",D878*'参数与说明'!$B$6/27.2155)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33725</v>
      </c>
      <c r="B879" s="13" t="n">
        <v>1992</v>
      </c>
      <c r="C879" s="13" t="n">
        <v>5</v>
      </c>
      <c r="D879" s="14" t="n">
        <v>5.87</v>
      </c>
      <c r="E879" s="14">
        <f>IF(D879="","",D879*'参数与说明'!$B$6/27.2155)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33756</v>
      </c>
      <c r="B880" s="17" t="n">
        <v>1992</v>
      </c>
      <c r="C880" s="17" t="n">
        <v>6</v>
      </c>
      <c r="D880" s="18" t="n">
        <v>5.94</v>
      </c>
      <c r="E880" s="18">
        <f>IF(D880="","",D880*'参数与说明'!$B$6/27.2155)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33786</v>
      </c>
      <c r="B881" s="13" t="n">
        <v>1992</v>
      </c>
      <c r="C881" s="13" t="n">
        <v>7</v>
      </c>
      <c r="D881" s="14" t="n">
        <v>5.59</v>
      </c>
      <c r="E881" s="14">
        <f>IF(D881="","",D881*'参数与说明'!$B$6/27.2155)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33817</v>
      </c>
      <c r="B882" s="17" t="n">
        <v>1992</v>
      </c>
      <c r="C882" s="17" t="n">
        <v>8</v>
      </c>
      <c r="D882" s="18" t="n">
        <v>5.4</v>
      </c>
      <c r="E882" s="18">
        <f>IF(D882="","",D882*'参数与说明'!$B$6/27.2155)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33848</v>
      </c>
      <c r="B883" s="13" t="n">
        <v>1992</v>
      </c>
      <c r="C883" s="13" t="n">
        <v>9</v>
      </c>
      <c r="D883" s="14" t="n">
        <v>5.36</v>
      </c>
      <c r="E883" s="14">
        <f>IF(D883="","",D883*'参数与说明'!$B$6/27.2155)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33878</v>
      </c>
      <c r="B884" s="17" t="n">
        <v>1992</v>
      </c>
      <c r="C884" s="17" t="n">
        <v>10</v>
      </c>
      <c r="D884" s="18" t="n">
        <v>5.26</v>
      </c>
      <c r="E884" s="18">
        <f>IF(D884="","",D884*'参数与说明'!$B$6/27.2155)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33909</v>
      </c>
      <c r="B885" s="13" t="n">
        <v>1992</v>
      </c>
      <c r="C885" s="13" t="n">
        <v>11</v>
      </c>
      <c r="D885" s="14" t="n">
        <v>5.36</v>
      </c>
      <c r="E885" s="14">
        <f>IF(D885="","",D885*'参数与说明'!$B$6/27.2155)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33939</v>
      </c>
      <c r="B886" s="17" t="n">
        <v>1992</v>
      </c>
      <c r="C886" s="17" t="n">
        <v>12</v>
      </c>
      <c r="D886" s="18" t="n">
        <v>5.61</v>
      </c>
      <c r="E886" s="18">
        <f>IF(D886="","",D886*'参数与说明'!$B$6/27.2155)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33970</v>
      </c>
      <c r="B887" s="13" t="n">
        <v>1993</v>
      </c>
      <c r="C887" s="13" t="n">
        <v>1</v>
      </c>
      <c r="D887" s="14" t="n">
        <v>5.58</v>
      </c>
      <c r="E887" s="14">
        <f>IF(D887="","",D887*'参数与说明'!$B$6/27.2155)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34001</v>
      </c>
      <c r="B888" s="17" t="n">
        <v>1993</v>
      </c>
      <c r="C888" s="17" t="n">
        <v>2</v>
      </c>
      <c r="D888" s="18" t="n">
        <v>5.56</v>
      </c>
      <c r="E888" s="18">
        <f>IF(D888="","",D888*'参数与说明'!$B$6/27.2155)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34029</v>
      </c>
      <c r="B889" s="13" t="n">
        <v>1993</v>
      </c>
      <c r="C889" s="13" t="n">
        <v>3</v>
      </c>
      <c r="D889" s="14" t="n">
        <v>5.65</v>
      </c>
      <c r="E889" s="14">
        <f>IF(D889="","",D889*'参数与说明'!$B$6/27.2155)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34060</v>
      </c>
      <c r="B890" s="17" t="n">
        <v>1993</v>
      </c>
      <c r="C890" s="17" t="n">
        <v>4</v>
      </c>
      <c r="D890" s="18" t="n">
        <v>5.73</v>
      </c>
      <c r="E890" s="18">
        <f>IF(D890="","",D890*'参数与说明'!$B$6/27.2155)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34090</v>
      </c>
      <c r="B891" s="13" t="n">
        <v>1993</v>
      </c>
      <c r="C891" s="13" t="n">
        <v>5</v>
      </c>
      <c r="D891" s="14" t="n">
        <v>5.81</v>
      </c>
      <c r="E891" s="14">
        <f>IF(D891="","",D891*'参数与说明'!$B$6/27.2155)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34121</v>
      </c>
      <c r="B892" s="17" t="n">
        <v>1993</v>
      </c>
      <c r="C892" s="17" t="n">
        <v>6</v>
      </c>
      <c r="D892" s="18" t="n">
        <v>5.9</v>
      </c>
      <c r="E892" s="18">
        <f>IF(D892="","",D892*'参数与说明'!$B$6/27.2155)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34151</v>
      </c>
      <c r="B893" s="13" t="n">
        <v>1993</v>
      </c>
      <c r="C893" s="13" t="n">
        <v>7</v>
      </c>
      <c r="D893" s="14" t="n">
        <v>6.56</v>
      </c>
      <c r="E893" s="14">
        <f>IF(D893="","",D893*'参数与说明'!$B$6/27.2155)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34182</v>
      </c>
      <c r="B894" s="17" t="n">
        <v>1993</v>
      </c>
      <c r="C894" s="17" t="n">
        <v>8</v>
      </c>
      <c r="D894" s="18" t="n">
        <v>6.56</v>
      </c>
      <c r="E894" s="18">
        <f>IF(D894="","",D894*'参数与说明'!$B$6/27.2155)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34213</v>
      </c>
      <c r="B895" s="13" t="n">
        <v>1993</v>
      </c>
      <c r="C895" s="13" t="n">
        <v>9</v>
      </c>
      <c r="D895" s="14" t="n">
        <v>6.21</v>
      </c>
      <c r="E895" s="14">
        <f>IF(D895="","",D895*'参数与说明'!$B$6/27.2155)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34243</v>
      </c>
      <c r="B896" s="17" t="n">
        <v>1993</v>
      </c>
      <c r="C896" s="17" t="n">
        <v>10</v>
      </c>
      <c r="D896" s="18" t="n">
        <v>6.01</v>
      </c>
      <c r="E896" s="18">
        <f>IF(D896="","",D896*'参数与说明'!$B$6/27.2155)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34274</v>
      </c>
      <c r="B897" s="13" t="n">
        <v>1993</v>
      </c>
      <c r="C897" s="13" t="n">
        <v>11</v>
      </c>
      <c r="D897" s="14" t="n">
        <v>6.32</v>
      </c>
      <c r="E897" s="14">
        <f>IF(D897="","",D897*'参数与说明'!$B$6/27.2155)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34304</v>
      </c>
      <c r="B898" s="17" t="n">
        <v>1993</v>
      </c>
      <c r="C898" s="17" t="n">
        <v>12</v>
      </c>
      <c r="D898" s="18" t="n">
        <v>6.64</v>
      </c>
      <c r="E898" s="18">
        <f>IF(D898="","",D898*'参数与说明'!$B$6/27.2155)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34335</v>
      </c>
      <c r="B899" s="13" t="n">
        <v>1994</v>
      </c>
      <c r="C899" s="13" t="n">
        <v>1</v>
      </c>
      <c r="D899" s="14" t="n">
        <v>6.72</v>
      </c>
      <c r="E899" s="14">
        <f>IF(D899="","",D899*'参数与说明'!$B$6/27.2155)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34366</v>
      </c>
      <c r="B900" s="17" t="n">
        <v>1994</v>
      </c>
      <c r="C900" s="17" t="n">
        <v>2</v>
      </c>
      <c r="D900" s="18" t="n">
        <v>6.71</v>
      </c>
      <c r="E900" s="18">
        <f>IF(D900="","",D900*'参数与说明'!$B$6/27.2155)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34394</v>
      </c>
      <c r="B901" s="13" t="n">
        <v>1994</v>
      </c>
      <c r="C901" s="13" t="n">
        <v>3</v>
      </c>
      <c r="D901" s="14" t="n">
        <v>6.73</v>
      </c>
      <c r="E901" s="14">
        <f>IF(D901="","",D901*'参数与说明'!$B$6/27.2155)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34425</v>
      </c>
      <c r="B902" s="17" t="n">
        <v>1994</v>
      </c>
      <c r="C902" s="17" t="n">
        <v>4</v>
      </c>
      <c r="D902" s="18" t="n">
        <v>6.57</v>
      </c>
      <c r="E902" s="18">
        <f>IF(D902="","",D902*'参数与说明'!$B$6/27.2155)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34455</v>
      </c>
      <c r="B903" s="13" t="n">
        <v>1994</v>
      </c>
      <c r="C903" s="13" t="n">
        <v>5</v>
      </c>
      <c r="D903" s="14" t="n">
        <v>6.77</v>
      </c>
      <c r="E903" s="14">
        <f>IF(D903="","",D903*'参数与说明'!$B$6/27.2155)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34486</v>
      </c>
      <c r="B904" s="17" t="n">
        <v>1994</v>
      </c>
      <c r="C904" s="17" t="n">
        <v>6</v>
      </c>
      <c r="D904" s="18" t="n">
        <v>6.72</v>
      </c>
      <c r="E904" s="18">
        <f>IF(D904="","",D904*'参数与说明'!$B$6/27.2155)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34516</v>
      </c>
      <c r="B905" s="13" t="n">
        <v>1994</v>
      </c>
      <c r="C905" s="13" t="n">
        <v>7</v>
      </c>
      <c r="D905" s="14" t="n">
        <v>5.92</v>
      </c>
      <c r="E905" s="14">
        <f>IF(D905="","",D905*'参数与说明'!$B$6/27.2155)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34547</v>
      </c>
      <c r="B906" s="17" t="n">
        <v>1994</v>
      </c>
      <c r="C906" s="17" t="n">
        <v>8</v>
      </c>
      <c r="D906" s="18" t="n">
        <v>5.58</v>
      </c>
      <c r="E906" s="18">
        <f>IF(D906="","",D906*'参数与说明'!$B$6/27.2155)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34578</v>
      </c>
      <c r="B907" s="13" t="n">
        <v>1994</v>
      </c>
      <c r="C907" s="13" t="n">
        <v>9</v>
      </c>
      <c r="D907" s="14" t="n">
        <v>5.47</v>
      </c>
      <c r="E907" s="14">
        <f>IF(D907="","",D907*'参数与说明'!$B$6/27.2155)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34608</v>
      </c>
      <c r="B908" s="17" t="n">
        <v>1994</v>
      </c>
      <c r="C908" s="17" t="n">
        <v>10</v>
      </c>
      <c r="D908" s="18" t="n">
        <v>5.3</v>
      </c>
      <c r="E908" s="18">
        <f>IF(D908="","",D908*'参数与说明'!$B$6/27.2155)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34639</v>
      </c>
      <c r="B909" s="13" t="n">
        <v>1994</v>
      </c>
      <c r="C909" s="13" t="n">
        <v>11</v>
      </c>
      <c r="D909" s="14" t="n">
        <v>5.36</v>
      </c>
      <c r="E909" s="14">
        <f>IF(D909="","",D909*'参数与说明'!$B$6/27.2155)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34669</v>
      </c>
      <c r="B910" s="17" t="n">
        <v>1994</v>
      </c>
      <c r="C910" s="17" t="n">
        <v>12</v>
      </c>
      <c r="D910" s="18" t="n">
        <v>5.41</v>
      </c>
      <c r="E910" s="18">
        <f>IF(D910="","",D910*'参数与说明'!$B$6/27.2155)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34700</v>
      </c>
      <c r="B911" s="13" t="n">
        <v>1995</v>
      </c>
      <c r="C911" s="13" t="n">
        <v>1</v>
      </c>
      <c r="D911" s="14" t="n">
        <v>5.47</v>
      </c>
      <c r="E911" s="14">
        <f>IF(D911="","",D911*'参数与说明'!$B$6/27.2155)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34731</v>
      </c>
      <c r="B912" s="17" t="n">
        <v>1995</v>
      </c>
      <c r="C912" s="17" t="n">
        <v>2</v>
      </c>
      <c r="D912" s="18" t="n">
        <v>5.4</v>
      </c>
      <c r="E912" s="18">
        <f>IF(D912="","",D912*'参数与说明'!$B$6/27.2155)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34759</v>
      </c>
      <c r="B913" s="13" t="n">
        <v>1995</v>
      </c>
      <c r="C913" s="13" t="n">
        <v>3</v>
      </c>
      <c r="D913" s="14" t="n">
        <v>5.51</v>
      </c>
      <c r="E913" s="14">
        <f>IF(D913="","",D913*'参数与说明'!$B$6/27.2155)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34790</v>
      </c>
      <c r="B914" s="17" t="n">
        <v>1995</v>
      </c>
      <c r="C914" s="17" t="n">
        <v>4</v>
      </c>
      <c r="D914" s="18" t="n">
        <v>5.55</v>
      </c>
      <c r="E914" s="18">
        <f>IF(D914="","",D914*'参数与说明'!$B$6/27.2155)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34820</v>
      </c>
      <c r="B915" s="13" t="n">
        <v>1995</v>
      </c>
      <c r="C915" s="13" t="n">
        <v>5</v>
      </c>
      <c r="D915" s="14" t="n">
        <v>5.56</v>
      </c>
      <c r="E915" s="14">
        <f>IF(D915="","",D915*'参数与说明'!$B$6/27.2155)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34851</v>
      </c>
      <c r="B916" s="17" t="n">
        <v>1995</v>
      </c>
      <c r="C916" s="17" t="n">
        <v>6</v>
      </c>
      <c r="D916" s="18" t="n">
        <v>5.68</v>
      </c>
      <c r="E916" s="18">
        <f>IF(D916="","",D916*'参数与说明'!$B$6/27.2155)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34881</v>
      </c>
      <c r="B917" s="13" t="n">
        <v>1995</v>
      </c>
      <c r="C917" s="13" t="n">
        <v>7</v>
      </c>
      <c r="D917" s="14" t="n">
        <v>5.9</v>
      </c>
      <c r="E917" s="14">
        <f>IF(D917="","",D917*'参数与说明'!$B$6/27.2155)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34912</v>
      </c>
      <c r="B918" s="17" t="n">
        <v>1995</v>
      </c>
      <c r="C918" s="17" t="n">
        <v>8</v>
      </c>
      <c r="D918" s="18" t="n">
        <v>5.83</v>
      </c>
      <c r="E918" s="18">
        <f>IF(D918="","",D918*'参数与说明'!$B$6/27.2155)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34943</v>
      </c>
      <c r="B919" s="13" t="n">
        <v>1995</v>
      </c>
      <c r="C919" s="13" t="n">
        <v>9</v>
      </c>
      <c r="D919" s="14" t="n">
        <v>5.98</v>
      </c>
      <c r="E919" s="14">
        <f>IF(D919="","",D919*'参数与说明'!$B$6/27.2155)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34973</v>
      </c>
      <c r="B920" s="17" t="n">
        <v>1995</v>
      </c>
      <c r="C920" s="17" t="n">
        <v>10</v>
      </c>
      <c r="D920" s="18" t="n">
        <v>6.16</v>
      </c>
      <c r="E920" s="18">
        <f>IF(D920="","",D920*'参数与说明'!$B$6/27.2155)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35004</v>
      </c>
      <c r="B921" s="13" t="n">
        <v>1995</v>
      </c>
      <c r="C921" s="13" t="n">
        <v>11</v>
      </c>
      <c r="D921" s="14" t="n">
        <v>6.4</v>
      </c>
      <c r="E921" s="14">
        <f>IF(D921="","",D921*'参数与说明'!$B$6/27.2155)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35034</v>
      </c>
      <c r="B922" s="17" t="n">
        <v>1995</v>
      </c>
      <c r="C922" s="17" t="n">
        <v>12</v>
      </c>
      <c r="D922" s="18" t="n">
        <v>6.76</v>
      </c>
      <c r="E922" s="18">
        <f>IF(D922="","",D922*'参数与说明'!$B$6/27.2155)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35065</v>
      </c>
      <c r="B923" s="13" t="n">
        <v>1996</v>
      </c>
      <c r="C923" s="13" t="n">
        <v>1</v>
      </c>
      <c r="D923" s="14" t="n">
        <v>6.78</v>
      </c>
      <c r="E923" s="14">
        <f>IF(D923="","",D923*'参数与说明'!$B$6/27.2155)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35096</v>
      </c>
      <c r="B924" s="17" t="n">
        <v>1996</v>
      </c>
      <c r="C924" s="17" t="n">
        <v>2</v>
      </c>
      <c r="D924" s="18" t="n">
        <v>7</v>
      </c>
      <c r="E924" s="18">
        <f>IF(D924="","",D924*'参数与说明'!$B$6/27.2155)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35125</v>
      </c>
      <c r="B925" s="13" t="n">
        <v>1996</v>
      </c>
      <c r="C925" s="13" t="n">
        <v>3</v>
      </c>
      <c r="D925" s="14" t="n">
        <v>7</v>
      </c>
      <c r="E925" s="14">
        <f>IF(D925="","",D925*'参数与说明'!$B$6/27.2155)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35156</v>
      </c>
      <c r="B926" s="17" t="n">
        <v>1996</v>
      </c>
      <c r="C926" s="17" t="n">
        <v>4</v>
      </c>
      <c r="D926" s="18" t="n">
        <v>7.43</v>
      </c>
      <c r="E926" s="18">
        <f>IF(D926="","",D926*'参数与说明'!$B$6/27.2155)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35186</v>
      </c>
      <c r="B927" s="13" t="n">
        <v>1996</v>
      </c>
      <c r="C927" s="13" t="n">
        <v>5</v>
      </c>
      <c r="D927" s="14" t="n">
        <v>7.69</v>
      </c>
      <c r="E927" s="14">
        <f>IF(D927="","",D927*'参数与说明'!$B$6/27.2155)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35217</v>
      </c>
      <c r="B928" s="17" t="n">
        <v>1996</v>
      </c>
      <c r="C928" s="17" t="n">
        <v>6</v>
      </c>
      <c r="D928" s="18" t="n">
        <v>7.41</v>
      </c>
      <c r="E928" s="18">
        <f>IF(D928="","",D928*'参数与说明'!$B$6/27.2155)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35247</v>
      </c>
      <c r="B929" s="13" t="n">
        <v>1996</v>
      </c>
      <c r="C929" s="13" t="n">
        <v>7</v>
      </c>
      <c r="D929" s="14" t="n">
        <v>7.62</v>
      </c>
      <c r="E929" s="14">
        <f>IF(D929="","",D929*'参数与说明'!$B$6/27.2155)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35278</v>
      </c>
      <c r="B930" s="17" t="n">
        <v>1996</v>
      </c>
      <c r="C930" s="17" t="n">
        <v>8</v>
      </c>
      <c r="D930" s="18" t="n">
        <v>7.82</v>
      </c>
      <c r="E930" s="18">
        <f>IF(D930="","",D930*'参数与说明'!$B$6/27.2155)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35309</v>
      </c>
      <c r="B931" s="13" t="n">
        <v>1996</v>
      </c>
      <c r="C931" s="13" t="n">
        <v>9</v>
      </c>
      <c r="D931" s="14" t="n">
        <v>7.79</v>
      </c>
      <c r="E931" s="14">
        <f>IF(D931="","",D931*'参数与说明'!$B$6/27.2155)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35339</v>
      </c>
      <c r="B932" s="17" t="n">
        <v>1996</v>
      </c>
      <c r="C932" s="17" t="n">
        <v>10</v>
      </c>
      <c r="D932" s="18" t="n">
        <v>6.94</v>
      </c>
      <c r="E932" s="18">
        <f>IF(D932="","",D932*'参数与说明'!$B$6/27.2155)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35370</v>
      </c>
      <c r="B933" s="13" t="n">
        <v>1996</v>
      </c>
      <c r="C933" s="13" t="n">
        <v>11</v>
      </c>
      <c r="D933" s="14" t="n">
        <v>6.9</v>
      </c>
      <c r="E933" s="14">
        <f>IF(D933="","",D933*'参数与说明'!$B$6/27.2155)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35400</v>
      </c>
      <c r="B934" s="17" t="n">
        <v>1996</v>
      </c>
      <c r="C934" s="17" t="n">
        <v>12</v>
      </c>
      <c r="D934" s="18" t="n">
        <v>6.91</v>
      </c>
      <c r="E934" s="18">
        <f>IF(D934="","",D934*'参数与说明'!$B$6/27.2155)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35431</v>
      </c>
      <c r="B935" s="13" t="n">
        <v>1997</v>
      </c>
      <c r="C935" s="13" t="n">
        <v>1</v>
      </c>
      <c r="D935" s="14" t="n">
        <v>7.13</v>
      </c>
      <c r="E935" s="14">
        <f>IF(D935="","",D935*'参数与说明'!$B$6/27.2155)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35462</v>
      </c>
      <c r="B936" s="17" t="n">
        <v>1997</v>
      </c>
      <c r="C936" s="17" t="n">
        <v>2</v>
      </c>
      <c r="D936" s="18" t="n">
        <v>7.38</v>
      </c>
      <c r="E936" s="18">
        <f>IF(D936="","",D936*'参数与说明'!$B$6/27.2155)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35490</v>
      </c>
      <c r="B937" s="13" t="n">
        <v>1997</v>
      </c>
      <c r="C937" s="13" t="n">
        <v>3</v>
      </c>
      <c r="D937" s="14" t="n">
        <v>7.97</v>
      </c>
      <c r="E937" s="14">
        <f>IF(D937="","",D937*'参数与说明'!$B$6/27.2155)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35521</v>
      </c>
      <c r="B938" s="17" t="n">
        <v>1997</v>
      </c>
      <c r="C938" s="17" t="n">
        <v>4</v>
      </c>
      <c r="D938" s="18" t="n">
        <v>8.23</v>
      </c>
      <c r="E938" s="18">
        <f>IF(D938="","",D938*'参数与说明'!$B$6/27.2155)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35551</v>
      </c>
      <c r="B939" s="13" t="n">
        <v>1997</v>
      </c>
      <c r="C939" s="13" t="n">
        <v>5</v>
      </c>
      <c r="D939" s="14" t="n">
        <v>8.4</v>
      </c>
      <c r="E939" s="14">
        <f>IF(D939="","",D939*'参数与说明'!$B$6/27.2155)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35582</v>
      </c>
      <c r="B940" s="17" t="n">
        <v>1997</v>
      </c>
      <c r="C940" s="17" t="n">
        <v>6</v>
      </c>
      <c r="D940" s="18" t="n">
        <v>8.16</v>
      </c>
      <c r="E940" s="18">
        <f>IF(D940="","",D940*'参数与说明'!$B$6/27.2155)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35612</v>
      </c>
      <c r="B941" s="13" t="n">
        <v>1997</v>
      </c>
      <c r="C941" s="13" t="n">
        <v>7</v>
      </c>
      <c r="D941" s="14" t="n">
        <v>7.52</v>
      </c>
      <c r="E941" s="14">
        <f>IF(D941="","",D941*'参数与说明'!$B$6/27.2155)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35643</v>
      </c>
      <c r="B942" s="17" t="n">
        <v>1997</v>
      </c>
      <c r="C942" s="17" t="n">
        <v>8</v>
      </c>
      <c r="D942" s="18" t="n">
        <v>7.25</v>
      </c>
      <c r="E942" s="18">
        <f>IF(D942="","",D942*'参数与说明'!$B$6/27.2155)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35674</v>
      </c>
      <c r="B943" s="13" t="n">
        <v>1997</v>
      </c>
      <c r="C943" s="13" t="n">
        <v>9</v>
      </c>
      <c r="D943" s="14" t="n">
        <v>6.72</v>
      </c>
      <c r="E943" s="14">
        <f>IF(D943="","",D943*'参数与说明'!$B$6/27.2155)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35704</v>
      </c>
      <c r="B944" s="17" t="n">
        <v>1997</v>
      </c>
      <c r="C944" s="17" t="n">
        <v>10</v>
      </c>
      <c r="D944" s="18" t="n">
        <v>6.49</v>
      </c>
      <c r="E944" s="18">
        <f>IF(D944="","",D944*'参数与说明'!$B$6/27.2155)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35735</v>
      </c>
      <c r="B945" s="13" t="n">
        <v>1997</v>
      </c>
      <c r="C945" s="13" t="n">
        <v>11</v>
      </c>
      <c r="D945" s="14" t="n">
        <v>6.86</v>
      </c>
      <c r="E945" s="14">
        <f>IF(D945="","",D945*'参数与说明'!$B$6/27.2155)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35765</v>
      </c>
      <c r="B946" s="17" t="n">
        <v>1997</v>
      </c>
      <c r="C946" s="17" t="n">
        <v>12</v>
      </c>
      <c r="D946" s="18" t="n">
        <v>6.72</v>
      </c>
      <c r="E946" s="18">
        <f>IF(D946="","",D946*'参数与说明'!$B$6/27.2155)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35796</v>
      </c>
      <c r="B947" s="13" t="n">
        <v>1998</v>
      </c>
      <c r="C947" s="13" t="n">
        <v>1</v>
      </c>
      <c r="D947" s="14" t="n">
        <v>6.69</v>
      </c>
      <c r="E947" s="14">
        <f>IF(D947="","",D947*'参数与说明'!$B$6/27.2155)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35827</v>
      </c>
      <c r="B948" s="17" t="n">
        <v>1998</v>
      </c>
      <c r="C948" s="17" t="n">
        <v>2</v>
      </c>
      <c r="D948" s="18" t="n">
        <v>6.57</v>
      </c>
      <c r="E948" s="18">
        <f>IF(D948="","",D948*'参数与说明'!$B$6/27.2155)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35855</v>
      </c>
      <c r="B949" s="13" t="n">
        <v>1998</v>
      </c>
      <c r="C949" s="13" t="n">
        <v>3</v>
      </c>
      <c r="D949" s="14" t="n">
        <v>6.4</v>
      </c>
      <c r="E949" s="14">
        <f>IF(D949="","",D949*'参数与说明'!$B$6/27.2155)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35886</v>
      </c>
      <c r="B950" s="17" t="n">
        <v>1998</v>
      </c>
      <c r="C950" s="17" t="n">
        <v>4</v>
      </c>
      <c r="D950" s="18" t="n">
        <v>6.26</v>
      </c>
      <c r="E950" s="18">
        <f>IF(D950="","",D950*'参数与说明'!$B$6/27.2155)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35916</v>
      </c>
      <c r="B951" s="13" t="n">
        <v>1998</v>
      </c>
      <c r="C951" s="13" t="n">
        <v>5</v>
      </c>
      <c r="D951" s="14" t="n">
        <v>6.26</v>
      </c>
      <c r="E951" s="14">
        <f>IF(D951="","",D951*'参数与说明'!$B$6/27.2155)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35947</v>
      </c>
      <c r="B952" s="17" t="n">
        <v>1998</v>
      </c>
      <c r="C952" s="17" t="n">
        <v>6</v>
      </c>
      <c r="D952" s="18" t="n">
        <v>6.16</v>
      </c>
      <c r="E952" s="18">
        <f>IF(D952="","",D952*'参数与说明'!$B$6/27.2155)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35977</v>
      </c>
      <c r="B953" s="13" t="n">
        <v>1998</v>
      </c>
      <c r="C953" s="13" t="n">
        <v>7</v>
      </c>
      <c r="D953" s="14" t="n">
        <v>6.14</v>
      </c>
      <c r="E953" s="14">
        <f>IF(D953="","",D953*'参数与说明'!$B$6/27.2155)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36008</v>
      </c>
      <c r="B954" s="17" t="n">
        <v>1998</v>
      </c>
      <c r="C954" s="17" t="n">
        <v>8</v>
      </c>
      <c r="D954" s="18" t="n">
        <v>5.43</v>
      </c>
      <c r="E954" s="18">
        <f>IF(D954="","",D954*'参数与说明'!$B$6/27.2155)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36039</v>
      </c>
      <c r="B955" s="13" t="n">
        <v>1998</v>
      </c>
      <c r="C955" s="13" t="n">
        <v>9</v>
      </c>
      <c r="D955" s="14" t="n">
        <v>5.25</v>
      </c>
      <c r="E955" s="14">
        <f>IF(D955="","",D955*'参数与说明'!$B$6/27.2155)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36069</v>
      </c>
      <c r="B956" s="17" t="n">
        <v>1998</v>
      </c>
      <c r="C956" s="17" t="n">
        <v>10</v>
      </c>
      <c r="D956" s="18" t="n">
        <v>5.18</v>
      </c>
      <c r="E956" s="18">
        <f>IF(D956="","",D956*'参数与说明'!$B$6/27.2155)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36100</v>
      </c>
      <c r="B957" s="13" t="n">
        <v>1998</v>
      </c>
      <c r="C957" s="13" t="n">
        <v>11</v>
      </c>
      <c r="D957" s="14" t="n">
        <v>5.39</v>
      </c>
      <c r="E957" s="14">
        <f>IF(D957="","",D957*'参数与说明'!$B$6/27.2155)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36130</v>
      </c>
      <c r="B958" s="17" t="n">
        <v>1998</v>
      </c>
      <c r="C958" s="17" t="n">
        <v>12</v>
      </c>
      <c r="D958" s="18" t="n">
        <v>5.37</v>
      </c>
      <c r="E958" s="18">
        <f>IF(D958="","",D958*'参数与说明'!$B$6/27.2155)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36161</v>
      </c>
      <c r="B959" s="13" t="n">
        <v>1999</v>
      </c>
      <c r="C959" s="13" t="n">
        <v>1</v>
      </c>
      <c r="D959" s="14" t="n">
        <v>5.32</v>
      </c>
      <c r="E959" s="14">
        <f>IF(D959="","",D959*'参数与说明'!$B$6/27.2155)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36192</v>
      </c>
      <c r="B960" s="17" t="n">
        <v>1999</v>
      </c>
      <c r="C960" s="17" t="n">
        <v>2</v>
      </c>
      <c r="D960" s="18" t="n">
        <v>4.8</v>
      </c>
      <c r="E960" s="18">
        <f>IF(D960="","",D960*'参数与说明'!$B$6/27.2155)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36220</v>
      </c>
      <c r="B961" s="13" t="n">
        <v>1999</v>
      </c>
      <c r="C961" s="13" t="n">
        <v>3</v>
      </c>
      <c r="D961" s="14" t="n">
        <v>4.61</v>
      </c>
      <c r="E961" s="14">
        <f>IF(D961="","",D961*'参数与说明'!$B$6/27.2155)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36251</v>
      </c>
      <c r="B962" s="17" t="n">
        <v>1999</v>
      </c>
      <c r="C962" s="17" t="n">
        <v>4</v>
      </c>
      <c r="D962" s="18" t="n">
        <v>4.63</v>
      </c>
      <c r="E962" s="18">
        <f>IF(D962="","",D962*'参数与说明'!$B$6/27.2155)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36281</v>
      </c>
      <c r="B963" s="13" t="n">
        <v>1999</v>
      </c>
      <c r="C963" s="13" t="n">
        <v>5</v>
      </c>
      <c r="D963" s="14" t="n">
        <v>4.5</v>
      </c>
      <c r="E963" s="14">
        <f>IF(D963="","",D963*'参数与说明'!$B$6/27.2155)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36312</v>
      </c>
      <c r="B964" s="17" t="n">
        <v>1999</v>
      </c>
      <c r="C964" s="17" t="n">
        <v>6</v>
      </c>
      <c r="D964" s="18" t="n">
        <v>4.44</v>
      </c>
      <c r="E964" s="18">
        <f>IF(D964="","",D964*'参数与说明'!$B$6/27.2155)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36342</v>
      </c>
      <c r="B965" s="13" t="n">
        <v>1999</v>
      </c>
      <c r="C965" s="13" t="n">
        <v>7</v>
      </c>
      <c r="D965" s="14" t="n">
        <v>4.19</v>
      </c>
      <c r="E965" s="14">
        <f>IF(D965="","",D965*'参数与说明'!$B$6/27.2155)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36373</v>
      </c>
      <c r="B966" s="17" t="n">
        <v>1999</v>
      </c>
      <c r="C966" s="17" t="n">
        <v>8</v>
      </c>
      <c r="D966" s="18" t="n">
        <v>4.39</v>
      </c>
      <c r="E966" s="18">
        <f>IF(D966="","",D966*'参数与说明'!$B$6/27.2155)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36404</v>
      </c>
      <c r="B967" s="13" t="n">
        <v>1999</v>
      </c>
      <c r="C967" s="13" t="n">
        <v>9</v>
      </c>
      <c r="D967" s="14" t="n">
        <v>4.57</v>
      </c>
      <c r="E967" s="14">
        <f>IF(D967="","",D967*'参数与说明'!$B$6/27.2155)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36434</v>
      </c>
      <c r="B968" s="17" t="n">
        <v>1999</v>
      </c>
      <c r="C968" s="17" t="n">
        <v>10</v>
      </c>
      <c r="D968" s="18" t="n">
        <v>4.48</v>
      </c>
      <c r="E968" s="18">
        <f>IF(D968="","",D968*'参数与说明'!$B$6/27.2155)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36465</v>
      </c>
      <c r="B969" s="13" t="n">
        <v>1999</v>
      </c>
      <c r="C969" s="13" t="n">
        <v>11</v>
      </c>
      <c r="D969" s="14" t="n">
        <v>4.45</v>
      </c>
      <c r="E969" s="14">
        <f>IF(D969="","",D969*'参数与说明'!$B$6/27.2155)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36495</v>
      </c>
      <c r="B970" s="17" t="n">
        <v>1999</v>
      </c>
      <c r="C970" s="17" t="n">
        <v>12</v>
      </c>
      <c r="D970" s="18" t="n">
        <v>4.43</v>
      </c>
      <c r="E970" s="18">
        <f>IF(D970="","",D970*'参数与说明'!$B$6/27.2155)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36526</v>
      </c>
      <c r="B971" s="13" t="n">
        <v>2000</v>
      </c>
      <c r="C971" s="13" t="n">
        <v>1</v>
      </c>
      <c r="D971" s="14" t="n">
        <v>4.62</v>
      </c>
      <c r="E971" s="14">
        <f>IF(D971="","",D971*'参数与说明'!$B$6/27.2155)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36557</v>
      </c>
      <c r="B972" s="17" t="n">
        <v>2000</v>
      </c>
      <c r="C972" s="17" t="n">
        <v>2</v>
      </c>
      <c r="D972" s="18" t="n">
        <v>4.79</v>
      </c>
      <c r="E972" s="18">
        <f>IF(D972="","",D972*'参数与说明'!$B$6/27.2155)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36586</v>
      </c>
      <c r="B973" s="13" t="n">
        <v>2000</v>
      </c>
      <c r="C973" s="13" t="n">
        <v>3</v>
      </c>
      <c r="D973" s="14" t="n">
        <v>4.91</v>
      </c>
      <c r="E973" s="14">
        <f>IF(D973="","",D973*'参数与说明'!$B$6/27.2155)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36617</v>
      </c>
      <c r="B974" s="17" t="n">
        <v>2000</v>
      </c>
      <c r="C974" s="17" t="n">
        <v>4</v>
      </c>
      <c r="D974" s="18" t="n">
        <v>5</v>
      </c>
      <c r="E974" s="18">
        <f>IF(D974="","",D974*'参数与说明'!$B$6/27.2155)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36647</v>
      </c>
      <c r="B975" s="13" t="n">
        <v>2000</v>
      </c>
      <c r="C975" s="13" t="n">
        <v>5</v>
      </c>
      <c r="D975" s="14" t="n">
        <v>5.19</v>
      </c>
      <c r="E975" s="14">
        <f>IF(D975="","",D975*'参数与说明'!$B$6/27.2155)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36678</v>
      </c>
      <c r="B976" s="17" t="n">
        <v>2000</v>
      </c>
      <c r="C976" s="17" t="n">
        <v>6</v>
      </c>
      <c r="D976" s="18" t="n">
        <v>4.93</v>
      </c>
      <c r="E976" s="18">
        <f>IF(D976="","",D976*'参数与说明'!$B$6/27.2155)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36708</v>
      </c>
      <c r="B977" s="13" t="n">
        <v>2000</v>
      </c>
      <c r="C977" s="13" t="n">
        <v>7</v>
      </c>
      <c r="D977" s="14" t="n">
        <v>4.53</v>
      </c>
      <c r="E977" s="14">
        <f>IF(D977="","",D977*'参数与说明'!$B$6/27.2155)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36739</v>
      </c>
      <c r="B978" s="17" t="n">
        <v>2000</v>
      </c>
      <c r="C978" s="17" t="n">
        <v>8</v>
      </c>
      <c r="D978" s="18" t="n">
        <v>4.45</v>
      </c>
      <c r="E978" s="18">
        <f>IF(D978="","",D978*'参数与说明'!$B$6/27.2155)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36770</v>
      </c>
      <c r="B979" s="13" t="n">
        <v>2000</v>
      </c>
      <c r="C979" s="13" t="n">
        <v>9</v>
      </c>
      <c r="D979" s="14" t="n">
        <v>4.59</v>
      </c>
      <c r="E979" s="14">
        <f>IF(D979="","",D979*'参数与说明'!$B$6/27.2155)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36800</v>
      </c>
      <c r="B980" s="17" t="n">
        <v>2000</v>
      </c>
      <c r="C980" s="17" t="n">
        <v>10</v>
      </c>
      <c r="D980" s="18" t="n">
        <v>4.45</v>
      </c>
      <c r="E980" s="18">
        <f>IF(D980="","",D980*'参数与说明'!$B$6/27.2155)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36831</v>
      </c>
      <c r="B981" s="13" t="n">
        <v>2000</v>
      </c>
      <c r="C981" s="13" t="n">
        <v>11</v>
      </c>
      <c r="D981" s="14" t="n">
        <v>4.55</v>
      </c>
      <c r="E981" s="14">
        <f>IF(D981="","",D981*'参数与说明'!$B$6/27.2155)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36861</v>
      </c>
      <c r="B982" s="17" t="n">
        <v>2000</v>
      </c>
      <c r="C982" s="17" t="n">
        <v>12</v>
      </c>
      <c r="D982" s="18" t="n">
        <v>4.78</v>
      </c>
      <c r="E982" s="18">
        <f>IF(D982="","",D982*'参数与说明'!$B$6/27.2155)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36892</v>
      </c>
      <c r="B983" s="13" t="n">
        <v>2001</v>
      </c>
      <c r="C983" s="13" t="n">
        <v>1</v>
      </c>
      <c r="D983" s="14" t="n">
        <v>4.68</v>
      </c>
      <c r="E983" s="14">
        <f>IF(D983="","",D983*'参数与说明'!$B$6/27.2155)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36923</v>
      </c>
      <c r="B984" s="17" t="n">
        <v>2001</v>
      </c>
      <c r="C984" s="17" t="n">
        <v>2</v>
      </c>
      <c r="D984" s="18" t="n">
        <v>4.46</v>
      </c>
      <c r="E984" s="18">
        <f>IF(D984="","",D984*'参数与说明'!$B$6/27.2155)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36951</v>
      </c>
      <c r="B985" s="13" t="n">
        <v>2001</v>
      </c>
      <c r="C985" s="13" t="n">
        <v>3</v>
      </c>
      <c r="D985" s="14" t="n">
        <v>4.39</v>
      </c>
      <c r="E985" s="14">
        <f>IF(D985="","",D985*'参数与说明'!$B$6/27.2155)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36982</v>
      </c>
      <c r="B986" s="17" t="n">
        <v>2001</v>
      </c>
      <c r="C986" s="17" t="n">
        <v>4</v>
      </c>
      <c r="D986" s="18" t="n">
        <v>4.22</v>
      </c>
      <c r="E986" s="18">
        <f>IF(D986="","",D986*'参数与说明'!$B$6/27.2155)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37012</v>
      </c>
      <c r="B987" s="13" t="n">
        <v>2001</v>
      </c>
      <c r="C987" s="13" t="n">
        <v>5</v>
      </c>
      <c r="D987" s="14" t="n">
        <v>4.33</v>
      </c>
      <c r="E987" s="14">
        <f>IF(D987="","",D987*'参数与说明'!$B$6/27.2155)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37043</v>
      </c>
      <c r="B988" s="17" t="n">
        <v>2001</v>
      </c>
      <c r="C988" s="17" t="n">
        <v>6</v>
      </c>
      <c r="D988" s="18" t="n">
        <v>4.46</v>
      </c>
      <c r="E988" s="18">
        <f>IF(D988="","",D988*'参数与说明'!$B$6/27.2155)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37073</v>
      </c>
      <c r="B989" s="13" t="n">
        <v>2001</v>
      </c>
      <c r="C989" s="13" t="n">
        <v>7</v>
      </c>
      <c r="D989" s="14" t="n">
        <v>4.79</v>
      </c>
      <c r="E989" s="14">
        <f>IF(D989="","",D989*'参数与说明'!$B$6/27.2155)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37104</v>
      </c>
      <c r="B990" s="17" t="n">
        <v>2001</v>
      </c>
      <c r="C990" s="17" t="n">
        <v>8</v>
      </c>
      <c r="D990" s="18" t="n">
        <v>4.85</v>
      </c>
      <c r="E990" s="18">
        <f>IF(D990="","",D990*'参数与说明'!$B$6/27.2155)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37135</v>
      </c>
      <c r="B991" s="13" t="n">
        <v>2001</v>
      </c>
      <c r="C991" s="13" t="n">
        <v>9</v>
      </c>
      <c r="D991" s="14" t="n">
        <v>4.53</v>
      </c>
      <c r="E991" s="14">
        <f>IF(D991="","",D991*'参数与说明'!$B$6/27.2155)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37165</v>
      </c>
      <c r="B992" s="17" t="n">
        <v>2001</v>
      </c>
      <c r="C992" s="17" t="n">
        <v>10</v>
      </c>
      <c r="D992" s="18" t="n">
        <v>4.09</v>
      </c>
      <c r="E992" s="18">
        <f>IF(D992="","",D992*'参数与说明'!$B$6/27.2155)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37196</v>
      </c>
      <c r="B993" s="13" t="n">
        <v>2001</v>
      </c>
      <c r="C993" s="13" t="n">
        <v>11</v>
      </c>
      <c r="D993" s="14" t="n">
        <v>4.16</v>
      </c>
      <c r="E993" s="14">
        <f>IF(D993="","",D993*'参数与说明'!$B$6/27.2155)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37226</v>
      </c>
      <c r="B994" s="17" t="n">
        <v>2001</v>
      </c>
      <c r="C994" s="17" t="n">
        <v>12</v>
      </c>
      <c r="D994" s="18" t="n">
        <v>4.2</v>
      </c>
      <c r="E994" s="18">
        <f>IF(D994="","",D994*'参数与说明'!$B$6/27.2155)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37257</v>
      </c>
      <c r="B995" s="13" t="n">
        <v>2002</v>
      </c>
      <c r="C995" s="13" t="n">
        <v>1</v>
      </c>
      <c r="D995" s="14" t="n">
        <v>4.22</v>
      </c>
      <c r="E995" s="14">
        <f>IF(D995="","",D995*'参数与说明'!$B$6/27.2155)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37288</v>
      </c>
      <c r="B996" s="17" t="n">
        <v>2002</v>
      </c>
      <c r="C996" s="17" t="n">
        <v>2</v>
      </c>
      <c r="D996" s="18" t="n">
        <v>4.22</v>
      </c>
      <c r="E996" s="18">
        <f>IF(D996="","",D996*'参数与说明'!$B$6/27.2155)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37316</v>
      </c>
      <c r="B997" s="13" t="n">
        <v>2002</v>
      </c>
      <c r="C997" s="13" t="n">
        <v>3</v>
      </c>
      <c r="D997" s="14" t="n">
        <v>4.38</v>
      </c>
      <c r="E997" s="14">
        <f>IF(D997="","",D997*'参数与说明'!$B$6/27.2155)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37347</v>
      </c>
      <c r="B998" s="17" t="n">
        <v>2002</v>
      </c>
      <c r="C998" s="17" t="n">
        <v>4</v>
      </c>
      <c r="D998" s="18" t="n">
        <v>4.47</v>
      </c>
      <c r="E998" s="18">
        <f>IF(D998="","",D998*'参数与说明'!$B$6/27.2155)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37377</v>
      </c>
      <c r="B999" s="13" t="n">
        <v>2002</v>
      </c>
      <c r="C999" s="13" t="n">
        <v>5</v>
      </c>
      <c r="D999" s="14" t="n">
        <v>4.64</v>
      </c>
      <c r="E999" s="14">
        <f>IF(D999="","",D999*'参数与说明'!$B$6/27.2155)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37408</v>
      </c>
      <c r="B1000" s="17" t="n">
        <v>2002</v>
      </c>
      <c r="C1000" s="17" t="n">
        <v>6</v>
      </c>
      <c r="D1000" s="18" t="n">
        <v>4.88</v>
      </c>
      <c r="E1000" s="18">
        <f>IF(D1000="","",D1000*'参数与说明'!$B$6/27.2155)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37438</v>
      </c>
      <c r="B1001" s="13" t="n">
        <v>2002</v>
      </c>
      <c r="C1001" s="13" t="n">
        <v>7</v>
      </c>
      <c r="D1001" s="14" t="n">
        <v>5.35</v>
      </c>
      <c r="E1001" s="14">
        <f>IF(D1001="","",D1001*'参数与说明'!$B$6/27.2155)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37469</v>
      </c>
      <c r="B1002" s="17" t="n">
        <v>2002</v>
      </c>
      <c r="C1002" s="17" t="n">
        <v>8</v>
      </c>
      <c r="D1002" s="18" t="n">
        <v>5.53</v>
      </c>
      <c r="E1002" s="18">
        <f>IF(D1002="","",D1002*'参数与说明'!$B$6/27.2155)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37500</v>
      </c>
      <c r="B1003" s="13" t="n">
        <v>2002</v>
      </c>
      <c r="C1003" s="13" t="n">
        <v>9</v>
      </c>
      <c r="D1003" s="14" t="n">
        <v>5.39</v>
      </c>
      <c r="E1003" s="14">
        <f>IF(D1003="","",D1003*'参数与说明'!$B$6/27.2155)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37530</v>
      </c>
      <c r="B1004" s="17" t="n">
        <v>2002</v>
      </c>
      <c r="C1004" s="17" t="n">
        <v>10</v>
      </c>
      <c r="D1004" s="18" t="n">
        <v>5.2</v>
      </c>
      <c r="E1004" s="18">
        <f>IF(D1004="","",D1004*'参数与说明'!$B$6/27.2155)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37561</v>
      </c>
      <c r="B1005" s="13" t="n">
        <v>2002</v>
      </c>
      <c r="C1005" s="13" t="n">
        <v>11</v>
      </c>
      <c r="D1005" s="14" t="n">
        <v>5.46</v>
      </c>
      <c r="E1005" s="14">
        <f>IF(D1005="","",D1005*'参数与说明'!$B$6/27.2155)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37591</v>
      </c>
      <c r="B1006" s="17" t="n">
        <v>2002</v>
      </c>
      <c r="C1006" s="17" t="n">
        <v>12</v>
      </c>
      <c r="D1006" s="18" t="n">
        <v>5.46</v>
      </c>
      <c r="E1006" s="18">
        <f>IF(D1006="","",D1006*'参数与说明'!$B$6/27.2155)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37622</v>
      </c>
      <c r="B1007" s="13" t="n">
        <v>2003</v>
      </c>
      <c r="C1007" s="13" t="n">
        <v>1</v>
      </c>
      <c r="D1007" s="14" t="n">
        <v>5.51</v>
      </c>
      <c r="E1007" s="14">
        <f>IF(D1007="","",D1007*'参数与说明'!$B$6/27.2155)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37653</v>
      </c>
      <c r="B1008" s="17" t="n">
        <v>2003</v>
      </c>
      <c r="C1008" s="17" t="n">
        <v>2</v>
      </c>
      <c r="D1008" s="18" t="n">
        <v>5.55</v>
      </c>
      <c r="E1008" s="18">
        <f>IF(D1008="","",D1008*'参数与说明'!$B$6/27.2155)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37681</v>
      </c>
      <c r="B1009" s="13" t="n">
        <v>2003</v>
      </c>
      <c r="C1009" s="13" t="n">
        <v>3</v>
      </c>
      <c r="D1009" s="14" t="n">
        <v>5.59</v>
      </c>
      <c r="E1009" s="14">
        <f>IF(D1009="","",D1009*'参数与说明'!$B$6/27.2155)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37712</v>
      </c>
      <c r="B1010" s="17" t="n">
        <v>2003</v>
      </c>
      <c r="C1010" s="17" t="n">
        <v>4</v>
      </c>
      <c r="D1010" s="18" t="n">
        <v>5.82</v>
      </c>
      <c r="E1010" s="18">
        <f>IF(D1010="","",D1010*'参数与说明'!$B$6/27.2155)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37742</v>
      </c>
      <c r="B1011" s="13" t="n">
        <v>2003</v>
      </c>
      <c r="C1011" s="13" t="n">
        <v>5</v>
      </c>
      <c r="D1011" s="14" t="n">
        <v>6.07</v>
      </c>
      <c r="E1011" s="14">
        <f>IF(D1011="","",D1011*'参数与说明'!$B$6/27.2155)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37773</v>
      </c>
      <c r="B1012" s="17" t="n">
        <v>2003</v>
      </c>
      <c r="C1012" s="17" t="n">
        <v>6</v>
      </c>
      <c r="D1012" s="18" t="n">
        <v>6.09</v>
      </c>
      <c r="E1012" s="18">
        <f>IF(D1012="","",D1012*'参数与说明'!$B$6/27.2155)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37803</v>
      </c>
      <c r="B1013" s="13" t="n">
        <v>2003</v>
      </c>
      <c r="C1013" s="13" t="n">
        <v>7</v>
      </c>
      <c r="D1013" s="14" t="n">
        <v>5.82</v>
      </c>
      <c r="E1013" s="14">
        <f>IF(D1013="","",D1013*'参数与说明'!$B$6/27.2155)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37834</v>
      </c>
      <c r="B1014" s="17" t="n">
        <v>2003</v>
      </c>
      <c r="C1014" s="17" t="n">
        <v>8</v>
      </c>
      <c r="D1014" s="18" t="n">
        <v>5.68</v>
      </c>
      <c r="E1014" s="18">
        <f>IF(D1014="","",D1014*'参数与说明'!$B$6/27.2155)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37865</v>
      </c>
      <c r="B1015" s="13" t="n">
        <v>2003</v>
      </c>
      <c r="C1015" s="13" t="n">
        <v>9</v>
      </c>
      <c r="D1015" s="14" t="n">
        <v>6.06</v>
      </c>
      <c r="E1015" s="14">
        <f>IF(D1015="","",D1015*'参数与说明'!$B$6/27.2155)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37895</v>
      </c>
      <c r="B1016" s="17" t="n">
        <v>2003</v>
      </c>
      <c r="C1016" s="17" t="n">
        <v>10</v>
      </c>
      <c r="D1016" s="18" t="n">
        <v>6.6</v>
      </c>
      <c r="E1016" s="18">
        <f>IF(D1016="","",D1016*'参数与说明'!$B$6/27.2155)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37926</v>
      </c>
      <c r="B1017" s="13" t="n">
        <v>2003</v>
      </c>
      <c r="C1017" s="13" t="n">
        <v>11</v>
      </c>
      <c r="D1017" s="14" t="n">
        <v>7.05</v>
      </c>
      <c r="E1017" s="14">
        <f>IF(D1017="","",D1017*'参数与说明'!$B$6/27.2155)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37956</v>
      </c>
      <c r="B1018" s="17" t="n">
        <v>2003</v>
      </c>
      <c r="C1018" s="17" t="n">
        <v>12</v>
      </c>
      <c r="D1018" s="18" t="n">
        <v>7.17</v>
      </c>
      <c r="E1018" s="18">
        <f>IF(D1018="","",D1018*'参数与说明'!$B$6/27.2155)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37987</v>
      </c>
      <c r="B1019" s="13" t="n">
        <v>2004</v>
      </c>
      <c r="C1019" s="13" t="n">
        <v>1</v>
      </c>
      <c r="D1019" s="14" t="n">
        <v>7.35</v>
      </c>
      <c r="E1019" s="14">
        <f>IF(D1019="","",D1019*'参数与说明'!$B$6/27.2155)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38018</v>
      </c>
      <c r="B1020" s="17" t="n">
        <v>2004</v>
      </c>
      <c r="C1020" s="17" t="n">
        <v>2</v>
      </c>
      <c r="D1020" s="18" t="n">
        <v>8.279999999999999</v>
      </c>
      <c r="E1020" s="18">
        <f>IF(D1020="","",D1020*'参数与说明'!$B$6/27.2155)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38047</v>
      </c>
      <c r="B1021" s="13" t="n">
        <v>2004</v>
      </c>
      <c r="C1021" s="13" t="n">
        <v>3</v>
      </c>
      <c r="D1021" s="14" t="n">
        <v>9.279999999999999</v>
      </c>
      <c r="E1021" s="14">
        <f>IF(D1021="","",D1021*'参数与说明'!$B$6/27.2155)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38078</v>
      </c>
      <c r="B1022" s="17" t="n">
        <v>2004</v>
      </c>
      <c r="C1022" s="17" t="n">
        <v>4</v>
      </c>
      <c r="D1022" s="18" t="n">
        <v>9.619999999999999</v>
      </c>
      <c r="E1022" s="18">
        <f>IF(D1022="","",D1022*'参数与说明'!$B$6/27.2155)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38108</v>
      </c>
      <c r="B1023" s="13" t="n">
        <v>2004</v>
      </c>
      <c r="C1023" s="13" t="n">
        <v>5</v>
      </c>
      <c r="D1023" s="14" t="n">
        <v>9.56</v>
      </c>
      <c r="E1023" s="14">
        <f>IF(D1023="","",D1023*'参数与说明'!$B$6/27.2155)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38139</v>
      </c>
      <c r="B1024" s="17" t="n">
        <v>2004</v>
      </c>
      <c r="C1024" s="17" t="n">
        <v>6</v>
      </c>
      <c r="D1024" s="18" t="n">
        <v>9.08</v>
      </c>
      <c r="E1024" s="18">
        <f>IF(D1024="","",D1024*'参数与说明'!$B$6/27.2155)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38169</v>
      </c>
      <c r="B1025" s="13" t="n">
        <v>2004</v>
      </c>
      <c r="C1025" s="13" t="n">
        <v>7</v>
      </c>
      <c r="D1025" s="14" t="n">
        <v>8.460000000000001</v>
      </c>
      <c r="E1025" s="14">
        <f>IF(D1025="","",D1025*'参数与说明'!$B$6/27.2155)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38200</v>
      </c>
      <c r="B1026" s="17" t="n">
        <v>2004</v>
      </c>
      <c r="C1026" s="17" t="n">
        <v>8</v>
      </c>
      <c r="D1026" s="18" t="n">
        <v>6.83</v>
      </c>
      <c r="E1026" s="18">
        <f>IF(D1026="","",D1026*'参数与说明'!$B$6/27.2155)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38231</v>
      </c>
      <c r="B1027" s="13" t="n">
        <v>2004</v>
      </c>
      <c r="C1027" s="13" t="n">
        <v>9</v>
      </c>
      <c r="D1027" s="14" t="n">
        <v>5.83</v>
      </c>
      <c r="E1027" s="14">
        <f>IF(D1027="","",D1027*'参数与说明'!$B$6/27.2155)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38261</v>
      </c>
      <c r="B1028" s="17" t="n">
        <v>2004</v>
      </c>
      <c r="C1028" s="17" t="n">
        <v>10</v>
      </c>
      <c r="D1028" s="18" t="n">
        <v>5.56</v>
      </c>
      <c r="E1028" s="18">
        <f>IF(D1028="","",D1028*'参数与说明'!$B$6/27.2155)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38292</v>
      </c>
      <c r="B1029" s="13" t="n">
        <v>2004</v>
      </c>
      <c r="C1029" s="13" t="n">
        <v>11</v>
      </c>
      <c r="D1029" s="14" t="n">
        <v>5.36</v>
      </c>
      <c r="E1029" s="14">
        <f>IF(D1029="","",D1029*'参数与说明'!$B$6/27.2155)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38322</v>
      </c>
      <c r="B1030" s="17" t="n">
        <v>2004</v>
      </c>
      <c r="C1030" s="17" t="n">
        <v>12</v>
      </c>
      <c r="D1030" s="18" t="n">
        <v>5.45</v>
      </c>
      <c r="E1030" s="18">
        <f>IF(D1030="","",D1030*'参数与说明'!$B$6/27.2155)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38353</v>
      </c>
      <c r="B1031" s="13" t="n">
        <v>2005</v>
      </c>
      <c r="C1031" s="13" t="n">
        <v>1</v>
      </c>
      <c r="D1031" s="14" t="n">
        <v>5.57</v>
      </c>
      <c r="E1031" s="14">
        <f>IF(D1031="","",D1031*'参数与说明'!$B$6/27.2155)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38384</v>
      </c>
      <c r="B1032" s="17" t="n">
        <v>2005</v>
      </c>
      <c r="C1032" s="17" t="n">
        <v>2</v>
      </c>
      <c r="D1032" s="18" t="n">
        <v>5.42</v>
      </c>
      <c r="E1032" s="18">
        <f>IF(D1032="","",D1032*'参数与说明'!$B$6/27.2155)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38412</v>
      </c>
      <c r="B1033" s="13" t="n">
        <v>2005</v>
      </c>
      <c r="C1033" s="13" t="n">
        <v>3</v>
      </c>
      <c r="D1033" s="14" t="n">
        <v>5.95</v>
      </c>
      <c r="E1033" s="14">
        <f>IF(D1033="","",D1033*'参数与说明'!$B$6/27.2155)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38443</v>
      </c>
      <c r="B1034" s="17" t="n">
        <v>2005</v>
      </c>
      <c r="C1034" s="17" t="n">
        <v>4</v>
      </c>
      <c r="D1034" s="18" t="n">
        <v>6.03</v>
      </c>
      <c r="E1034" s="18">
        <f>IF(D1034="","",D1034*'参数与说明'!$B$6/27.2155)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38473</v>
      </c>
      <c r="B1035" s="13" t="n">
        <v>2005</v>
      </c>
      <c r="C1035" s="13" t="n">
        <v>5</v>
      </c>
      <c r="D1035" s="14" t="n">
        <v>6.21</v>
      </c>
      <c r="E1035" s="14">
        <f>IF(D1035="","",D1035*'参数与说明'!$B$6/27.2155)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38504</v>
      </c>
      <c r="B1036" s="17" t="n">
        <v>2005</v>
      </c>
      <c r="C1036" s="17" t="n">
        <v>6</v>
      </c>
      <c r="D1036" s="18" t="n">
        <v>6.58</v>
      </c>
      <c r="E1036" s="18">
        <f>IF(D1036="","",D1036*'参数与说明'!$B$6/27.2155)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38534</v>
      </c>
      <c r="B1037" s="13" t="n">
        <v>2005</v>
      </c>
      <c r="C1037" s="13" t="n">
        <v>7</v>
      </c>
      <c r="D1037" s="14" t="n">
        <v>6.65</v>
      </c>
      <c r="E1037" s="14">
        <f>IF(D1037="","",D1037*'参数与说明'!$B$6/27.2155)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38565</v>
      </c>
      <c r="B1038" s="17" t="n">
        <v>2005</v>
      </c>
      <c r="C1038" s="17" t="n">
        <v>8</v>
      </c>
      <c r="D1038" s="18" t="n">
        <v>6.15</v>
      </c>
      <c r="E1038" s="18">
        <f>IF(D1038="","",D1038*'参数与说明'!$B$6/27.2155)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38596</v>
      </c>
      <c r="B1039" s="13" t="n">
        <v>2005</v>
      </c>
      <c r="C1039" s="13" t="n">
        <v>9</v>
      </c>
      <c r="D1039" s="14" t="n">
        <v>5.77</v>
      </c>
      <c r="E1039" s="14">
        <f>IF(D1039="","",D1039*'参数与说明'!$B$6/27.2155)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38626</v>
      </c>
      <c r="B1040" s="17" t="n">
        <v>2005</v>
      </c>
      <c r="C1040" s="17" t="n">
        <v>10</v>
      </c>
      <c r="D1040" s="18" t="n">
        <v>5.67</v>
      </c>
      <c r="E1040" s="18">
        <f>IF(D1040="","",D1040*'参数与说明'!$B$6/27.2155)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38657</v>
      </c>
      <c r="B1041" s="13" t="n">
        <v>2005</v>
      </c>
      <c r="C1041" s="13" t="n">
        <v>11</v>
      </c>
      <c r="D1041" s="14" t="n">
        <v>5.62</v>
      </c>
      <c r="E1041" s="14">
        <f>IF(D1041="","",D1041*'参数与说明'!$B$6/27.2155)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38687</v>
      </c>
      <c r="B1042" s="17" t="n">
        <v>2005</v>
      </c>
      <c r="C1042" s="17" t="n">
        <v>12</v>
      </c>
      <c r="D1042" s="18" t="n">
        <v>5.78</v>
      </c>
      <c r="E1042" s="18">
        <f>IF(D1042="","",D1042*'参数与说明'!$B$6/27.2155)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38718</v>
      </c>
      <c r="B1043" s="13" t="n">
        <v>2006</v>
      </c>
      <c r="C1043" s="13" t="n">
        <v>1</v>
      </c>
      <c r="D1043" s="14" t="n">
        <v>5.87</v>
      </c>
      <c r="E1043" s="14">
        <f>IF(D1043="","",D1043*'参数与说明'!$B$6/27.2155)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38749</v>
      </c>
      <c r="B1044" s="17" t="n">
        <v>2006</v>
      </c>
      <c r="C1044" s="17" t="n">
        <v>2</v>
      </c>
      <c r="D1044" s="18" t="n">
        <v>5.67</v>
      </c>
      <c r="E1044" s="18">
        <f>IF(D1044="","",D1044*'参数与说明'!$B$6/27.2155)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38777</v>
      </c>
      <c r="B1045" s="13" t="n">
        <v>2006</v>
      </c>
      <c r="C1045" s="13" t="n">
        <v>3</v>
      </c>
      <c r="D1045" s="14" t="n">
        <v>5.57</v>
      </c>
      <c r="E1045" s="14">
        <f>IF(D1045="","",D1045*'参数与说明'!$B$6/27.2155)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38808</v>
      </c>
      <c r="B1046" s="17" t="n">
        <v>2006</v>
      </c>
      <c r="C1046" s="17" t="n">
        <v>4</v>
      </c>
      <c r="D1046" s="18" t="n">
        <v>5.52</v>
      </c>
      <c r="E1046" s="18">
        <f>IF(D1046="","",D1046*'参数与说明'!$B$6/27.2155)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38838</v>
      </c>
      <c r="B1047" s="13" t="n">
        <v>2006</v>
      </c>
      <c r="C1047" s="13" t="n">
        <v>5</v>
      </c>
      <c r="D1047" s="14" t="n">
        <v>5.68</v>
      </c>
      <c r="E1047" s="14">
        <f>IF(D1047="","",D1047*'参数与说明'!$B$6/27.2155)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38869</v>
      </c>
      <c r="B1048" s="17" t="n">
        <v>2006</v>
      </c>
      <c r="C1048" s="17" t="n">
        <v>6</v>
      </c>
      <c r="D1048" s="18" t="n">
        <v>5.62</v>
      </c>
      <c r="E1048" s="18">
        <f>IF(D1048="","",D1048*'参数与说明'!$B$6/27.2155)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38899</v>
      </c>
      <c r="B1049" s="13" t="n">
        <v>2006</v>
      </c>
      <c r="C1049" s="13" t="n">
        <v>7</v>
      </c>
      <c r="D1049" s="14" t="n">
        <v>5.61</v>
      </c>
      <c r="E1049" s="14">
        <f>IF(D1049="","",D1049*'参数与说明'!$B$6/27.2155)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38930</v>
      </c>
      <c r="B1050" s="17" t="n">
        <v>2006</v>
      </c>
      <c r="C1050" s="17" t="n">
        <v>8</v>
      </c>
      <c r="D1050" s="18" t="n">
        <v>5.23</v>
      </c>
      <c r="E1050" s="18">
        <f>IF(D1050="","",D1050*'参数与说明'!$B$6/27.2155)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38961</v>
      </c>
      <c r="B1051" s="13" t="n">
        <v>2006</v>
      </c>
      <c r="C1051" s="13" t="n">
        <v>9</v>
      </c>
      <c r="D1051" s="14" t="n">
        <v>5.23</v>
      </c>
      <c r="E1051" s="14">
        <f>IF(D1051="","",D1051*'参数与说明'!$B$6/27.2155)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38991</v>
      </c>
      <c r="B1052" s="17" t="n">
        <v>2006</v>
      </c>
      <c r="C1052" s="17" t="n">
        <v>10</v>
      </c>
      <c r="D1052" s="18" t="n">
        <v>5.52</v>
      </c>
      <c r="E1052" s="18">
        <f>IF(D1052="","",D1052*'参数与说明'!$B$6/27.2155)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39022</v>
      </c>
      <c r="B1053" s="13" t="n">
        <v>2006</v>
      </c>
      <c r="C1053" s="13" t="n">
        <v>11</v>
      </c>
      <c r="D1053" s="14" t="n">
        <v>6.08</v>
      </c>
      <c r="E1053" s="14">
        <f>IF(D1053="","",D1053*'参数与说明'!$B$6/27.2155)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39052</v>
      </c>
      <c r="B1054" s="17" t="n">
        <v>2006</v>
      </c>
      <c r="C1054" s="17" t="n">
        <v>12</v>
      </c>
      <c r="D1054" s="18" t="n">
        <v>6.18</v>
      </c>
      <c r="E1054" s="18">
        <f>IF(D1054="","",D1054*'参数与说明'!$B$6/27.2155)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39083</v>
      </c>
      <c r="B1055" s="13" t="n">
        <v>2007</v>
      </c>
      <c r="C1055" s="13" t="n">
        <v>1</v>
      </c>
      <c r="D1055" s="14" t="n">
        <v>6.37</v>
      </c>
      <c r="E1055" s="14">
        <f>IF(D1055="","",D1055*'参数与说明'!$B$6/27.2155)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39114</v>
      </c>
      <c r="B1056" s="17" t="n">
        <v>2007</v>
      </c>
      <c r="C1056" s="17" t="n">
        <v>2</v>
      </c>
      <c r="D1056" s="18" t="n">
        <v>6.87</v>
      </c>
      <c r="E1056" s="18">
        <f>IF(D1056="","",D1056*'参数与说明'!$B$6/27.2155)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39142</v>
      </c>
      <c r="B1057" s="13" t="n">
        <v>2007</v>
      </c>
      <c r="C1057" s="13" t="n">
        <v>3</v>
      </c>
      <c r="D1057" s="14" t="n">
        <v>6.95</v>
      </c>
      <c r="E1057" s="14">
        <f>IF(D1057="","",D1057*'参数与说明'!$B$6/27.2155)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39173</v>
      </c>
      <c r="B1058" s="17" t="n">
        <v>2007</v>
      </c>
      <c r="C1058" s="17" t="n">
        <v>4</v>
      </c>
      <c r="D1058" s="18" t="n">
        <v>6.88</v>
      </c>
      <c r="E1058" s="18">
        <f>IF(D1058="","",D1058*'参数与说明'!$B$6/27.2155)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39203</v>
      </c>
      <c r="B1059" s="13" t="n">
        <v>2007</v>
      </c>
      <c r="C1059" s="13" t="n">
        <v>5</v>
      </c>
      <c r="D1059" s="14" t="n">
        <v>7.12</v>
      </c>
      <c r="E1059" s="14">
        <f>IF(D1059="","",D1059*'参数与说明'!$B$6/27.2155)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39234</v>
      </c>
      <c r="B1060" s="17" t="n">
        <v>2007</v>
      </c>
      <c r="C1060" s="17" t="n">
        <v>6</v>
      </c>
      <c r="D1060" s="18" t="n">
        <v>7.51</v>
      </c>
      <c r="E1060" s="18">
        <f>IF(D1060="","",D1060*'参数与说明'!$B$6/27.2155)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39264</v>
      </c>
      <c r="B1061" s="13" t="n">
        <v>2007</v>
      </c>
      <c r="C1061" s="13" t="n">
        <v>7</v>
      </c>
      <c r="D1061" s="14" t="n">
        <v>7.56</v>
      </c>
      <c r="E1061" s="14">
        <f>IF(D1061="","",D1061*'参数与说明'!$B$6/27.2155)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39295</v>
      </c>
      <c r="B1062" s="17" t="n">
        <v>2007</v>
      </c>
      <c r="C1062" s="17" t="n">
        <v>8</v>
      </c>
      <c r="D1062" s="18" t="n">
        <v>7.72</v>
      </c>
      <c r="E1062" s="18">
        <f>IF(D1062="","",D1062*'参数与说明'!$B$6/27.2155)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39326</v>
      </c>
      <c r="B1063" s="13" t="n">
        <v>2007</v>
      </c>
      <c r="C1063" s="13" t="n">
        <v>9</v>
      </c>
      <c r="D1063" s="14" t="n">
        <v>8.15</v>
      </c>
      <c r="E1063" s="14">
        <f>IF(D1063="","",D1063*'参数与说明'!$B$6/27.2155)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39356</v>
      </c>
      <c r="B1064" s="17" t="n">
        <v>2007</v>
      </c>
      <c r="C1064" s="17" t="n">
        <v>10</v>
      </c>
      <c r="D1064" s="18" t="n">
        <v>8.359999999999999</v>
      </c>
      <c r="E1064" s="18">
        <f>IF(D1064="","",D1064*'参数与说明'!$B$6/27.2155)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39387</v>
      </c>
      <c r="B1065" s="13" t="n">
        <v>2007</v>
      </c>
      <c r="C1065" s="13" t="n">
        <v>11</v>
      </c>
      <c r="D1065" s="14" t="n">
        <v>9.42</v>
      </c>
      <c r="E1065" s="14">
        <f>IF(D1065="","",D1065*'参数与说明'!$B$6/27.2155)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39417</v>
      </c>
      <c r="B1066" s="17" t="n">
        <v>2007</v>
      </c>
      <c r="C1066" s="17" t="n">
        <v>12</v>
      </c>
      <c r="D1066" s="18" t="n">
        <v>10</v>
      </c>
      <c r="E1066" s="18">
        <f>IF(D1066="","",D1066*'参数与说明'!$B$6/27.2155)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39448</v>
      </c>
      <c r="B1067" s="13" t="n">
        <v>2008</v>
      </c>
      <c r="C1067" s="13" t="n">
        <v>1</v>
      </c>
      <c r="D1067" s="14" t="n">
        <v>9.949999999999999</v>
      </c>
      <c r="E1067" s="14">
        <f>IF(D1067="","",D1067*'参数与说明'!$B$6/27.2155)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39479</v>
      </c>
      <c r="B1068" s="17" t="n">
        <v>2008</v>
      </c>
      <c r="C1068" s="17" t="n">
        <v>2</v>
      </c>
      <c r="D1068" s="18" t="n">
        <v>11.7</v>
      </c>
      <c r="E1068" s="18">
        <f>IF(D1068="","",D1068*'参数与说明'!$B$6/27.2155)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39508</v>
      </c>
      <c r="B1069" s="13" t="n">
        <v>2008</v>
      </c>
      <c r="C1069" s="13" t="n">
        <v>3</v>
      </c>
      <c r="D1069" s="14" t="n">
        <v>11.4</v>
      </c>
      <c r="E1069" s="14">
        <f>IF(D1069="","",D1069*'参数与说明'!$B$6/27.2155)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39539</v>
      </c>
      <c r="B1070" s="17" t="n">
        <v>2008</v>
      </c>
      <c r="C1070" s="17" t="n">
        <v>4</v>
      </c>
      <c r="D1070" s="18" t="n">
        <v>12</v>
      </c>
      <c r="E1070" s="18">
        <f>IF(D1070="","",D1070*'参数与说明'!$B$6/27.2155)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39569</v>
      </c>
      <c r="B1071" s="13" t="n">
        <v>2008</v>
      </c>
      <c r="C1071" s="13" t="n">
        <v>5</v>
      </c>
      <c r="D1071" s="14" t="n">
        <v>12.1</v>
      </c>
      <c r="E1071" s="14">
        <f>IF(D1071="","",D1071*'参数与说明'!$B$6/27.2155)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39600</v>
      </c>
      <c r="B1072" s="17" t="n">
        <v>2008</v>
      </c>
      <c r="C1072" s="17" t="n">
        <v>6</v>
      </c>
      <c r="D1072" s="18" t="n">
        <v>13.1</v>
      </c>
      <c r="E1072" s="18">
        <f>IF(D1072="","",D1072*'参数与说明'!$B$6/27.2155)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39630</v>
      </c>
      <c r="B1073" s="13" t="n">
        <v>2008</v>
      </c>
      <c r="C1073" s="13" t="n">
        <v>7</v>
      </c>
      <c r="D1073" s="14" t="n">
        <v>13.3</v>
      </c>
      <c r="E1073" s="14">
        <f>IF(D1073="","",D1073*'参数与说明'!$B$6/27.2155)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39661</v>
      </c>
      <c r="B1074" s="17" t="n">
        <v>2008</v>
      </c>
      <c r="C1074" s="17" t="n">
        <v>8</v>
      </c>
      <c r="D1074" s="18" t="n">
        <v>12.8</v>
      </c>
      <c r="E1074" s="18">
        <f>IF(D1074="","",D1074*'参数与说明'!$B$6/27.2155)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39692</v>
      </c>
      <c r="B1075" s="13" t="n">
        <v>2008</v>
      </c>
      <c r="C1075" s="13" t="n">
        <v>9</v>
      </c>
      <c r="D1075" s="14" t="n">
        <v>10.8</v>
      </c>
      <c r="E1075" s="14">
        <f>IF(D1075="","",D1075*'参数与说明'!$B$6/27.2155)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39722</v>
      </c>
      <c r="B1076" s="17" t="n">
        <v>2008</v>
      </c>
      <c r="C1076" s="17" t="n">
        <v>10</v>
      </c>
      <c r="D1076" s="18" t="n">
        <v>9.949999999999999</v>
      </c>
      <c r="E1076" s="18">
        <f>IF(D1076="","",D1076*'参数与说明'!$B$6/27.2155)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39753</v>
      </c>
      <c r="B1077" s="13" t="n">
        <v>2008</v>
      </c>
      <c r="C1077" s="13" t="n">
        <v>11</v>
      </c>
      <c r="D1077" s="14" t="n">
        <v>9.390000000000001</v>
      </c>
      <c r="E1077" s="14">
        <f>IF(D1077="","",D1077*'参数与说明'!$B$6/27.2155)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39783</v>
      </c>
      <c r="B1078" s="17" t="n">
        <v>2008</v>
      </c>
      <c r="C1078" s="17" t="n">
        <v>12</v>
      </c>
      <c r="D1078" s="18" t="n">
        <v>9.24</v>
      </c>
      <c r="E1078" s="18">
        <f>IF(D1078="","",D1078*'参数与说明'!$B$6/27.2155)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39814</v>
      </c>
      <c r="B1079" s="13" t="n">
        <v>2009</v>
      </c>
      <c r="C1079" s="13" t="n">
        <v>1</v>
      </c>
      <c r="D1079" s="14" t="n">
        <v>9.970000000000001</v>
      </c>
      <c r="E1079" s="14">
        <f>IF(D1079="","",D1079*'参数与说明'!$B$6/27.2155)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39845</v>
      </c>
      <c r="B1080" s="17" t="n">
        <v>2009</v>
      </c>
      <c r="C1080" s="17" t="n">
        <v>2</v>
      </c>
      <c r="D1080" s="18" t="n">
        <v>9.539999999999999</v>
      </c>
      <c r="E1080" s="18">
        <f>IF(D1080="","",D1080*'参数与说明'!$B$6/27.2155)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39873</v>
      </c>
      <c r="B1081" s="13" t="n">
        <v>2009</v>
      </c>
      <c r="C1081" s="13" t="n">
        <v>3</v>
      </c>
      <c r="D1081" s="14" t="n">
        <v>9.119999999999999</v>
      </c>
      <c r="E1081" s="14">
        <f>IF(D1081="","",D1081*'参数与说明'!$B$6/27.2155)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39904</v>
      </c>
      <c r="B1082" s="17" t="n">
        <v>2009</v>
      </c>
      <c r="C1082" s="17" t="n">
        <v>4</v>
      </c>
      <c r="D1082" s="18" t="n">
        <v>9.789999999999999</v>
      </c>
      <c r="E1082" s="18">
        <f>IF(D1082="","",D1082*'参数与说明'!$B$6/27.2155)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39934</v>
      </c>
      <c r="B1083" s="13" t="n">
        <v>2009</v>
      </c>
      <c r="C1083" s="13" t="n">
        <v>5</v>
      </c>
      <c r="D1083" s="14" t="n">
        <v>10.7</v>
      </c>
      <c r="E1083" s="14">
        <f>IF(D1083="","",D1083*'参数与说明'!$B$6/27.2155)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39965</v>
      </c>
      <c r="B1084" s="17" t="n">
        <v>2009</v>
      </c>
      <c r="C1084" s="17" t="n">
        <v>6</v>
      </c>
      <c r="D1084" s="18" t="n">
        <v>11.4</v>
      </c>
      <c r="E1084" s="18">
        <f>IF(D1084="","",D1084*'参数与说明'!$B$6/27.2155)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39995</v>
      </c>
      <c r="B1085" s="13" t="n">
        <v>2009</v>
      </c>
      <c r="C1085" s="13" t="n">
        <v>7</v>
      </c>
      <c r="D1085" s="14" t="n">
        <v>10.8</v>
      </c>
      <c r="E1085" s="14">
        <f>IF(D1085="","",D1085*'参数与说明'!$B$6/27.2155)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40026</v>
      </c>
      <c r="B1086" s="17" t="n">
        <v>2009</v>
      </c>
      <c r="C1086" s="17" t="n">
        <v>8</v>
      </c>
      <c r="D1086" s="18" t="n">
        <v>10.8</v>
      </c>
      <c r="E1086" s="18">
        <f>IF(D1086="","",D1086*'参数与说明'!$B$6/27.2155)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40057</v>
      </c>
      <c r="B1087" s="13" t="n">
        <v>2009</v>
      </c>
      <c r="C1087" s="13" t="n">
        <v>9</v>
      </c>
      <c r="D1087" s="14" t="n">
        <v>9.75</v>
      </c>
      <c r="E1087" s="14">
        <f>IF(D1087="","",D1087*'参数与说明'!$B$6/27.2155)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40087</v>
      </c>
      <c r="B1088" s="17" t="n">
        <v>2009</v>
      </c>
      <c r="C1088" s="17" t="n">
        <v>10</v>
      </c>
      <c r="D1088" s="18" t="n">
        <v>9.43</v>
      </c>
      <c r="E1088" s="18">
        <f>IF(D1088="","",D1088*'参数与说明'!$B$6/27.2155)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40118</v>
      </c>
      <c r="B1089" s="13" t="n">
        <v>2009</v>
      </c>
      <c r="C1089" s="13" t="n">
        <v>11</v>
      </c>
      <c r="D1089" s="14" t="n">
        <v>9.529999999999999</v>
      </c>
      <c r="E1089" s="14">
        <f>IF(D1089="","",D1089*'参数与说明'!$B$6/27.2155)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40148</v>
      </c>
      <c r="B1090" s="17" t="n">
        <v>2009</v>
      </c>
      <c r="C1090" s="17" t="n">
        <v>12</v>
      </c>
      <c r="D1090" s="18" t="n">
        <v>9.800000000000001</v>
      </c>
      <c r="E1090" s="18">
        <f>IF(D1090="","",D1090*'参数与说明'!$B$6/27.2155)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40179</v>
      </c>
      <c r="B1091" s="13" t="n">
        <v>2010</v>
      </c>
      <c r="C1091" s="13" t="n">
        <v>1</v>
      </c>
      <c r="D1091" s="14" t="n">
        <v>9.789999999999999</v>
      </c>
      <c r="E1091" s="14">
        <f>IF(D1091="","",D1091*'参数与说明'!$B$6/27.2155)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40210</v>
      </c>
      <c r="B1092" s="17" t="n">
        <v>2010</v>
      </c>
      <c r="C1092" s="17" t="n">
        <v>2</v>
      </c>
      <c r="D1092" s="18" t="n">
        <v>9.41</v>
      </c>
      <c r="E1092" s="18">
        <f>IF(D1092="","",D1092*'参数与说明'!$B$6/27.2155)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40238</v>
      </c>
      <c r="B1093" s="13" t="n">
        <v>2010</v>
      </c>
      <c r="C1093" s="13" t="n">
        <v>3</v>
      </c>
      <c r="D1093" s="14" t="n">
        <v>9.390000000000001</v>
      </c>
      <c r="E1093" s="14">
        <f>IF(D1093="","",D1093*'参数与说明'!$B$6/27.2155)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40269</v>
      </c>
      <c r="B1094" s="17" t="n">
        <v>2010</v>
      </c>
      <c r="C1094" s="17" t="n">
        <v>4</v>
      </c>
      <c r="D1094" s="18" t="n">
        <v>9.470000000000001</v>
      </c>
      <c r="E1094" s="18">
        <f>IF(D1094="","",D1094*'参数与说明'!$B$6/27.2155)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40299</v>
      </c>
      <c r="B1095" s="13" t="n">
        <v>2010</v>
      </c>
      <c r="C1095" s="13" t="n">
        <v>5</v>
      </c>
      <c r="D1095" s="14" t="n">
        <v>9.41</v>
      </c>
      <c r="E1095" s="14">
        <f>IF(D1095="","",D1095*'参数与说明'!$B$6/27.2155)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40330</v>
      </c>
      <c r="B1096" s="17" t="n">
        <v>2010</v>
      </c>
      <c r="C1096" s="17" t="n">
        <v>6</v>
      </c>
      <c r="D1096" s="18" t="n">
        <v>9.449999999999999</v>
      </c>
      <c r="E1096" s="18">
        <f>IF(D1096="","",D1096*'参数与说明'!$B$6/27.2155)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40360</v>
      </c>
      <c r="B1097" s="13" t="n">
        <v>2010</v>
      </c>
      <c r="C1097" s="13" t="n">
        <v>7</v>
      </c>
      <c r="D1097" s="14" t="n">
        <v>9.789999999999999</v>
      </c>
      <c r="E1097" s="14">
        <f>IF(D1097="","",D1097*'参数与说明'!$B$6/27.2155)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40391</v>
      </c>
      <c r="B1098" s="17" t="n">
        <v>2010</v>
      </c>
      <c r="C1098" s="17" t="n">
        <v>8</v>
      </c>
      <c r="D1098" s="18" t="n">
        <v>10.1</v>
      </c>
      <c r="E1098" s="18">
        <f>IF(D1098="","",D1098*'参数与说明'!$B$6/27.2155)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40422</v>
      </c>
      <c r="B1099" s="13" t="n">
        <v>2010</v>
      </c>
      <c r="C1099" s="13" t="n">
        <v>9</v>
      </c>
      <c r="D1099" s="14" t="n">
        <v>9.98</v>
      </c>
      <c r="E1099" s="14">
        <f>IF(D1099="","",D1099*'参数与说明'!$B$6/27.2155)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40452</v>
      </c>
      <c r="B1100" s="17" t="n">
        <v>2010</v>
      </c>
      <c r="C1100" s="17" t="n">
        <v>10</v>
      </c>
      <c r="D1100" s="18" t="n">
        <v>10.2</v>
      </c>
      <c r="E1100" s="18">
        <f>IF(D1100="","",D1100*'参数与说明'!$B$6/27.2155)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40483</v>
      </c>
      <c r="B1101" s="13" t="n">
        <v>2010</v>
      </c>
      <c r="C1101" s="13" t="n">
        <v>11</v>
      </c>
      <c r="D1101" s="14" t="n">
        <v>11.1</v>
      </c>
      <c r="E1101" s="14">
        <f>IF(D1101="","",D1101*'参数与说明'!$B$6/27.2155)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40513</v>
      </c>
      <c r="B1102" s="17" t="n">
        <v>2010</v>
      </c>
      <c r="C1102" s="17" t="n">
        <v>12</v>
      </c>
      <c r="D1102" s="18" t="n">
        <v>11.6</v>
      </c>
      <c r="E1102" s="18">
        <f>IF(D1102="","",D1102*'参数与说明'!$B$6/27.2155)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40544</v>
      </c>
      <c r="B1103" s="13" t="n">
        <v>2011</v>
      </c>
      <c r="C1103" s="13" t="n">
        <v>1</v>
      </c>
      <c r="D1103" s="14" t="n">
        <v>11.6</v>
      </c>
      <c r="E1103" s="14">
        <f>IF(D1103="","",D1103*'参数与说明'!$B$6/27.2155)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40575</v>
      </c>
      <c r="B1104" s="17" t="n">
        <v>2011</v>
      </c>
      <c r="C1104" s="17" t="n">
        <v>2</v>
      </c>
      <c r="D1104" s="18" t="n">
        <v>12.7</v>
      </c>
      <c r="E1104" s="18">
        <f>IF(D1104="","",D1104*'参数与说明'!$B$6/27.2155)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40603</v>
      </c>
      <c r="B1105" s="13" t="n">
        <v>2011</v>
      </c>
      <c r="C1105" s="13" t="n">
        <v>3</v>
      </c>
      <c r="D1105" s="14" t="n">
        <v>12.7</v>
      </c>
      <c r="E1105" s="14">
        <f>IF(D1105="","",D1105*'参数与说明'!$B$6/27.2155)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40634</v>
      </c>
      <c r="B1106" s="17" t="n">
        <v>2011</v>
      </c>
      <c r="C1106" s="17" t="n">
        <v>4</v>
      </c>
      <c r="D1106" s="18" t="n">
        <v>13.1</v>
      </c>
      <c r="E1106" s="18">
        <f>IF(D1106="","",D1106*'参数与说明'!$B$6/27.2155)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40664</v>
      </c>
      <c r="B1107" s="13" t="n">
        <v>2011</v>
      </c>
      <c r="C1107" s="13" t="n">
        <v>5</v>
      </c>
      <c r="D1107" s="14" t="n">
        <v>13.2</v>
      </c>
      <c r="E1107" s="14">
        <f>IF(D1107="","",D1107*'参数与说明'!$B$6/27.2155)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40695</v>
      </c>
      <c r="B1108" s="17" t="n">
        <v>2011</v>
      </c>
      <c r="C1108" s="17" t="n">
        <v>6</v>
      </c>
      <c r="D1108" s="18" t="n">
        <v>13.2</v>
      </c>
      <c r="E1108" s="18">
        <f>IF(D1108="","",D1108*'参数与说明'!$B$6/27.2155)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40725</v>
      </c>
      <c r="B1109" s="13" t="n">
        <v>2011</v>
      </c>
      <c r="C1109" s="13" t="n">
        <v>7</v>
      </c>
      <c r="D1109" s="14" t="n">
        <v>13.2</v>
      </c>
      <c r="E1109" s="14">
        <f>IF(D1109="","",D1109*'参数与说明'!$B$6/27.2155)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40756</v>
      </c>
      <c r="B1110" s="17" t="n">
        <v>2011</v>
      </c>
      <c r="C1110" s="17" t="n">
        <v>8</v>
      </c>
      <c r="D1110" s="18" t="n">
        <v>13.4</v>
      </c>
      <c r="E1110" s="18">
        <f>IF(D1110="","",D1110*'参数与说明'!$B$6/27.2155)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40787</v>
      </c>
      <c r="B1111" s="13" t="n">
        <v>2011</v>
      </c>
      <c r="C1111" s="13" t="n">
        <v>9</v>
      </c>
      <c r="D1111" s="14" t="n">
        <v>12.2</v>
      </c>
      <c r="E1111" s="14">
        <f>IF(D1111="","",D1111*'参数与说明'!$B$6/27.2155)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40817</v>
      </c>
      <c r="B1112" s="17" t="n">
        <v>2011</v>
      </c>
      <c r="C1112" s="17" t="n">
        <v>10</v>
      </c>
      <c r="D1112" s="18" t="n">
        <v>11.8</v>
      </c>
      <c r="E1112" s="18">
        <f>IF(D1112="","",D1112*'参数与说明'!$B$6/27.2155)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40848</v>
      </c>
      <c r="B1113" s="13" t="n">
        <v>2011</v>
      </c>
      <c r="C1113" s="13" t="n">
        <v>11</v>
      </c>
      <c r="D1113" s="14" t="n">
        <v>11.7</v>
      </c>
      <c r="E1113" s="14">
        <f>IF(D1113="","",D1113*'参数与说明'!$B$6/27.2155)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40878</v>
      </c>
      <c r="B1114" s="17" t="n">
        <v>2011</v>
      </c>
      <c r="C1114" s="17" t="n">
        <v>12</v>
      </c>
      <c r="D1114" s="18" t="n">
        <v>11.5</v>
      </c>
      <c r="E1114" s="18">
        <f>IF(D1114="","",D1114*'参数与说明'!$B$6/27.2155)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40909</v>
      </c>
      <c r="B1115" s="13" t="n">
        <v>2012</v>
      </c>
      <c r="C1115" s="13" t="n">
        <v>1</v>
      </c>
      <c r="D1115" s="14" t="n">
        <v>11.9</v>
      </c>
      <c r="E1115" s="14">
        <f>IF(D1115="","",D1115*'参数与说明'!$B$6/27.2155)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40940</v>
      </c>
      <c r="B1116" s="17" t="n">
        <v>2012</v>
      </c>
      <c r="C1116" s="17" t="n">
        <v>2</v>
      </c>
      <c r="D1116" s="18" t="n">
        <v>12.2</v>
      </c>
      <c r="E1116" s="18">
        <f>IF(D1116="","",D1116*'参数与说明'!$B$6/27.2155)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40969</v>
      </c>
      <c r="B1117" s="13" t="n">
        <v>2012</v>
      </c>
      <c r="C1117" s="13" t="n">
        <v>3</v>
      </c>
      <c r="D1117" s="14" t="n">
        <v>13</v>
      </c>
      <c r="E1117" s="14">
        <f>IF(D1117="","",D1117*'参数与说明'!$B$6/27.2155)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41000</v>
      </c>
      <c r="B1118" s="17" t="n">
        <v>2012</v>
      </c>
      <c r="C1118" s="17" t="n">
        <v>4</v>
      </c>
      <c r="D1118" s="18" t="n">
        <v>13.8</v>
      </c>
      <c r="E1118" s="18">
        <f>IF(D1118="","",D1118*'参数与说明'!$B$6/27.2155)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41030</v>
      </c>
      <c r="B1119" s="13" t="n">
        <v>2012</v>
      </c>
      <c r="C1119" s="13" t="n">
        <v>5</v>
      </c>
      <c r="D1119" s="14" t="n">
        <v>14</v>
      </c>
      <c r="E1119" s="14">
        <f>IF(D1119="","",D1119*'参数与说明'!$B$6/27.2155)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41061</v>
      </c>
      <c r="B1120" s="17" t="n">
        <v>2012</v>
      </c>
      <c r="C1120" s="17" t="n">
        <v>6</v>
      </c>
      <c r="D1120" s="18" t="n">
        <v>13.9</v>
      </c>
      <c r="E1120" s="18">
        <f>IF(D1120="","",D1120*'参数与说明'!$B$6/27.2155)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41091</v>
      </c>
      <c r="B1121" s="13" t="n">
        <v>2012</v>
      </c>
      <c r="C1121" s="13" t="n">
        <v>7</v>
      </c>
      <c r="D1121" s="14" t="n">
        <v>15.4</v>
      </c>
      <c r="E1121" s="14">
        <f>IF(D1121="","",D1121*'参数与说明'!$B$6/27.2155)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41122</v>
      </c>
      <c r="B1122" s="17" t="n">
        <v>2012</v>
      </c>
      <c r="C1122" s="17" t="n">
        <v>8</v>
      </c>
      <c r="D1122" s="18" t="n">
        <v>16.2</v>
      </c>
      <c r="E1122" s="18">
        <f>IF(D1122="","",D1122*'参数与说明'!$B$6/27.2155)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41153</v>
      </c>
      <c r="B1123" s="13" t="n">
        <v>2012</v>
      </c>
      <c r="C1123" s="13" t="n">
        <v>9</v>
      </c>
      <c r="D1123" s="14" t="n">
        <v>14.3</v>
      </c>
      <c r="E1123" s="14">
        <f>IF(D1123="","",D1123*'参数与说明'!$B$6/27.2155)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41183</v>
      </c>
      <c r="B1124" s="17" t="n">
        <v>2012</v>
      </c>
      <c r="C1124" s="17" t="n">
        <v>10</v>
      </c>
      <c r="D1124" s="18" t="n">
        <v>14.2</v>
      </c>
      <c r="E1124" s="18">
        <f>IF(D1124="","",D1124*'参数与说明'!$B$6/27.2155)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41214</v>
      </c>
      <c r="B1125" s="13" t="n">
        <v>2012</v>
      </c>
      <c r="C1125" s="13" t="n">
        <v>11</v>
      </c>
      <c r="D1125" s="14" t="n">
        <v>14.3</v>
      </c>
      <c r="E1125" s="14">
        <f>IF(D1125="","",D1125*'参数与说明'!$B$6/27.2155)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41244</v>
      </c>
      <c r="B1126" s="17" t="n">
        <v>2012</v>
      </c>
      <c r="C1126" s="17" t="n">
        <v>12</v>
      </c>
      <c r="D1126" s="18" t="n">
        <v>14.3</v>
      </c>
      <c r="E1126" s="18">
        <f>IF(D1126="","",D1126*'参数与说明'!$B$6/27.2155)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41275</v>
      </c>
      <c r="B1127" s="13" t="n">
        <v>2013</v>
      </c>
      <c r="C1127" s="13" t="n">
        <v>1</v>
      </c>
      <c r="D1127" s="14" t="n">
        <v>14.3</v>
      </c>
      <c r="E1127" s="14">
        <f>IF(D1127="","",D1127*'参数与说明'!$B$6/27.2155)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41306</v>
      </c>
      <c r="B1128" s="17" t="n">
        <v>2013</v>
      </c>
      <c r="C1128" s="17" t="n">
        <v>2</v>
      </c>
      <c r="D1128" s="18" t="n">
        <v>14.6</v>
      </c>
      <c r="E1128" s="18">
        <f>IF(D1128="","",D1128*'参数与说明'!$B$6/27.2155)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41334</v>
      </c>
      <c r="B1129" s="13" t="n">
        <v>2013</v>
      </c>
      <c r="C1129" s="13" t="n">
        <v>3</v>
      </c>
      <c r="D1129" s="14" t="n">
        <v>14.6</v>
      </c>
      <c r="E1129" s="14">
        <f>IF(D1129="","",D1129*'参数与说明'!$B$6/27.2155)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41365</v>
      </c>
      <c r="B1130" s="17" t="n">
        <v>2013</v>
      </c>
      <c r="C1130" s="17" t="n">
        <v>4</v>
      </c>
      <c r="D1130" s="18" t="n">
        <v>14.4</v>
      </c>
      <c r="E1130" s="18">
        <f>IF(D1130="","",D1130*'参数与说明'!$B$6/27.2155)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41395</v>
      </c>
      <c r="B1131" s="13" t="n">
        <v>2013</v>
      </c>
      <c r="C1131" s="13" t="n">
        <v>5</v>
      </c>
      <c r="D1131" s="14" t="n">
        <v>14.9</v>
      </c>
      <c r="E1131" s="14">
        <f>IF(D1131="","",D1131*'参数与说明'!$B$6/27.2155)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41426</v>
      </c>
      <c r="B1132" s="17" t="n">
        <v>2013</v>
      </c>
      <c r="C1132" s="17" t="n">
        <v>6</v>
      </c>
      <c r="D1132" s="18" t="n">
        <v>15.1</v>
      </c>
      <c r="E1132" s="18">
        <f>IF(D1132="","",D1132*'参数与说明'!$B$6/27.2155)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41456</v>
      </c>
      <c r="B1133" s="13" t="n">
        <v>2013</v>
      </c>
      <c r="C1133" s="13" t="n">
        <v>7</v>
      </c>
      <c r="D1133" s="14" t="n">
        <v>15.3</v>
      </c>
      <c r="E1133" s="14">
        <f>IF(D1133="","",D1133*'参数与说明'!$B$6/27.2155)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41487</v>
      </c>
      <c r="B1134" s="17" t="n">
        <v>2013</v>
      </c>
      <c r="C1134" s="17" t="n">
        <v>8</v>
      </c>
      <c r="D1134" s="18" t="n">
        <v>14.1</v>
      </c>
      <c r="E1134" s="18">
        <f>IF(D1134="","",D1134*'参数与说明'!$B$6/27.2155)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41518</v>
      </c>
      <c r="B1135" s="13" t="n">
        <v>2013</v>
      </c>
      <c r="C1135" s="13" t="n">
        <v>9</v>
      </c>
      <c r="D1135" s="14" t="n">
        <v>13.3</v>
      </c>
      <c r="E1135" s="14">
        <f>IF(D1135="","",D1135*'参数与说明'!$B$6/27.2155)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41548</v>
      </c>
      <c r="B1136" s="17" t="n">
        <v>2013</v>
      </c>
      <c r="C1136" s="17" t="n">
        <v>10</v>
      </c>
      <c r="D1136" s="18" t="n">
        <v>12.5</v>
      </c>
      <c r="E1136" s="18">
        <f>IF(D1136="","",D1136*'参数与说明'!$B$6/27.2155)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41579</v>
      </c>
      <c r="B1137" s="13" t="n">
        <v>2013</v>
      </c>
      <c r="C1137" s="13" t="n">
        <v>11</v>
      </c>
      <c r="D1137" s="14" t="n">
        <v>12.7</v>
      </c>
      <c r="E1137" s="14">
        <f>IF(D1137="","",D1137*'参数与说明'!$B$6/27.2155)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41609</v>
      </c>
      <c r="B1138" s="17" t="n">
        <v>2013</v>
      </c>
      <c r="C1138" s="17" t="n">
        <v>12</v>
      </c>
      <c r="D1138" s="18" t="n">
        <v>13</v>
      </c>
      <c r="E1138" s="18">
        <f>IF(D1138="","",D1138*'参数与说明'!$B$6/27.2155)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41640</v>
      </c>
      <c r="B1139" s="13" t="n">
        <v>2014</v>
      </c>
      <c r="C1139" s="13" t="n">
        <v>1</v>
      </c>
      <c r="D1139" s="14" t="n">
        <v>12.9</v>
      </c>
      <c r="E1139" s="14">
        <f>IF(D1139="","",D1139*'参数与说明'!$B$6/27.2155)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41671</v>
      </c>
      <c r="B1140" s="17" t="n">
        <v>2014</v>
      </c>
      <c r="C1140" s="17" t="n">
        <v>2</v>
      </c>
      <c r="D1140" s="18" t="n">
        <v>13.2</v>
      </c>
      <c r="E1140" s="18">
        <f>IF(D1140="","",D1140*'参数与说明'!$B$6/27.2155)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41699</v>
      </c>
      <c r="B1141" s="13" t="n">
        <v>2014</v>
      </c>
      <c r="C1141" s="13" t="n">
        <v>3</v>
      </c>
      <c r="D1141" s="14" t="n">
        <v>13.7</v>
      </c>
      <c r="E1141" s="14">
        <f>IF(D1141="","",D1141*'参数与说明'!$B$6/27.2155)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41730</v>
      </c>
      <c r="B1142" s="17" t="n">
        <v>2014</v>
      </c>
      <c r="C1142" s="17" t="n">
        <v>4</v>
      </c>
      <c r="D1142" s="18" t="n">
        <v>14.3</v>
      </c>
      <c r="E1142" s="18">
        <f>IF(D1142="","",D1142*'参数与说明'!$B$6/27.2155)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41760</v>
      </c>
      <c r="B1143" s="13" t="n">
        <v>2014</v>
      </c>
      <c r="C1143" s="13" t="n">
        <v>5</v>
      </c>
      <c r="D1143" s="14" t="n">
        <v>14.4</v>
      </c>
      <c r="E1143" s="14">
        <f>IF(D1143="","",D1143*'参数与说明'!$B$6/27.2155)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41791</v>
      </c>
      <c r="B1144" s="17" t="n">
        <v>2014</v>
      </c>
      <c r="C1144" s="17" t="n">
        <v>6</v>
      </c>
      <c r="D1144" s="18" t="n">
        <v>14.3</v>
      </c>
      <c r="E1144" s="18">
        <f>IF(D1144="","",D1144*'参数与说明'!$B$6/27.2155)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41821</v>
      </c>
      <c r="B1145" s="13" t="n">
        <v>2014</v>
      </c>
      <c r="C1145" s="13" t="n">
        <v>7</v>
      </c>
      <c r="D1145" s="14" t="n">
        <v>13.1</v>
      </c>
      <c r="E1145" s="14">
        <f>IF(D1145="","",D1145*'参数与说明'!$B$6/27.2155)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41852</v>
      </c>
      <c r="B1146" s="17" t="n">
        <v>2014</v>
      </c>
      <c r="C1146" s="17" t="n">
        <v>8</v>
      </c>
      <c r="D1146" s="18" t="n">
        <v>12.4</v>
      </c>
      <c r="E1146" s="18">
        <f>IF(D1146="","",D1146*'参数与说明'!$B$6/27.2155)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41883</v>
      </c>
      <c r="B1147" s="13" t="n">
        <v>2014</v>
      </c>
      <c r="C1147" s="13" t="n">
        <v>9</v>
      </c>
      <c r="D1147" s="14" t="n">
        <v>10.9</v>
      </c>
      <c r="E1147" s="14">
        <f>IF(D1147="","",D1147*'参数与说明'!$B$6/27.2155)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41913</v>
      </c>
      <c r="B1148" s="17" t="n">
        <v>2014</v>
      </c>
      <c r="C1148" s="17" t="n">
        <v>10</v>
      </c>
      <c r="D1148" s="18" t="n">
        <v>9.970000000000001</v>
      </c>
      <c r="E1148" s="18">
        <f>IF(D1148="","",D1148*'参数与说明'!$B$6/27.2155)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41944</v>
      </c>
      <c r="B1149" s="13" t="n">
        <v>2014</v>
      </c>
      <c r="C1149" s="13" t="n">
        <v>11</v>
      </c>
      <c r="D1149" s="14" t="n">
        <v>10.2</v>
      </c>
      <c r="E1149" s="14">
        <f>IF(D1149="","",D1149*'参数与说明'!$B$6/27.2155)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41974</v>
      </c>
      <c r="B1150" s="17" t="n">
        <v>2014</v>
      </c>
      <c r="C1150" s="17" t="n">
        <v>12</v>
      </c>
      <c r="D1150" s="18" t="n">
        <v>10.3</v>
      </c>
      <c r="E1150" s="18">
        <f>IF(D1150="","",D1150*'参数与说明'!$B$6/27.2155)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42005</v>
      </c>
      <c r="B1151" s="13" t="n">
        <v>2015</v>
      </c>
      <c r="C1151" s="13" t="n">
        <v>1</v>
      </c>
      <c r="D1151" s="14" t="n">
        <v>10.3</v>
      </c>
      <c r="E1151" s="14">
        <f>IF(D1151="","",D1151*'参数与说明'!$B$6/27.2155)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42036</v>
      </c>
      <c r="B1152" s="17" t="n">
        <v>2015</v>
      </c>
      <c r="C1152" s="17" t="n">
        <v>2</v>
      </c>
      <c r="D1152" s="18" t="n">
        <v>9.91</v>
      </c>
      <c r="E1152" s="18">
        <f>IF(D1152="","",D1152*'参数与说明'!$B$6/27.2155)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42064</v>
      </c>
      <c r="B1153" s="13" t="n">
        <v>2015</v>
      </c>
      <c r="C1153" s="13" t="n">
        <v>3</v>
      </c>
      <c r="D1153" s="14" t="n">
        <v>9.85</v>
      </c>
      <c r="E1153" s="14">
        <f>IF(D1153="","",D1153*'参数与说明'!$B$6/27.2155)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42095</v>
      </c>
      <c r="B1154" s="17" t="n">
        <v>2015</v>
      </c>
      <c r="C1154" s="17" t="n">
        <v>4</v>
      </c>
      <c r="D1154" s="18" t="n">
        <v>9.69</v>
      </c>
      <c r="E1154" s="18">
        <f>IF(D1154="","",D1154*'参数与说明'!$B$6/27.2155)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42125</v>
      </c>
      <c r="B1155" s="13" t="n">
        <v>2015</v>
      </c>
      <c r="C1155" s="13" t="n">
        <v>5</v>
      </c>
      <c r="D1155" s="14" t="n">
        <v>9.58</v>
      </c>
      <c r="E1155" s="14">
        <f>IF(D1155="","",D1155*'参数与说明'!$B$6/27.2155)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42156</v>
      </c>
      <c r="B1156" s="17" t="n">
        <v>2015</v>
      </c>
      <c r="C1156" s="17" t="n">
        <v>6</v>
      </c>
      <c r="D1156" s="18" t="n">
        <v>9.58</v>
      </c>
      <c r="E1156" s="18">
        <f>IF(D1156="","",D1156*'参数与说明'!$B$6/27.2155)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42186</v>
      </c>
      <c r="B1157" s="13" t="n">
        <v>2015</v>
      </c>
      <c r="C1157" s="13" t="n">
        <v>7</v>
      </c>
      <c r="D1157" s="14" t="n">
        <v>9.949999999999999</v>
      </c>
      <c r="E1157" s="14">
        <f>IF(D1157="","",D1157*'参数与说明'!$B$6/27.2155)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42217</v>
      </c>
      <c r="B1158" s="17" t="n">
        <v>2015</v>
      </c>
      <c r="C1158" s="17" t="n">
        <v>8</v>
      </c>
      <c r="D1158" s="18" t="n">
        <v>9.710000000000001</v>
      </c>
      <c r="E1158" s="18">
        <f>IF(D1158="","",D1158*'参数与说明'!$B$6/27.2155)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42248</v>
      </c>
      <c r="B1159" s="13" t="n">
        <v>2015</v>
      </c>
      <c r="C1159" s="13" t="n">
        <v>9</v>
      </c>
      <c r="D1159" s="14" t="n">
        <v>9.050000000000001</v>
      </c>
      <c r="E1159" s="14">
        <f>IF(D1159="","",D1159*'参数与说明'!$B$6/27.2155)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42278</v>
      </c>
      <c r="B1160" s="17" t="n">
        <v>2015</v>
      </c>
      <c r="C1160" s="17" t="n">
        <v>10</v>
      </c>
      <c r="D1160" s="18" t="n">
        <v>8.81</v>
      </c>
      <c r="E1160" s="18">
        <f>IF(D1160="","",D1160*'参数与说明'!$B$6/27.2155)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42309</v>
      </c>
      <c r="B1161" s="13" t="n">
        <v>2015</v>
      </c>
      <c r="C1161" s="13" t="n">
        <v>11</v>
      </c>
      <c r="D1161" s="14" t="n">
        <v>8.68</v>
      </c>
      <c r="E1161" s="14">
        <f>IF(D1161="","",D1161*'参数与说明'!$B$6/27.2155)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42339</v>
      </c>
      <c r="B1162" s="17" t="n">
        <v>2015</v>
      </c>
      <c r="C1162" s="17" t="n">
        <v>12</v>
      </c>
      <c r="D1162" s="18" t="n">
        <v>8.76</v>
      </c>
      <c r="E1162" s="18">
        <f>IF(D1162="","",D1162*'参数与说明'!$B$6/27.2155)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42370</v>
      </c>
      <c r="B1163" s="13" t="n">
        <v>2016</v>
      </c>
      <c r="C1163" s="13" t="n">
        <v>1</v>
      </c>
      <c r="D1163" s="14" t="n">
        <v>8.710000000000001</v>
      </c>
      <c r="E1163" s="14">
        <f>IF(D1163="","",D1163*'参数与说明'!$B$6/27.2155)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42401</v>
      </c>
      <c r="B1164" s="17" t="n">
        <v>2016</v>
      </c>
      <c r="C1164" s="17" t="n">
        <v>2</v>
      </c>
      <c r="D1164" s="18" t="n">
        <v>8.51</v>
      </c>
      <c r="E1164" s="18">
        <f>IF(D1164="","",D1164*'参数与说明'!$B$6/27.2155)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42430</v>
      </c>
      <c r="B1165" s="13" t="n">
        <v>2016</v>
      </c>
      <c r="C1165" s="13" t="n">
        <v>3</v>
      </c>
      <c r="D1165" s="14" t="n">
        <v>8.56</v>
      </c>
      <c r="E1165" s="14">
        <f>IF(D1165="","",D1165*'参数与说明'!$B$6/27.2155)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42461</v>
      </c>
      <c r="B1166" s="17" t="n">
        <v>2016</v>
      </c>
      <c r="C1166" s="17" t="n">
        <v>4</v>
      </c>
      <c r="D1166" s="18" t="n">
        <v>9.01</v>
      </c>
      <c r="E1166" s="18">
        <f>IF(D1166="","",D1166*'参数与说明'!$B$6/27.2155)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42491</v>
      </c>
      <c r="B1167" s="13" t="n">
        <v>2016</v>
      </c>
      <c r="C1167" s="13" t="n">
        <v>5</v>
      </c>
      <c r="D1167" s="14" t="n">
        <v>9.76</v>
      </c>
      <c r="E1167" s="14">
        <f>IF(D1167="","",D1167*'参数与说明'!$B$6/27.2155)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42522</v>
      </c>
      <c r="B1168" s="17" t="n">
        <v>2016</v>
      </c>
      <c r="C1168" s="17" t="n">
        <v>6</v>
      </c>
      <c r="D1168" s="18" t="n">
        <v>10.2</v>
      </c>
      <c r="E1168" s="18">
        <f>IF(D1168="","",D1168*'参数与说明'!$B$6/27.2155)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42552</v>
      </c>
      <c r="B1169" s="13" t="n">
        <v>2016</v>
      </c>
      <c r="C1169" s="13" t="n">
        <v>7</v>
      </c>
      <c r="D1169" s="14" t="n">
        <v>10.2</v>
      </c>
      <c r="E1169" s="14">
        <f>IF(D1169="","",D1169*'参数与说明'!$B$6/27.2155)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42583</v>
      </c>
      <c r="B1170" s="17" t="n">
        <v>2016</v>
      </c>
      <c r="C1170" s="17" t="n">
        <v>8</v>
      </c>
      <c r="D1170" s="18" t="n">
        <v>9.93</v>
      </c>
      <c r="E1170" s="18">
        <f>IF(D1170="","",D1170*'参数与说明'!$B$6/27.2155)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42614</v>
      </c>
      <c r="B1171" s="13" t="n">
        <v>2016</v>
      </c>
      <c r="C1171" s="13" t="n">
        <v>9</v>
      </c>
      <c r="D1171" s="14" t="n">
        <v>9.41</v>
      </c>
      <c r="E1171" s="14">
        <f>IF(D1171="","",D1171*'参数与说明'!$B$6/27.2155)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42644</v>
      </c>
      <c r="B1172" s="17" t="n">
        <v>2016</v>
      </c>
      <c r="C1172" s="17" t="n">
        <v>10</v>
      </c>
      <c r="D1172" s="18" t="n">
        <v>9.300000000000001</v>
      </c>
      <c r="E1172" s="18">
        <f>IF(D1172="","",D1172*'参数与说明'!$B$6/27.2155)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42675</v>
      </c>
      <c r="B1173" s="13" t="n">
        <v>2016</v>
      </c>
      <c r="C1173" s="13" t="n">
        <v>11</v>
      </c>
      <c r="D1173" s="14" t="n">
        <v>9.470000000000001</v>
      </c>
      <c r="E1173" s="14">
        <f>IF(D1173="","",D1173*'参数与说明'!$B$6/27.2155)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42705</v>
      </c>
      <c r="B1174" s="17" t="n">
        <v>2016</v>
      </c>
      <c r="C1174" s="17" t="n">
        <v>12</v>
      </c>
      <c r="D1174" s="18" t="n">
        <v>9.640000000000001</v>
      </c>
      <c r="E1174" s="18">
        <f>IF(D1174="","",D1174*'参数与说明'!$B$6/27.2155)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42736</v>
      </c>
      <c r="B1175" s="13" t="n">
        <v>2017</v>
      </c>
      <c r="C1175" s="13" t="n">
        <v>1</v>
      </c>
      <c r="D1175" s="14" t="n">
        <v>9.710000000000001</v>
      </c>
      <c r="E1175" s="14">
        <f>IF(D1175="","",D1175*'参数与说明'!$B$6/27.2155)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42767</v>
      </c>
      <c r="B1176" s="17" t="n">
        <v>2017</v>
      </c>
      <c r="C1176" s="17" t="n">
        <v>2</v>
      </c>
      <c r="D1176" s="18" t="n">
        <v>9.859999999999999</v>
      </c>
      <c r="E1176" s="18">
        <f>IF(D1176="","",D1176*'参数与说明'!$B$6/27.2155)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42795</v>
      </c>
      <c r="B1177" s="13" t="n">
        <v>2017</v>
      </c>
      <c r="C1177" s="13" t="n">
        <v>3</v>
      </c>
      <c r="D1177" s="14" t="n">
        <v>9.69</v>
      </c>
      <c r="E1177" s="14">
        <f>IF(D1177="","",D1177*'参数与说明'!$B$6/27.2155)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42826</v>
      </c>
      <c r="B1178" s="17" t="n">
        <v>2017</v>
      </c>
      <c r="C1178" s="17" t="n">
        <v>4</v>
      </c>
      <c r="D1178" s="18" t="n">
        <v>9.33</v>
      </c>
      <c r="E1178" s="18">
        <f>IF(D1178="","",D1178*'参数与说明'!$B$6/27.2155)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42856</v>
      </c>
      <c r="B1179" s="13" t="n">
        <v>2017</v>
      </c>
      <c r="C1179" s="13" t="n">
        <v>5</v>
      </c>
      <c r="D1179" s="14" t="n">
        <v>9.289999999999999</v>
      </c>
      <c r="E1179" s="14">
        <f>IF(D1179="","",D1179*'参数与说明'!$B$6/27.2155)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42887</v>
      </c>
      <c r="B1180" s="17" t="n">
        <v>2017</v>
      </c>
      <c r="C1180" s="17" t="n">
        <v>6</v>
      </c>
      <c r="D1180" s="18" t="n">
        <v>9.1</v>
      </c>
      <c r="E1180" s="18">
        <f>IF(D1180="","",D1180*'参数与说明'!$B$6/27.2155)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42917</v>
      </c>
      <c r="B1181" s="13" t="n">
        <v>2017</v>
      </c>
      <c r="C1181" s="13" t="n">
        <v>7</v>
      </c>
      <c r="D1181" s="14" t="n">
        <v>9.42</v>
      </c>
      <c r="E1181" s="14">
        <f>IF(D1181="","",D1181*'参数与说明'!$B$6/27.2155)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42948</v>
      </c>
      <c r="B1182" s="17" t="n">
        <v>2017</v>
      </c>
      <c r="C1182" s="17" t="n">
        <v>8</v>
      </c>
      <c r="D1182" s="18" t="n">
        <v>9.24</v>
      </c>
      <c r="E1182" s="18">
        <f>IF(D1182="","",D1182*'参数与说明'!$B$6/27.2155)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42979</v>
      </c>
      <c r="B1183" s="13" t="n">
        <v>2017</v>
      </c>
      <c r="C1183" s="13" t="n">
        <v>9</v>
      </c>
      <c r="D1183" s="14" t="n">
        <v>9.35</v>
      </c>
      <c r="E1183" s="14">
        <f>IF(D1183="","",D1183*'参数与说明'!$B$6/27.2155)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43009</v>
      </c>
      <c r="B1184" s="17" t="n">
        <v>2017</v>
      </c>
      <c r="C1184" s="17" t="n">
        <v>10</v>
      </c>
      <c r="D1184" s="18" t="n">
        <v>9.18</v>
      </c>
      <c r="E1184" s="18">
        <f>IF(D1184="","",D1184*'参数与说明'!$B$6/27.2155)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43040</v>
      </c>
      <c r="B1185" s="13" t="n">
        <v>2017</v>
      </c>
      <c r="C1185" s="13" t="n">
        <v>11</v>
      </c>
      <c r="D1185" s="14" t="n">
        <v>9.220000000000001</v>
      </c>
      <c r="E1185" s="14">
        <f>IF(D1185="","",D1185*'参数与说明'!$B$6/27.2155)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43070</v>
      </c>
      <c r="B1186" s="17" t="n">
        <v>2017</v>
      </c>
      <c r="C1186" s="17" t="n">
        <v>12</v>
      </c>
      <c r="D1186" s="18" t="n">
        <v>9.300000000000001</v>
      </c>
      <c r="E1186" s="18">
        <f>IF(D1186="","",D1186*'参数与说明'!$B$6/27.2155)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43101</v>
      </c>
      <c r="B1187" s="13" t="n">
        <v>2018</v>
      </c>
      <c r="C1187" s="13" t="n">
        <v>1</v>
      </c>
      <c r="D1187" s="14" t="n">
        <v>9.300000000000001</v>
      </c>
      <c r="E1187" s="14">
        <f>IF(D1187="","",D1187*'参数与说明'!$B$6/27.2155)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43132</v>
      </c>
      <c r="B1188" s="17" t="n">
        <v>2018</v>
      </c>
      <c r="C1188" s="17" t="n">
        <v>2</v>
      </c>
      <c r="D1188" s="18" t="n">
        <v>9.5</v>
      </c>
      <c r="E1188" s="18">
        <f>IF(D1188="","",D1188*'参数与说明'!$B$6/27.2155)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43160</v>
      </c>
      <c r="B1189" s="13" t="n">
        <v>2018</v>
      </c>
      <c r="C1189" s="13" t="n">
        <v>3</v>
      </c>
      <c r="D1189" s="14" t="n">
        <v>9.81</v>
      </c>
      <c r="E1189" s="14">
        <f>IF(D1189="","",D1189*'参数与说明'!$B$6/27.2155)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43191</v>
      </c>
      <c r="B1190" s="17" t="n">
        <v>2018</v>
      </c>
      <c r="C1190" s="17" t="n">
        <v>4</v>
      </c>
      <c r="D1190" s="18" t="n">
        <v>9.85</v>
      </c>
      <c r="E1190" s="18">
        <f>IF(D1190="","",D1190*'参数与说明'!$B$6/27.2155)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43221</v>
      </c>
      <c r="B1191" s="13" t="n">
        <v>2018</v>
      </c>
      <c r="C1191" s="13" t="n">
        <v>5</v>
      </c>
      <c r="D1191" s="14" t="n">
        <v>9.84</v>
      </c>
      <c r="E1191" s="14">
        <f>IF(D1191="","",D1191*'参数与说明'!$B$6/27.2155)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43252</v>
      </c>
      <c r="B1192" s="17" t="n">
        <v>2018</v>
      </c>
      <c r="C1192" s="17" t="n">
        <v>6</v>
      </c>
      <c r="D1192" s="18" t="n">
        <v>9.550000000000001</v>
      </c>
      <c r="E1192" s="18">
        <f>IF(D1192="","",D1192*'参数与说明'!$B$6/27.2155)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43282</v>
      </c>
      <c r="B1193" s="13" t="n">
        <v>2018</v>
      </c>
      <c r="C1193" s="13" t="n">
        <v>7</v>
      </c>
      <c r="D1193" s="14" t="n">
        <v>9.08</v>
      </c>
      <c r="E1193" s="14">
        <f>IF(D1193="","",D1193*'参数与说明'!$B$6/27.2155)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43313</v>
      </c>
      <c r="B1194" s="17" t="n">
        <v>2018</v>
      </c>
      <c r="C1194" s="17" t="n">
        <v>8</v>
      </c>
      <c r="D1194" s="18" t="n">
        <v>8.59</v>
      </c>
      <c r="E1194" s="18">
        <f>IF(D1194="","",D1194*'参数与说明'!$B$6/27.2155)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43344</v>
      </c>
      <c r="B1195" s="13" t="n">
        <v>2018</v>
      </c>
      <c r="C1195" s="13" t="n">
        <v>9</v>
      </c>
      <c r="D1195" s="14" t="n">
        <v>8.779999999999999</v>
      </c>
      <c r="E1195" s="14">
        <f>IF(D1195="","",D1195*'参数与说明'!$B$6/27.2155)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43374</v>
      </c>
      <c r="B1196" s="17" t="n">
        <v>2018</v>
      </c>
      <c r="C1196" s="17" t="n">
        <v>10</v>
      </c>
      <c r="D1196" s="18" t="n">
        <v>8.59</v>
      </c>
      <c r="E1196" s="18">
        <f>IF(D1196="","",D1196*'参数与说明'!$B$6/27.2155)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43405</v>
      </c>
      <c r="B1197" s="13" t="n">
        <v>2018</v>
      </c>
      <c r="C1197" s="13" t="n">
        <v>11</v>
      </c>
      <c r="D1197" s="14" t="n">
        <v>8.359999999999999</v>
      </c>
      <c r="E1197" s="14">
        <f>IF(D1197="","",D1197*'参数与说明'!$B$6/27.2155)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43435</v>
      </c>
      <c r="B1198" s="17" t="n">
        <v>2018</v>
      </c>
      <c r="C1198" s="17" t="n">
        <v>12</v>
      </c>
      <c r="D1198" s="18" t="n">
        <v>8.56</v>
      </c>
      <c r="E1198" s="18">
        <f>IF(D1198="","",D1198*'参数与说明'!$B$6/27.2155)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43466</v>
      </c>
      <c r="B1199" s="13" t="n">
        <v>2019</v>
      </c>
      <c r="C1199" s="13" t="n">
        <v>1</v>
      </c>
      <c r="D1199" s="14" t="n">
        <v>8.640000000000001</v>
      </c>
      <c r="E1199" s="14">
        <f>IF(D1199="","",D1199*'参数与说明'!$B$6/27.2155)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43497</v>
      </c>
      <c r="B1200" s="17" t="n">
        <v>2019</v>
      </c>
      <c r="C1200" s="17" t="n">
        <v>2</v>
      </c>
      <c r="D1200" s="18" t="n">
        <v>8.52</v>
      </c>
      <c r="E1200" s="18">
        <f>IF(D1200="","",D1200*'参数与说明'!$B$6/27.2155)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43525</v>
      </c>
      <c r="B1201" s="13" t="n">
        <v>2019</v>
      </c>
      <c r="C1201" s="13" t="n">
        <v>3</v>
      </c>
      <c r="D1201" s="14" t="n">
        <v>8.52</v>
      </c>
      <c r="E1201" s="14">
        <f>IF(D1201="","",D1201*'参数与说明'!$B$6/27.2155)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43556</v>
      </c>
      <c r="B1202" s="17" t="n">
        <v>2019</v>
      </c>
      <c r="C1202" s="17" t="n">
        <v>4</v>
      </c>
      <c r="D1202" s="18" t="n">
        <v>8.279999999999999</v>
      </c>
      <c r="E1202" s="18">
        <f>IF(D1202="","",D1202*'参数与说明'!$B$6/27.2155)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43586</v>
      </c>
      <c r="B1203" s="13" t="n">
        <v>2019</v>
      </c>
      <c r="C1203" s="13" t="n">
        <v>5</v>
      </c>
      <c r="D1203" s="14" t="n">
        <v>8.02</v>
      </c>
      <c r="E1203" s="14">
        <f>IF(D1203="","",D1203*'参数与说明'!$B$6/27.2155)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43617</v>
      </c>
      <c r="B1204" s="17" t="n">
        <v>2019</v>
      </c>
      <c r="C1204" s="17" t="n">
        <v>6</v>
      </c>
      <c r="D1204" s="18" t="n">
        <v>8.31</v>
      </c>
      <c r="E1204" s="18">
        <f>IF(D1204="","",D1204*'参数与说明'!$B$6/27.2155)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43647</v>
      </c>
      <c r="B1205" s="13" t="n">
        <v>2019</v>
      </c>
      <c r="C1205" s="13" t="n">
        <v>7</v>
      </c>
      <c r="D1205" s="14" t="n">
        <v>8.380000000000001</v>
      </c>
      <c r="E1205" s="14">
        <f>IF(D1205="","",D1205*'参数与说明'!$B$6/27.2155)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43678</v>
      </c>
      <c r="B1206" s="17" t="n">
        <v>2019</v>
      </c>
      <c r="C1206" s="17" t="n">
        <v>8</v>
      </c>
      <c r="D1206" s="18" t="n">
        <v>8.220000000000001</v>
      </c>
      <c r="E1206" s="18">
        <f>IF(D1206="","",D1206*'参数与说明'!$B$6/27.2155)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43709</v>
      </c>
      <c r="B1207" s="13" t="n">
        <v>2019</v>
      </c>
      <c r="C1207" s="13" t="n">
        <v>9</v>
      </c>
      <c r="D1207" s="14" t="n">
        <v>8.35</v>
      </c>
      <c r="E1207" s="14">
        <f>IF(D1207="","",D1207*'参数与说明'!$B$6/27.2155)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43739</v>
      </c>
      <c r="B1208" s="17" t="n">
        <v>2019</v>
      </c>
      <c r="C1208" s="17" t="n">
        <v>10</v>
      </c>
      <c r="D1208" s="18" t="n">
        <v>8.6</v>
      </c>
      <c r="E1208" s="18">
        <f>IF(D1208="","",D1208*'参数与说明'!$B$6/27.2155)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43770</v>
      </c>
      <c r="B1209" s="13" t="n">
        <v>2019</v>
      </c>
      <c r="C1209" s="13" t="n">
        <v>11</v>
      </c>
      <c r="D1209" s="14" t="n">
        <v>8.59</v>
      </c>
      <c r="E1209" s="14">
        <f>IF(D1209="","",D1209*'参数与说明'!$B$6/27.2155)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43800</v>
      </c>
      <c r="B1210" s="17" t="n">
        <v>2019</v>
      </c>
      <c r="C1210" s="17" t="n">
        <v>12</v>
      </c>
      <c r="D1210" s="18" t="n">
        <v>8.699999999999999</v>
      </c>
      <c r="E1210" s="18">
        <f>IF(D1210="","",D1210*'参数与说明'!$B$6/27.2155)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43831</v>
      </c>
      <c r="B1211" s="13" t="n">
        <v>2020</v>
      </c>
      <c r="C1211" s="13" t="n">
        <v>1</v>
      </c>
      <c r="D1211" s="14" t="n">
        <v>8.84</v>
      </c>
      <c r="E1211" s="14">
        <f>IF(D1211="","",D1211*'参数与说明'!$B$6/27.2155)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43862</v>
      </c>
      <c r="B1212" s="17" t="n">
        <v>2020</v>
      </c>
      <c r="C1212" s="17" t="n">
        <v>2</v>
      </c>
      <c r="D1212" s="18" t="n">
        <v>8.6</v>
      </c>
      <c r="E1212" s="18">
        <f>IF(D1212="","",D1212*'参数与说明'!$B$6/27.2155)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43891</v>
      </c>
      <c r="B1213" s="13" t="n">
        <v>2020</v>
      </c>
      <c r="C1213" s="13" t="n">
        <v>3</v>
      </c>
      <c r="D1213" s="14" t="n">
        <v>8.470000000000001</v>
      </c>
      <c r="E1213" s="14">
        <f>IF(D1213="","",D1213*'参数与说明'!$B$6/27.2155)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43922</v>
      </c>
      <c r="B1214" s="17" t="n">
        <v>2020</v>
      </c>
      <c r="C1214" s="17" t="n">
        <v>4</v>
      </c>
      <c r="D1214" s="18" t="n">
        <v>8.35</v>
      </c>
      <c r="E1214" s="18">
        <f>IF(D1214="","",D1214*'参数与说明'!$B$6/27.2155)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43952</v>
      </c>
      <c r="B1215" s="13" t="n">
        <v>2020</v>
      </c>
      <c r="C1215" s="13" t="n">
        <v>5</v>
      </c>
      <c r="D1215" s="14" t="n">
        <v>8.279999999999999</v>
      </c>
      <c r="E1215" s="14">
        <f>IF(D1215="","",D1215*'参数与说明'!$B$6/27.2155)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43983</v>
      </c>
      <c r="B1216" s="17" t="n">
        <v>2020</v>
      </c>
      <c r="C1216" s="17" t="n">
        <v>6</v>
      </c>
      <c r="D1216" s="18" t="n">
        <v>8.34</v>
      </c>
      <c r="E1216" s="18">
        <f>IF(D1216="","",D1216*'参数与说明'!$B$6/27.2155)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44013</v>
      </c>
      <c r="B1217" s="13" t="n">
        <v>2020</v>
      </c>
      <c r="C1217" s="13" t="n">
        <v>7</v>
      </c>
      <c r="D1217" s="14" t="n">
        <v>8.5</v>
      </c>
      <c r="E1217" s="14">
        <f>IF(D1217="","",D1217*'参数与说明'!$B$6/27.2155)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44044</v>
      </c>
      <c r="B1218" s="17" t="n">
        <v>2020</v>
      </c>
      <c r="C1218" s="17" t="n">
        <v>8</v>
      </c>
      <c r="D1218" s="18" t="n">
        <v>8.66</v>
      </c>
      <c r="E1218" s="18">
        <f>IF(D1218="","",D1218*'参数与说明'!$B$6/27.2155)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44075</v>
      </c>
      <c r="B1219" s="13" t="n">
        <v>2020</v>
      </c>
      <c r="C1219" s="13" t="n">
        <v>9</v>
      </c>
      <c r="D1219" s="14" t="n">
        <v>9.24</v>
      </c>
      <c r="E1219" s="14">
        <f>IF(D1219="","",D1219*'参数与说明'!$B$6/27.2155)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44105</v>
      </c>
      <c r="B1220" s="17" t="n">
        <v>2020</v>
      </c>
      <c r="C1220" s="17" t="n">
        <v>10</v>
      </c>
      <c r="D1220" s="18" t="n">
        <v>9.630000000000001</v>
      </c>
      <c r="E1220" s="18">
        <f>IF(D1220="","",D1220*'参数与说明'!$B$6/27.2155)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44136</v>
      </c>
      <c r="B1221" s="13" t="n">
        <v>2020</v>
      </c>
      <c r="C1221" s="13" t="n">
        <v>11</v>
      </c>
      <c r="D1221" s="14" t="n">
        <v>10.3</v>
      </c>
      <c r="E1221" s="14">
        <f>IF(D1221="","",D1221*'参数与说明'!$B$6/27.2155)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44166</v>
      </c>
      <c r="B1222" s="17" t="n">
        <v>2020</v>
      </c>
      <c r="C1222" s="17" t="n">
        <v>12</v>
      </c>
      <c r="D1222" s="18" t="n">
        <v>10.6</v>
      </c>
      <c r="E1222" s="18">
        <f>IF(D1222="","",D1222*'参数与说明'!$B$6/27.2155)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44197</v>
      </c>
      <c r="B1223" s="13" t="n">
        <v>2021</v>
      </c>
      <c r="C1223" s="13" t="n">
        <v>1</v>
      </c>
      <c r="D1223" s="14" t="n">
        <v>10.9</v>
      </c>
      <c r="E1223" s="14">
        <f>IF(D1223="","",D1223*'参数与说明'!$B$6/27.2155)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44228</v>
      </c>
      <c r="B1224" s="17" t="n">
        <v>2021</v>
      </c>
      <c r="C1224" s="17" t="n">
        <v>2</v>
      </c>
      <c r="D1224" s="18" t="n">
        <v>12.7</v>
      </c>
      <c r="E1224" s="18">
        <f>IF(D1224="","",D1224*'参数与说明'!$B$6/27.2155)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44256</v>
      </c>
      <c r="B1225" s="13" t="n">
        <v>2021</v>
      </c>
      <c r="C1225" s="13" t="n">
        <v>3</v>
      </c>
      <c r="D1225" s="14" t="n">
        <v>13.2</v>
      </c>
      <c r="E1225" s="14">
        <f>IF(D1225="","",D1225*'参数与说明'!$B$6/27.2155)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44287</v>
      </c>
      <c r="B1226" s="17" t="n">
        <v>2021</v>
      </c>
      <c r="C1226" s="17" t="n">
        <v>4</v>
      </c>
      <c r="D1226" s="18" t="n">
        <v>13.9</v>
      </c>
      <c r="E1226" s="18">
        <f>IF(D1226="","",D1226*'参数与说明'!$B$6/27.2155)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44317</v>
      </c>
      <c r="B1227" s="13" t="n">
        <v>2021</v>
      </c>
      <c r="C1227" s="13" t="n">
        <v>5</v>
      </c>
      <c r="D1227" s="14" t="n">
        <v>14.8</v>
      </c>
      <c r="E1227" s="14">
        <f>IF(D1227="","",D1227*'参数与说明'!$B$6/27.2155)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44348</v>
      </c>
      <c r="B1228" s="17" t="n">
        <v>2021</v>
      </c>
      <c r="C1228" s="17" t="n">
        <v>6</v>
      </c>
      <c r="D1228" s="18" t="n">
        <v>14.5</v>
      </c>
      <c r="E1228" s="18">
        <f>IF(D1228="","",D1228*'参数与说明'!$B$6/27.2155)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44378</v>
      </c>
      <c r="B1229" s="13" t="n">
        <v>2021</v>
      </c>
      <c r="C1229" s="13" t="n">
        <v>7</v>
      </c>
      <c r="D1229" s="14" t="n">
        <v>14.1</v>
      </c>
      <c r="E1229" s="14">
        <f>IF(D1229="","",D1229*'参数与说明'!$B$6/27.2155)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44409</v>
      </c>
      <c r="B1230" s="17" t="n">
        <v>2021</v>
      </c>
      <c r="C1230" s="17" t="n">
        <v>8</v>
      </c>
      <c r="D1230" s="18" t="n">
        <v>13.7</v>
      </c>
      <c r="E1230" s="18">
        <f>IF(D1230="","",D1230*'参数与说明'!$B$6/27.2155)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44440</v>
      </c>
      <c r="B1231" s="13" t="n">
        <v>2021</v>
      </c>
      <c r="C1231" s="13" t="n">
        <v>9</v>
      </c>
      <c r="D1231" s="14" t="n">
        <v>12.2</v>
      </c>
      <c r="E1231" s="14">
        <f>IF(D1231="","",D1231*'参数与说明'!$B$6/27.2155)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44470</v>
      </c>
      <c r="B1232" s="17" t="n">
        <v>2021</v>
      </c>
      <c r="C1232" s="17" t="n">
        <v>10</v>
      </c>
      <c r="D1232" s="18" t="n">
        <v>11.9</v>
      </c>
      <c r="E1232" s="18">
        <f>IF(D1232="","",D1232*'参数与说明'!$B$6/27.2155)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44501</v>
      </c>
      <c r="B1233" s="13" t="n">
        <v>2021</v>
      </c>
      <c r="C1233" s="13" t="n">
        <v>11</v>
      </c>
      <c r="D1233" s="14" t="n">
        <v>12.1</v>
      </c>
      <c r="E1233" s="14">
        <f>IF(D1233="","",D1233*'参数与说明'!$B$6/27.2155)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44531</v>
      </c>
      <c r="B1234" s="17" t="n">
        <v>2021</v>
      </c>
      <c r="C1234" s="17" t="n">
        <v>12</v>
      </c>
      <c r="D1234" s="18" t="n">
        <v>12.5</v>
      </c>
      <c r="E1234" s="18">
        <f>IF(D1234="","",D1234*'参数与说明'!$B$6/27.2155)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44562</v>
      </c>
      <c r="B1235" s="13" t="n">
        <v>2022</v>
      </c>
      <c r="C1235" s="13" t="n">
        <v>1</v>
      </c>
      <c r="D1235" s="14" t="n">
        <v>12.9</v>
      </c>
      <c r="E1235" s="14">
        <f>IF(D1235="","",D1235*'参数与说明'!$B$6/27.2155)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44593</v>
      </c>
      <c r="B1236" s="17" t="n">
        <v>2022</v>
      </c>
      <c r="C1236" s="17" t="n">
        <v>2</v>
      </c>
      <c r="D1236" s="18" t="n">
        <v>14.7</v>
      </c>
      <c r="E1236" s="18">
        <f>IF(D1236="","",D1236*'参数与说明'!$B$6/27.2155)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44621</v>
      </c>
      <c r="B1237" s="13" t="n">
        <v>2022</v>
      </c>
      <c r="C1237" s="13" t="n">
        <v>3</v>
      </c>
      <c r="D1237" s="14" t="n">
        <v>15.4</v>
      </c>
      <c r="E1237" s="14">
        <f>IF(D1237="","",D1237*'参数与说明'!$B$6/27.2155)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44652</v>
      </c>
      <c r="B1238" s="17" t="n">
        <v>2022</v>
      </c>
      <c r="C1238" s="17" t="n">
        <v>4</v>
      </c>
      <c r="D1238" s="18" t="n">
        <v>15.8</v>
      </c>
      <c r="E1238" s="18">
        <f>IF(D1238="","",D1238*'参数与说明'!$B$6/27.2155)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44682</v>
      </c>
      <c r="B1239" s="13" t="n">
        <v>2022</v>
      </c>
      <c r="C1239" s="13" t="n">
        <v>5</v>
      </c>
      <c r="D1239" s="14" t="n">
        <v>16.1</v>
      </c>
      <c r="E1239" s="14">
        <f>IF(D1239="","",D1239*'参数与说明'!$B$6/27.2155)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44713</v>
      </c>
      <c r="B1240" s="17" t="n">
        <v>2022</v>
      </c>
      <c r="C1240" s="17" t="n">
        <v>6</v>
      </c>
      <c r="D1240" s="18" t="n">
        <v>16.4</v>
      </c>
      <c r="E1240" s="18">
        <f>IF(D1240="","",D1240*'参数与说明'!$B$6/27.2155)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44743</v>
      </c>
      <c r="B1241" s="13" t="n">
        <v>2022</v>
      </c>
      <c r="C1241" s="13" t="n">
        <v>7</v>
      </c>
      <c r="D1241" s="14" t="n">
        <v>15.5</v>
      </c>
      <c r="E1241" s="14">
        <f>IF(D1241="","",D1241*'参数与说明'!$B$6/27.2155)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44774</v>
      </c>
      <c r="B1242" s="17" t="n">
        <v>2022</v>
      </c>
      <c r="C1242" s="17" t="n">
        <v>8</v>
      </c>
      <c r="D1242" s="18" t="n">
        <v>15.3</v>
      </c>
      <c r="E1242" s="18">
        <f>IF(D1242="","",D1242*'参数与说明'!$B$6/27.2155)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44805</v>
      </c>
      <c r="B1243" s="13" t="n">
        <v>2022</v>
      </c>
      <c r="C1243" s="13" t="n">
        <v>9</v>
      </c>
      <c r="D1243" s="14" t="n">
        <v>14.2</v>
      </c>
      <c r="E1243" s="14">
        <f>IF(D1243="","",D1243*'参数与说明'!$B$6/27.2155)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44835</v>
      </c>
      <c r="B1244" s="17" t="n">
        <v>2022</v>
      </c>
      <c r="C1244" s="17" t="n">
        <v>10</v>
      </c>
      <c r="D1244" s="18" t="n">
        <v>13.5</v>
      </c>
      <c r="E1244" s="18">
        <f>IF(D1244="","",D1244*'参数与说明'!$B$6/27.2155)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44866</v>
      </c>
      <c r="B1245" s="13" t="n">
        <v>2022</v>
      </c>
      <c r="C1245" s="13" t="n">
        <v>11</v>
      </c>
      <c r="D1245" s="14" t="n">
        <v>14</v>
      </c>
      <c r="E1245" s="14">
        <f>IF(D1245="","",D1245*'参数与说明'!$B$6/27.2155)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44896</v>
      </c>
      <c r="B1246" s="17" t="n">
        <v>2022</v>
      </c>
      <c r="C1246" s="17" t="n">
        <v>12</v>
      </c>
      <c r="D1246" s="18" t="n">
        <v>14.4</v>
      </c>
      <c r="E1246" s="18">
        <f>IF(D1246="","",D1246*'参数与说明'!$B$6/27.2155)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44927</v>
      </c>
      <c r="B1247" s="13" t="n">
        <v>2023</v>
      </c>
      <c r="C1247" s="13" t="n">
        <v>1</v>
      </c>
      <c r="D1247" s="14" t="n">
        <v>14.5</v>
      </c>
      <c r="E1247" s="14">
        <f>IF(D1247="","",D1247*'参数与说明'!$B$6/27.2155)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44958</v>
      </c>
      <c r="B1248" s="17" t="n">
        <v>2023</v>
      </c>
      <c r="C1248" s="17" t="n">
        <v>2</v>
      </c>
      <c r="D1248" s="18" t="n">
        <v>15.1</v>
      </c>
      <c r="E1248" s="18">
        <f>IF(D1248="","",D1248*'参数与说明'!$B$6/27.2155)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44986</v>
      </c>
      <c r="B1249" s="13" t="n">
        <v>2023</v>
      </c>
      <c r="C1249" s="13" t="n">
        <v>3</v>
      </c>
      <c r="D1249" s="14" t="n">
        <v>14.9</v>
      </c>
      <c r="E1249" s="14">
        <f>IF(D1249="","",D1249*'参数与说明'!$B$6/27.2155)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45017</v>
      </c>
      <c r="B1250" s="17" t="n">
        <v>2023</v>
      </c>
      <c r="C1250" s="17" t="n">
        <v>4</v>
      </c>
      <c r="D1250" s="18" t="n">
        <v>14.9</v>
      </c>
      <c r="E1250" s="18">
        <f>IF(D1250="","",D1250*'参数与说明'!$B$6/27.2155)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45047</v>
      </c>
      <c r="B1251" s="13" t="n">
        <v>2023</v>
      </c>
      <c r="C1251" s="13" t="n">
        <v>5</v>
      </c>
      <c r="D1251" s="14" t="n">
        <v>14.4</v>
      </c>
      <c r="E1251" s="14">
        <f>IF(D1251="","",D1251*'参数与说明'!$B$6/27.2155)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45078</v>
      </c>
      <c r="B1252" s="17" t="n">
        <v>2023</v>
      </c>
      <c r="C1252" s="17" t="n">
        <v>6</v>
      </c>
      <c r="D1252" s="18" t="n">
        <v>14.2</v>
      </c>
      <c r="E1252" s="18">
        <f>IF(D1252="","",D1252*'参数与说明'!$B$6/27.2155)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45108</v>
      </c>
      <c r="B1253" s="13" t="n">
        <v>2023</v>
      </c>
      <c r="C1253" s="13" t="n">
        <v>7</v>
      </c>
      <c r="D1253" s="14" t="n">
        <v>14.7</v>
      </c>
      <c r="E1253" s="14">
        <f>IF(D1253="","",D1253*'参数与说明'!$B$6/27.2155)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45139</v>
      </c>
      <c r="B1254" s="17" t="n">
        <v>2023</v>
      </c>
      <c r="C1254" s="17" t="n">
        <v>8</v>
      </c>
      <c r="D1254" s="18" t="n">
        <v>14.1</v>
      </c>
      <c r="E1254" s="18">
        <f>IF(D1254="","",D1254*'参数与说明'!$B$6/27.2155)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45170</v>
      </c>
      <c r="B1255" s="13" t="n">
        <v>2023</v>
      </c>
      <c r="C1255" s="13" t="n">
        <v>9</v>
      </c>
      <c r="D1255" s="14" t="n">
        <v>13.2</v>
      </c>
      <c r="E1255" s="14">
        <f>IF(D1255="","",D1255*'参数与说明'!$B$6/27.2155)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45200</v>
      </c>
      <c r="B1256" s="17" t="n">
        <v>2023</v>
      </c>
      <c r="C1256" s="17" t="n">
        <v>10</v>
      </c>
      <c r="D1256" s="18" t="n">
        <v>12.7</v>
      </c>
      <c r="E1256" s="18">
        <f>IF(D1256="","",D1256*'参数与说明'!$B$6/27.2155)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45231</v>
      </c>
      <c r="B1257" s="13" t="n">
        <v>2023</v>
      </c>
      <c r="C1257" s="13" t="n">
        <v>11</v>
      </c>
      <c r="D1257" s="14" t="n">
        <v>13</v>
      </c>
      <c r="E1257" s="14">
        <f>IF(D1257="","",D1257*'参数与说明'!$B$6/27.2155)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45261</v>
      </c>
      <c r="B1258" s="17" t="n">
        <v>2023</v>
      </c>
      <c r="C1258" s="17" t="n">
        <v>12</v>
      </c>
      <c r="D1258" s="18" t="n">
        <v>13.1</v>
      </c>
      <c r="E1258" s="18">
        <f>IF(D1258="","",D1258*'参数与说明'!$B$6/27.2155)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45292</v>
      </c>
      <c r="B1259" s="13" t="n">
        <v>2024</v>
      </c>
      <c r="C1259" s="13" t="n">
        <v>1</v>
      </c>
      <c r="D1259" s="14" t="n">
        <v>12.8</v>
      </c>
      <c r="E1259" s="14">
        <f>IF(D1259="","",D1259*'参数与说明'!$B$6/27.2155)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45323</v>
      </c>
      <c r="B1260" s="17" t="n">
        <v>2024</v>
      </c>
      <c r="C1260" s="17" t="n">
        <v>2</v>
      </c>
      <c r="D1260" s="18" t="n">
        <v>11.9</v>
      </c>
      <c r="E1260" s="18">
        <f>IF(D1260="","",D1260*'参数与说明'!$B$6/27.2155)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45352</v>
      </c>
      <c r="B1261" s="13" t="n">
        <v>2024</v>
      </c>
      <c r="C1261" s="13" t="n">
        <v>3</v>
      </c>
      <c r="D1261" s="14" t="n">
        <v>11.8</v>
      </c>
      <c r="E1261" s="14">
        <f>IF(D1261="","",D1261*'参数与说明'!$B$6/27.2155)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45383</v>
      </c>
      <c r="B1262" s="17" t="n">
        <v>2024</v>
      </c>
      <c r="C1262" s="17" t="n">
        <v>4</v>
      </c>
      <c r="D1262" s="18" t="n">
        <v>11.8</v>
      </c>
      <c r="E1262" s="18">
        <f>IF(D1262="","",D1262*'参数与说明'!$B$6/27.2155)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45413</v>
      </c>
      <c r="B1263" s="13" t="n">
        <v>2024</v>
      </c>
      <c r="C1263" s="13" t="n">
        <v>5</v>
      </c>
      <c r="D1263" s="14" t="n">
        <v>11.9</v>
      </c>
      <c r="E1263" s="14">
        <f>IF(D1263="","",D1263*'参数与说明'!$B$6/27.2155)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45444</v>
      </c>
      <c r="B1264" s="17" t="n">
        <v>2024</v>
      </c>
      <c r="C1264" s="17" t="n">
        <v>6</v>
      </c>
      <c r="D1264" s="18" t="n">
        <v>11.8</v>
      </c>
      <c r="E1264" s="18">
        <f>IF(D1264="","",D1264*'参数与说明'!$B$6/27.2155)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45474</v>
      </c>
      <c r="B1265" s="13" t="n">
        <v>2024</v>
      </c>
      <c r="C1265" s="13" t="n">
        <v>7</v>
      </c>
      <c r="D1265" s="14" t="n">
        <v>11.3</v>
      </c>
      <c r="E1265" s="14">
        <f>IF(D1265="","",D1265*'参数与说明'!$B$6/27.2155)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45505</v>
      </c>
      <c r="B1266" s="17" t="n">
        <v>2024</v>
      </c>
      <c r="C1266" s="17" t="n">
        <v>8</v>
      </c>
      <c r="D1266" s="18" t="n">
        <v>10.3</v>
      </c>
      <c r="E1266" s="18">
        <f>IF(D1266="","",D1266*'参数与说明'!$B$6/27.2155)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45536</v>
      </c>
      <c r="B1267" s="13" t="n">
        <v>2024</v>
      </c>
      <c r="C1267" s="13" t="n">
        <v>9</v>
      </c>
      <c r="D1267" s="14" t="n">
        <v>10.2</v>
      </c>
      <c r="E1267" s="14">
        <f>IF(D1267="","",D1267*'参数与说明'!$B$6/27.2155)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45566</v>
      </c>
      <c r="B1268" s="17" t="n">
        <v>2024</v>
      </c>
      <c r="C1268" s="17" t="n">
        <v>10</v>
      </c>
      <c r="D1268" s="18" t="n">
        <v>9.91</v>
      </c>
      <c r="E1268" s="18">
        <f>IF(D1268="","",D1268*'参数与说明'!$B$6/27.2155)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45597</v>
      </c>
      <c r="B1269" s="13" t="n">
        <v>2024</v>
      </c>
      <c r="C1269" s="13" t="n">
        <v>11</v>
      </c>
      <c r="D1269" s="14" t="n">
        <v>9.84</v>
      </c>
      <c r="E1269" s="14">
        <f>IF(D1269="","",D1269*'参数与说明'!$B$6/27.2155)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45627</v>
      </c>
      <c r="B1270" s="17" t="n">
        <v>2024</v>
      </c>
      <c r="C1270" s="17" t="n">
        <v>12</v>
      </c>
      <c r="D1270" s="18" t="n">
        <v>9.789999999999999</v>
      </c>
      <c r="E1270" s="18">
        <f>IF(D1270="","",D1270*'参数与说明'!$B$6/27.2155)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45658</v>
      </c>
      <c r="B1271" s="13" t="n">
        <v>2025</v>
      </c>
      <c r="C1271" s="13" t="n">
        <v>1</v>
      </c>
      <c r="D1271" s="14" t="n">
        <v>10</v>
      </c>
      <c r="E1271" s="14">
        <f>IF(D1271="","",D1271*'参数与说明'!$B$6/27.2155)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45689</v>
      </c>
      <c r="B1272" s="17" t="n">
        <v>2025</v>
      </c>
      <c r="C1272" s="17" t="n">
        <v>2</v>
      </c>
      <c r="D1272" s="18" t="n">
        <v>10.2</v>
      </c>
      <c r="E1272" s="18">
        <f>IF(D1272="","",D1272*'参数与说明'!$B$6/27.2155)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45717</v>
      </c>
      <c r="B1273" s="13" t="n">
        <v>2025</v>
      </c>
      <c r="C1273" s="13" t="n">
        <v>3</v>
      </c>
      <c r="D1273" s="14" t="n">
        <v>10.2</v>
      </c>
      <c r="E1273" s="14">
        <f>IF(D1273="","",D1273*'参数与说明'!$B$6/27.2155)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45748</v>
      </c>
      <c r="B1274" s="17" t="n">
        <v>2025</v>
      </c>
      <c r="C1274" s="17" t="n">
        <v>4</v>
      </c>
      <c r="D1274" s="18" t="n">
        <v>10.2</v>
      </c>
      <c r="E1274" s="18">
        <f>IF(D1274="","",D1274*'参数与说明'!$B$6/27.2155)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45778</v>
      </c>
      <c r="B1275" s="13" t="n">
        <v>2025</v>
      </c>
      <c r="C1275" s="13" t="n">
        <v>5</v>
      </c>
      <c r="D1275" s="14" t="n">
        <v>10.4</v>
      </c>
      <c r="E1275" s="14">
        <f>IF(D1275="","",D1275*'参数与说明'!$B$6/27.2155)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45809</v>
      </c>
      <c r="B1276" s="17" t="n">
        <v>2025</v>
      </c>
      <c r="C1276" s="17" t="n">
        <v>6</v>
      </c>
      <c r="D1276" s="18" t="n">
        <v>10.4</v>
      </c>
      <c r="E1276" s="18">
        <f>IF(D1276="","",D1276*'参数与说明'!$B$6/27.2155)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45839</v>
      </c>
      <c r="B1277" s="13" t="n">
        <v>2025</v>
      </c>
      <c r="C1277" s="13" t="n">
        <v>7</v>
      </c>
      <c r="D1277" s="14" t="n">
        <v>10.2</v>
      </c>
      <c r="E1277" s="14">
        <f>IF(D1277="","",D1277*'参数与说明'!$B$6/27.2155)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45870</v>
      </c>
      <c r="B1278" s="17" t="n">
        <v>2025</v>
      </c>
      <c r="C1278" s="17" t="n">
        <v>8</v>
      </c>
      <c r="D1278" s="18" t="n">
        <v>10</v>
      </c>
      <c r="E1278" s="18">
        <f>IF(D1278="","",D1278*'参数与说明'!$B$6/27.2155)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45901</v>
      </c>
      <c r="B1279" s="13" t="n">
        <v>2025</v>
      </c>
      <c r="C1279" s="13" t="n">
        <v>9</v>
      </c>
      <c r="D1279" s="14" t="n">
        <v>9.85</v>
      </c>
      <c r="E1279" s="14">
        <f>IF(D1279="","",D1279*'参数与说明'!$B$6/27.2155)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45931</v>
      </c>
      <c r="B1280" s="17" t="n">
        <v>2025</v>
      </c>
      <c r="C1280" s="17" t="n">
        <v>10</v>
      </c>
      <c r="D1280" s="18" t="n">
        <v>9.710000000000001</v>
      </c>
      <c r="E1280" s="18">
        <f>IF(D1280="","",D1280*'参数与说明'!$B$6/27.2155)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45962</v>
      </c>
      <c r="B1281" s="13" t="n">
        <v>2025</v>
      </c>
      <c r="C1281" s="13" t="n">
        <v>11</v>
      </c>
      <c r="D1281" s="14" t="n">
        <v>10.5</v>
      </c>
      <c r="E1281" s="14">
        <f>IF(D1281="","",D1281*'参数与说明'!$B$6/27.2155)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45992</v>
      </c>
      <c r="B1282" s="17" t="n">
        <v>2025</v>
      </c>
      <c r="C1282" s="17" t="n">
        <v>12</v>
      </c>
      <c r="D1282" s="18" t="n">
        <v>10.4</v>
      </c>
      <c r="E1282" s="18">
        <f>IF(D1282="","",D1282*'参数与说明'!$B$6/27.2155)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46023</v>
      </c>
      <c r="B1283" s="13" t="n">
        <v>2026</v>
      </c>
      <c r="C1283" s="13" t="n">
        <v>1</v>
      </c>
      <c r="D1283" s="14" t="n">
        <v>10.3</v>
      </c>
      <c r="E1283" s="14">
        <f>IF(D1283="","",D1283*'参数与说明'!$B$6/27.2155)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46054</v>
      </c>
      <c r="B1284" s="17" t="n">
        <v>2026</v>
      </c>
      <c r="C1284" s="17" t="n">
        <v>2</v>
      </c>
      <c r="D1284" s="18" t="n">
        <v>10.6</v>
      </c>
      <c r="E1284" s="18">
        <f>IF(D1284="","",D1284*'参数与说明'!$B$6/27.2155)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46082</v>
      </c>
      <c r="B1285" s="13" t="n">
        <v>2026</v>
      </c>
      <c r="C1285" s="13" t="n">
        <v>3</v>
      </c>
      <c r="D1285" s="14" t="n">
        <v>11.1</v>
      </c>
      <c r="E1285" s="14">
        <f>IF(D1285="","",D1285*'参数与说明'!$B$6/27.2155)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46113</v>
      </c>
      <c r="B1286" s="17" t="n">
        <v>2026</v>
      </c>
      <c r="C1286" s="17" t="n">
        <v>4</v>
      </c>
      <c r="D1286" s="18" t="n">
        <v>11.2</v>
      </c>
      <c r="E1286" s="18">
        <f>IF(D1286="","",D1286*'参数与说明'!$B$6/27.2155)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2026-06-23T02:27:34Z</dcterms:created>
  <dcterms:modified xmlns:dcterms="http://purl.org/dc/terms/" xmlns:xsi="http://www.w3.org/2001/XMLSchema-instance" xsi:type="dcterms:W3CDTF">2026-06-23T02:27:35Z</dcterms:modified>
</cp:coreProperties>
</file>