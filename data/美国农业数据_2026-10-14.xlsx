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'牛肉·活牛'!$A$5:$A$1409</f>
            </numRef>
          </cat>
          <val>
            <numRef>
              <f>'牛肉·活牛'!$D$5:$D$1409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'生猪'!$A$5:$A$1409</f>
            </numRef>
          </cat>
          <val>
            <numRef>
              <f>'生猪'!$D$5:$D$1409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'生鲜乳'!$A$5:$A$564</f>
            </numRef>
          </cat>
          <val>
            <numRef>
              <f>'生鲜乳'!$D$5:$D$564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'鸡蛋'!$A$5:$A$337</f>
            </numRef>
          </cat>
          <val>
            <numRef>
              <f>'鸡蛋'!$D$5:$D$337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'鸡肉'!$A$5:$A$432</f>
            </numRef>
          </cat>
          <val>
            <numRef>
              <f>'鸡肉'!$D$5:$D$432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'玉米'!$A$5:$A$1428</f>
            </numRef>
          </cat>
          <val>
            <numRef>
              <f>'玉米'!$D$5:$D$1428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'大豆'!$A$5:$A$1290</f>
            </numRef>
          </cat>
          <val>
            <numRef>
              <f>'大豆'!$D$5:$D$1290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导出日期：2026-10-14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1405</v>
      </c>
      <c r="C26" s="2" t="inlineStr">
        <is>
          <t>1909-08 ~ 2026-08  | 主:肉牛(≥500磅,≈活牛)</t>
        </is>
      </c>
    </row>
    <row r="27">
      <c r="A27" s="2" t="inlineStr">
        <is>
          <t>生猪</t>
        </is>
      </c>
      <c r="B27" s="2" t="n">
        <v>1405</v>
      </c>
      <c r="C27" s="2" t="inlineStr">
        <is>
          <t>1909-08 ~ 2026-08  | 主:生猪(全部)</t>
        </is>
      </c>
    </row>
    <row r="28">
      <c r="A28" s="2" t="inlineStr">
        <is>
          <t>生鲜乳</t>
        </is>
      </c>
      <c r="B28" s="2" t="n">
        <v>560</v>
      </c>
      <c r="C28" s="2" t="inlineStr">
        <is>
          <t>1980-01 ~ 2026-08  | 主:生鲜乳(全部)</t>
        </is>
      </c>
    </row>
    <row r="29">
      <c r="A29" s="2" t="inlineStr">
        <is>
          <t>鸡蛋</t>
        </is>
      </c>
      <c r="B29" s="2" t="n">
        <v>333</v>
      </c>
      <c r="C29" s="2" t="inlineStr">
        <is>
          <t>1998-12 ~ 2026-08  | 主:鸡蛋(全部)</t>
        </is>
      </c>
    </row>
    <row r="30">
      <c r="A30" s="2" t="inlineStr">
        <is>
          <t>鸡肉</t>
        </is>
      </c>
      <c r="B30" s="2" t="n">
        <v>428</v>
      </c>
      <c r="C30" s="2" t="inlineStr">
        <is>
          <t>1991-01 ~ 2026-08  | 主:肉鸡(Broilers)</t>
        </is>
      </c>
    </row>
    <row r="31">
      <c r="A31" s="2" t="inlineStr">
        <is>
          <t>玉米</t>
        </is>
      </c>
      <c r="B31" s="2" t="n">
        <v>1424</v>
      </c>
      <c r="C31" s="2" t="inlineStr">
        <is>
          <t>1908-01 ~ 2026-08  | 主:玉米(Corn grain)</t>
        </is>
      </c>
    </row>
    <row r="32">
      <c r="A32" s="2" t="inlineStr">
        <is>
          <t>大豆</t>
        </is>
      </c>
      <c r="B32" s="2" t="n">
        <v>1286</v>
      </c>
      <c r="C32" s="2" t="inlineStr">
        <is>
          <t>1913-10 ~ 2026-08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252</v>
      </c>
      <c r="E1406" s="18" t="n">
        <v>256</v>
      </c>
      <c r="F1406" s="18" t="n">
        <v>513</v>
      </c>
      <c r="G1406" s="18" t="n">
        <v>172</v>
      </c>
      <c r="H1406" s="18">
        <f>IF(D1406="","",D1406*'参数与说明'!$B$6/45.3592)</f>
        <v/>
      </c>
      <c r="I1406" s="19">
        <f>IFERROR(IF(D1406="","",D1406/INDEX($D:$D,MATCH(EDATE($A1406,-1),$A:$A,0))-1),"")</f>
        <v/>
      </c>
      <c r="J1406" s="19">
        <f>IFERROR(IF(D1406="","",D1406/INDEX($D:$D,MATCH(EDATE($A1406,-12),$A:$A,0))-1),"")</f>
        <v/>
      </c>
    </row>
    <row r="1407">
      <c r="A1407" s="12" t="n">
        <v>46174</v>
      </c>
      <c r="B1407" s="13" t="n">
        <v>2026</v>
      </c>
      <c r="C1407" s="13" t="n">
        <v>6</v>
      </c>
      <c r="D1407" s="14" t="n">
        <v>254</v>
      </c>
      <c r="E1407" s="14" t="n">
        <v>258</v>
      </c>
      <c r="F1407" s="14" t="n">
        <v>497</v>
      </c>
      <c r="G1407" s="14" t="n">
        <v>175</v>
      </c>
      <c r="H1407" s="14">
        <f>IF(D1407="","",D1407*'参数与说明'!$B$6/45.3592)</f>
        <v/>
      </c>
      <c r="I1407" s="15">
        <f>IFERROR(IF(D1407="","",D1407/INDEX($D:$D,MATCH(EDATE($A1407,-1),$A:$A,0))-1),"")</f>
        <v/>
      </c>
      <c r="J1407" s="15">
        <f>IFERROR(IF(D1407="","",D1407/INDEX($D:$D,MATCH(EDATE($A1407,-12),$A:$A,0))-1),"")</f>
        <v/>
      </c>
    </row>
    <row r="1408">
      <c r="A1408" s="16" t="n">
        <v>46204</v>
      </c>
      <c r="B1408" s="17" t="n">
        <v>2026</v>
      </c>
      <c r="C1408" s="17" t="n">
        <v>7</v>
      </c>
      <c r="D1408" s="18" t="n">
        <v>246</v>
      </c>
      <c r="E1408" s="18" t="n">
        <v>249</v>
      </c>
      <c r="F1408" s="18" t="n">
        <v>482</v>
      </c>
      <c r="G1408" s="18" t="n">
        <v>175</v>
      </c>
      <c r="H1408" s="18">
        <f>IF(D1408="","",D1408*'参数与说明'!$B$6/45.3592)</f>
        <v/>
      </c>
      <c r="I1408" s="19">
        <f>IFERROR(IF(D1408="","",D1408/INDEX($D:$D,MATCH(EDATE($A1408,-1),$A:$A,0))-1),"")</f>
        <v/>
      </c>
      <c r="J1408" s="19">
        <f>IFERROR(IF(D1408="","",D1408/INDEX($D:$D,MATCH(EDATE($A1408,-12),$A:$A,0))-1),"")</f>
        <v/>
      </c>
    </row>
    <row r="1409">
      <c r="A1409" s="12" t="n">
        <v>46235</v>
      </c>
      <c r="B1409" s="13" t="n">
        <v>2026</v>
      </c>
      <c r="C1409" s="13" t="n">
        <v>8</v>
      </c>
      <c r="D1409" s="14" t="n">
        <v>231</v>
      </c>
      <c r="E1409" s="14" t="n">
        <v>234</v>
      </c>
      <c r="F1409" s="14" t="n">
        <v>455</v>
      </c>
      <c r="G1409" s="14" t="n">
        <v>172</v>
      </c>
      <c r="H1409" s="14">
        <f>IF(D1409="","",D1409*'参数与说明'!$B$6/45.3592)</f>
        <v/>
      </c>
      <c r="I1409" s="15">
        <f>IFERROR(IF(D1409="","",D1409/INDEX($D:$D,MATCH(EDATE($A1409,-1),$A:$A,0))-1),"")</f>
        <v/>
      </c>
      <c r="J1409" s="15">
        <f>IFERROR(IF(D1409="","",D1409/INDEX($D:$D,MATCH(EDATE($A1409,-12),$A:$A,0))-1),"")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68.5</v>
      </c>
      <c r="E1406" s="18" t="n">
        <v>68.7</v>
      </c>
      <c r="F1406" s="18" t="n">
        <v>65.2</v>
      </c>
      <c r="G1406" s="18">
        <f>IF(D1406="","",D1406*'参数与说明'!$B$6/45.3592)</f>
        <v/>
      </c>
      <c r="H1406" s="19">
        <f>IFERROR(IF(D1406="","",D1406/INDEX($D:$D,MATCH(EDATE($A1406,-1),$A:$A,0))-1),"")</f>
        <v/>
      </c>
      <c r="I1406" s="19">
        <f>IFERROR(IF(D1406="","",D1406/INDEX($D:$D,MATCH(EDATE($A1406,-12),$A:$A,0))-1),"")</f>
        <v/>
      </c>
    </row>
    <row r="1407">
      <c r="A1407" s="12" t="n">
        <v>46174</v>
      </c>
      <c r="B1407" s="13" t="n">
        <v>2026</v>
      </c>
      <c r="C1407" s="13" t="n">
        <v>6</v>
      </c>
      <c r="D1407" s="14" t="n">
        <v>69.40000000000001</v>
      </c>
      <c r="E1407" s="14" t="n">
        <v>69.7</v>
      </c>
      <c r="F1407" s="14" t="n">
        <v>64.2</v>
      </c>
      <c r="G1407" s="14">
        <f>IF(D1407="","",D1407*'参数与说明'!$B$6/45.3592)</f>
        <v/>
      </c>
      <c r="H1407" s="15">
        <f>IFERROR(IF(D1407="","",D1407/INDEX($D:$D,MATCH(EDATE($A1407,-1),$A:$A,0))-1),"")</f>
        <v/>
      </c>
      <c r="I1407" s="15">
        <f>IFERROR(IF(D1407="","",D1407/INDEX($D:$D,MATCH(EDATE($A1407,-12),$A:$A,0))-1),"")</f>
        <v/>
      </c>
    </row>
    <row r="1408">
      <c r="A1408" s="16" t="n">
        <v>46204</v>
      </c>
      <c r="B1408" s="17" t="n">
        <v>2026</v>
      </c>
      <c r="C1408" s="17" t="n">
        <v>7</v>
      </c>
      <c r="D1408" s="18" t="n">
        <v>71</v>
      </c>
      <c r="E1408" s="18" t="n">
        <v>71.8</v>
      </c>
      <c r="F1408" s="18" t="n">
        <v>54.7</v>
      </c>
      <c r="G1408" s="18">
        <f>IF(D1408="","",D1408*'参数与说明'!$B$6/45.3592)</f>
        <v/>
      </c>
      <c r="H1408" s="19">
        <f>IFERROR(IF(D1408="","",D1408/INDEX($D:$D,MATCH(EDATE($A1408,-1),$A:$A,0))-1),"")</f>
        <v/>
      </c>
      <c r="I1408" s="19">
        <f>IFERROR(IF(D1408="","",D1408/INDEX($D:$D,MATCH(EDATE($A1408,-12),$A:$A,0))-1),"")</f>
        <v/>
      </c>
    </row>
    <row r="1409">
      <c r="A1409" s="12" t="n">
        <v>46235</v>
      </c>
      <c r="B1409" s="13" t="n">
        <v>2026</v>
      </c>
      <c r="C1409" s="13" t="n">
        <v>8</v>
      </c>
      <c r="D1409" s="14" t="n">
        <v>70.5</v>
      </c>
      <c r="E1409" s="14" t="n">
        <v>70.8</v>
      </c>
      <c r="F1409" s="14" t="n">
        <v>64.09999999999999</v>
      </c>
      <c r="G1409" s="14">
        <f>IF(D1409="","",D1409*'参数与说明'!$B$6/45.3592)</f>
        <v/>
      </c>
      <c r="H1409" s="15">
        <f>IFERROR(IF(D1409="","",D1409/INDEX($D:$D,MATCH(EDATE($A1409,-1),$A:$A,0))-1),"")</f>
        <v/>
      </c>
      <c r="I1409" s="15">
        <f>IFERROR(IF(D1409="","",D1409/INDEX($D:$D,MATCH(EDATE($A1409,-12),$A:$A,0))-1),"")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46143</v>
      </c>
      <c r="B561" s="13" t="n">
        <v>2026</v>
      </c>
      <c r="C561" s="13" t="n">
        <v>5</v>
      </c>
      <c r="D561" s="14" t="n">
        <v>21.3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46174</v>
      </c>
      <c r="B562" s="17" t="n">
        <v>2026</v>
      </c>
      <c r="C562" s="17" t="n">
        <v>6</v>
      </c>
      <c r="D562" s="18" t="n">
        <v>21.1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46204</v>
      </c>
      <c r="B563" s="13" t="n">
        <v>2026</v>
      </c>
      <c r="C563" s="13" t="n">
        <v>7</v>
      </c>
      <c r="D563" s="14" t="n">
        <v>20.3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46235</v>
      </c>
      <c r="B564" s="17" t="n">
        <v>2026</v>
      </c>
      <c r="C564" s="17" t="n">
        <v>8</v>
      </c>
      <c r="D564" s="18" t="n">
        <v>19.8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  <row r="334">
      <c r="A334" s="16" t="n">
        <v>46143</v>
      </c>
      <c r="B334" s="17" t="n">
        <v>2026</v>
      </c>
      <c r="C334" s="17" t="n">
        <v>5</v>
      </c>
      <c r="D334" s="18" t="n">
        <v>0.856</v>
      </c>
      <c r="E334" s="18" t="n">
        <v>0.5580000000000001</v>
      </c>
      <c r="F334" s="18">
        <f>IF(D334="","",D334*'参数与说明'!$B$6/0.68)</f>
        <v/>
      </c>
      <c r="G334" s="19">
        <f>IFERROR(IF(D334="","",D334/INDEX($D:$D,MATCH(EDATE($A334,-1),$A:$A,0))-1),"")</f>
        <v/>
      </c>
      <c r="H334" s="19">
        <f>IFERROR(IF(D334="","",D334/INDEX($D:$D,MATCH(EDATE($A334,-12),$A:$A,0))-1),"")</f>
        <v/>
      </c>
    </row>
    <row r="335">
      <c r="A335" s="12" t="n">
        <v>46174</v>
      </c>
      <c r="B335" s="13" t="n">
        <v>2026</v>
      </c>
      <c r="C335" s="13" t="n">
        <v>6</v>
      </c>
      <c r="D335" s="14" t="n">
        <v>0.833</v>
      </c>
      <c r="E335" s="14" t="n">
        <v>0.533</v>
      </c>
      <c r="F335" s="14">
        <f>IF(D335="","",D335*'参数与说明'!$B$6/0.68)</f>
        <v/>
      </c>
      <c r="G335" s="15">
        <f>IFERROR(IF(D335="","",D335/INDEX($D:$D,MATCH(EDATE($A335,-1),$A:$A,0))-1),"")</f>
        <v/>
      </c>
      <c r="H335" s="15">
        <f>IFERROR(IF(D335="","",D335/INDEX($D:$D,MATCH(EDATE($A335,-12),$A:$A,0))-1),"")</f>
        <v/>
      </c>
    </row>
    <row r="336">
      <c r="A336" s="16" t="n">
        <v>46204</v>
      </c>
      <c r="B336" s="17" t="n">
        <v>2026</v>
      </c>
      <c r="C336" s="17" t="n">
        <v>7</v>
      </c>
      <c r="D336" s="18" t="n">
        <v>1.05</v>
      </c>
      <c r="E336" s="18" t="n">
        <v>0.784</v>
      </c>
      <c r="F336" s="18">
        <f>IF(D336="","",D336*'参数与说明'!$B$6/0.68)</f>
        <v/>
      </c>
      <c r="G336" s="19">
        <f>IFERROR(IF(D336="","",D336/INDEX($D:$D,MATCH(EDATE($A336,-1),$A:$A,0))-1),"")</f>
        <v/>
      </c>
      <c r="H336" s="19">
        <f>IFERROR(IF(D336="","",D336/INDEX($D:$D,MATCH(EDATE($A336,-12),$A:$A,0))-1),"")</f>
        <v/>
      </c>
    </row>
    <row r="337">
      <c r="A337" s="12" t="n">
        <v>46235</v>
      </c>
      <c r="B337" s="13" t="n">
        <v>2026</v>
      </c>
      <c r="C337" s="13" t="n">
        <v>8</v>
      </c>
      <c r="D337" s="14" t="n">
        <v>1.03</v>
      </c>
      <c r="E337" s="14" t="n">
        <v>0.77</v>
      </c>
      <c r="F337" s="14">
        <f>IF(D337="","",D337*'参数与说明'!$B$6/0.68)</f>
        <v/>
      </c>
      <c r="G337" s="15">
        <f>IFERROR(IF(D337="","",D337/INDEX($D:$D,MATCH(EDATE($A337,-1),$A:$A,0))-1),"")</f>
        <v/>
      </c>
      <c r="H337" s="15">
        <f>IFERROR(IF(D337="","",D337/INDEX($D:$D,MATCH(EDATE($A337,-12),$A:$A,0))-1),"")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46143</v>
      </c>
      <c r="B429" s="13" t="n">
        <v>2026</v>
      </c>
      <c r="C429" s="13" t="n">
        <v>5</v>
      </c>
      <c r="D429" s="14" t="n">
        <v>0.705</v>
      </c>
      <c r="E429" s="14">
        <f>IF(D429="","",D429*'参数与说明'!$B$6/0.453592)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46174</v>
      </c>
      <c r="B430" s="17" t="n">
        <v>2026</v>
      </c>
      <c r="C430" s="17" t="n">
        <v>6</v>
      </c>
      <c r="D430" s="18" t="n">
        <v>0.697</v>
      </c>
      <c r="E430" s="18">
        <f>IF(D430="","",D430*'参数与说明'!$B$6/0.453592)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46204</v>
      </c>
      <c r="B431" s="13" t="n">
        <v>2026</v>
      </c>
      <c r="C431" s="13" t="n">
        <v>7</v>
      </c>
      <c r="D431" s="14" t="n">
        <v>0.662</v>
      </c>
      <c r="E431" s="14">
        <f>IF(D431="","",D431*'参数与说明'!$B$6/0.453592)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46235</v>
      </c>
      <c r="B432" s="17" t="n">
        <v>2026</v>
      </c>
      <c r="C432" s="17" t="n">
        <v>8</v>
      </c>
      <c r="D432" s="18" t="n">
        <v>0.653</v>
      </c>
      <c r="E432" s="18">
        <f>IF(D432="","",D432*'参数与说明'!$B$6/0.453592)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4.12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4.12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  <row r="1425">
      <c r="A1425" s="12" t="n">
        <v>46143</v>
      </c>
      <c r="B1425" s="13" t="n">
        <v>2026</v>
      </c>
      <c r="C1425" s="13" t="n">
        <v>5</v>
      </c>
      <c r="D1425" s="14" t="n">
        <v>4.48</v>
      </c>
      <c r="E1425" s="14">
        <f>IF(D1425="","",D1425*'参数与说明'!$B$6/25.4012)</f>
        <v/>
      </c>
      <c r="F1425" s="15">
        <f>IFERROR(IF(D1425="","",D1425/INDEX($D:$D,MATCH(EDATE($A1425,-1),$A:$A,0))-1),"")</f>
        <v/>
      </c>
      <c r="G1425" s="15">
        <f>IFERROR(IF(D1425="","",D1425/INDEX($D:$D,MATCH(EDATE($A1425,-12),$A:$A,0))-1),"")</f>
        <v/>
      </c>
    </row>
    <row r="1426">
      <c r="A1426" s="16" t="n">
        <v>46174</v>
      </c>
      <c r="B1426" s="17" t="n">
        <v>2026</v>
      </c>
      <c r="C1426" s="17" t="n">
        <v>6</v>
      </c>
      <c r="D1426" s="18" t="n">
        <v>4.28</v>
      </c>
      <c r="E1426" s="18">
        <f>IF(D1426="","",D1426*'参数与说明'!$B$6/25.4012)</f>
        <v/>
      </c>
      <c r="F1426" s="19">
        <f>IFERROR(IF(D1426="","",D1426/INDEX($D:$D,MATCH(EDATE($A1426,-1),$A:$A,0))-1),"")</f>
        <v/>
      </c>
      <c r="G1426" s="19">
        <f>IFERROR(IF(D1426="","",D1426/INDEX($D:$D,MATCH(EDATE($A1426,-12),$A:$A,0))-1),"")</f>
        <v/>
      </c>
    </row>
    <row r="1427">
      <c r="A1427" s="12" t="n">
        <v>46204</v>
      </c>
      <c r="B1427" s="13" t="n">
        <v>2026</v>
      </c>
      <c r="C1427" s="13" t="n">
        <v>7</v>
      </c>
      <c r="D1427" s="14" t="n">
        <v>4.26</v>
      </c>
      <c r="E1427" s="14">
        <f>IF(D1427="","",D1427*'参数与说明'!$B$6/25.4012)</f>
        <v/>
      </c>
      <c r="F1427" s="15">
        <f>IFERROR(IF(D1427="","",D1427/INDEX($D:$D,MATCH(EDATE($A1427,-1),$A:$A,0))-1),"")</f>
        <v/>
      </c>
      <c r="G1427" s="15">
        <f>IFERROR(IF(D1427="","",D1427/INDEX($D:$D,MATCH(EDATE($A1427,-12),$A:$A,0))-1),"")</f>
        <v/>
      </c>
    </row>
    <row r="1428">
      <c r="A1428" s="16" t="n">
        <v>46235</v>
      </c>
      <c r="B1428" s="17" t="n">
        <v>2026</v>
      </c>
      <c r="C1428" s="17" t="n">
        <v>8</v>
      </c>
      <c r="D1428" s="18" t="n">
        <v>4.45</v>
      </c>
      <c r="E1428" s="18">
        <f>IF(D1428="","",D1428*'参数与说明'!$B$6/25.4012)</f>
        <v/>
      </c>
      <c r="F1428" s="19">
        <f>IFERROR(IF(D1428="","",D1428/INDEX($D:$D,MATCH(EDATE($A1428,-1),$A:$A,0))-1),"")</f>
        <v/>
      </c>
      <c r="G1428" s="19">
        <f>IFERROR(IF(D1428="","",D1428/INDEX($D:$D,MATCH(EDATE($A1428,-12),$A:$A,0))-1),"")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9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9.93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9.69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10.3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46143</v>
      </c>
      <c r="B1287" s="13" t="n">
        <v>2026</v>
      </c>
      <c r="C1287" s="13" t="n">
        <v>5</v>
      </c>
      <c r="D1287" s="14" t="n">
        <v>11.6</v>
      </c>
      <c r="E1287" s="14">
        <f>IF(D1287="","",D1287*'参数与说明'!$B$6/27.2155)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46174</v>
      </c>
      <c r="B1288" s="17" t="n">
        <v>2026</v>
      </c>
      <c r="C1288" s="17" t="n">
        <v>6</v>
      </c>
      <c r="D1288" s="18" t="n">
        <v>11.3</v>
      </c>
      <c r="E1288" s="18">
        <f>IF(D1288="","",D1288*'参数与说明'!$B$6/27.2155)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46204</v>
      </c>
      <c r="B1289" s="13" t="n">
        <v>2026</v>
      </c>
      <c r="C1289" s="13" t="n">
        <v>7</v>
      </c>
      <c r="D1289" s="14" t="n">
        <v>11.6</v>
      </c>
      <c r="E1289" s="14">
        <f>IF(D1289="","",D1289*'参数与说明'!$B$6/27.2155)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46235</v>
      </c>
      <c r="B1290" s="17" t="n">
        <v>2026</v>
      </c>
      <c r="C1290" s="17" t="n">
        <v>8</v>
      </c>
      <c r="D1290" s="18" t="n">
        <v>12.1</v>
      </c>
      <c r="E1290" s="18">
        <f>IF(D1290="","",D1290*'参数与说明'!$B$6/27.2155)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2026-10-14T05:54:33Z</dcterms:created>
  <dcterms:modified xsi:type="dcterms:W3CDTF">2026-10-14T05:54:34Z</dcterms:modified>
</cp:coreProperties>
</file>